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5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Avoirs!$H$4:$H$31</definedName>
    <definedName function="false" hidden="false" name="AVRdate_solde" vbProcedure="false">Avoirs!$J$4:$J$31</definedName>
    <definedName function="false" hidden="false" name="AVRdevise" vbProcedure="false">Avoirs!$E$4:$E$31</definedName>
    <definedName function="false" hidden="false" name="AVRdomiciliation" vbProcedure="false">Avoirs!$C$4:$C$31</definedName>
    <definedName function="false" hidden="false" name="AVRintitulé" vbProcedure="false">Avoirs!$A$4:$A$31</definedName>
    <definedName function="false" hidden="false" name="AVRmontant_anter" vbProcedure="false">Avoirs!$I$4:$I$31</definedName>
    <definedName function="false" hidden="false" name="AVRmontant_solde" vbProcedure="false">Avoirs!$K$4:$K$31</definedName>
    <definedName function="false" hidden="false" name="AVRmontant_solde_euro" vbProcedure="false">Avoirs!$L$4:$L$31</definedName>
    <definedName function="false" hidden="false" name="AVRpropriete" vbProcedure="false">Avoirs!$G$4:$G$31</definedName>
    <definedName function="false" hidden="false" name="AVRsous_type" vbProcedure="false">Avoirs!$D$4:$D$31</definedName>
    <definedName function="false" hidden="false" name="AVRtitulaire" vbProcedure="false">Avoirs!$F$4:$F$31</definedName>
    <definedName function="false" hidden="false" name="AVRtype" vbProcedure="false">Avoirs!$B$4:$B$31</definedName>
    <definedName function="false" hidden="false" name="CATaffectation" vbProcedure="false">Budget!$I$19:$I$35</definedName>
    <definedName function="false" hidden="false" name="CATaffectation_pct" vbProcedure="false">Budget!$H$19:$H$35</definedName>
    <definedName function="false" hidden="false" name="CATmontant" vbProcedure="false">Budget!$F$19:$F$35</definedName>
    <definedName function="false" hidden="false" name="CATnom" vbProcedure="false">Budget!$E$19:$E$35</definedName>
    <definedName function="false" hidden="false" name="CATposte" vbProcedure="false">Budget!$J$19:$J$35</definedName>
    <definedName function="false" hidden="false" name="CATtotal_euro" vbProcedure="false">Budget!$G$19:$G$35</definedName>
    <definedName function="false" hidden="false" name="CONVcell" vbProcedure="false">Patrimoine!$K$61:$K$83</definedName>
    <definedName function="false" hidden="false" name="CONVlégende" vbProcedure="false">Patrimoine!$L$61:$L$83</definedName>
    <definedName function="false" hidden="false" name="CONVnom" vbProcedure="false">Patrimoine!$J$61:$J$83</definedName>
    <definedName function="false" hidden="false" name="COTcode" vbProcedure="false">Cotations!$E$3:$E$12</definedName>
    <definedName function="false" hidden="false" name="COTcours" vbProcedure="false">Cotations!$F$3:$F$12</definedName>
    <definedName function="false" hidden="false" name="COTcours2" vbProcedure="false">Cotations!$H$3:$H$12</definedName>
    <definedName function="false" hidden="false" name="COTdate" vbProcedure="false">Cotations!$G$3:$G$12</definedName>
    <definedName function="false" hidden="false" name="COTdecimales" vbProcedure="false">Cotations!$D$3:$D$12</definedName>
    <definedName function="false" hidden="false" name="COTfamille" vbProcedure="false">Cotations!$C$3:$C$12</definedName>
    <definedName function="false" hidden="false" name="COTlabel" vbProcedure="false">Cotations!$A$3:$A$12</definedName>
    <definedName function="false" hidden="false" name="COTnature" vbProcedure="false">Cotations!$B$3:$B$12</definedName>
    <definedName function="false" hidden="false" name="cours_BTC" vbProcedure="false">Cotations!$F$9</definedName>
    <definedName function="false" hidden="false" name="cours_OrPr" vbProcedure="false">Cotations!$F$8</definedName>
    <definedName function="false" hidden="false" name="cours_SAT" vbProcedure="false">Cotations!$F$10</definedName>
    <definedName function="false" hidden="false" name="cours_SGD" vbProcedure="false">Cotations!$F$6</definedName>
    <definedName function="false" hidden="false" name="cours_USD" vbProcedure="false">Cotations!$F$5</definedName>
    <definedName function="false" hidden="false" name="cours_XAU" vbProcedure="false">Cotations!$F$7</definedName>
    <definedName function="false" hidden="false" name="cours_XMR" vbProcedure="false">Cotations!$F$11</definedName>
    <definedName function="false" hidden="false" name="CTRL1compte" vbProcedure="false">Contrôles!$A$3:$A$26</definedName>
    <definedName function="false" hidden="false" name="CTRL1controle" vbProcedure="false">Contrôles!$I$3:$I$26</definedName>
    <definedName function="false" hidden="false" name="CTRL1date_ancrage" vbProcedure="false">Contrôles!$C$3:$C$26</definedName>
    <definedName function="false" hidden="false" name="CTRL1date_releve" vbProcedure="false">Contrôles!$D$3:$D$26</definedName>
    <definedName function="false" hidden="false" name="CTRL1devise" vbProcedure="false">Contrôles!$B$3:$B$26</definedName>
    <definedName function="false" hidden="false" name="CTRL1ecart" vbProcedure="false">Contrôles!$H$3:$H$26</definedName>
    <definedName function="false" hidden="false" name="CTRL1montant_ancrage" vbProcedure="false">Contrôles!$E$3:$E$26</definedName>
    <definedName function="false" hidden="false" name="CTRL1montant_releve" vbProcedure="false">Contrôles!$G$3:$G$26</definedName>
    <definedName function="false" hidden="false" name="CTRL1solde_calc" vbProcedure="false">Contrôles!$F$3:$F$26</definedName>
    <definedName function="false" hidden="false" name="CTRL2affichage" vbProcedure="false">Contrôles!$K$31:$K$48</definedName>
    <definedName function="false" hidden="false" name="CTRL2drill" vbProcedure="false">Contrôles!$M$31:$M$48</definedName>
    <definedName function="false" hidden="false" name="CTRL2general" vbProcedure="false">Contrôles!$L$31:$L$48</definedName>
    <definedName function="false" hidden="false" name="CTRL2type" vbProcedure="false">Contrôles!$J$31:$J$48</definedName>
    <definedName function="false" hidden="false" name="CTRL2_fonds_en_transit" vbProcedure="false">Contrôles!$L$43</definedName>
    <definedName function="false" hidden="false" name="CTRL2_synthese" vbProcedure="false">Contrôles!$K$49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Patrimoine!$F$5:$F$53</definedName>
    <definedName function="false" hidden="false" name="PAText2" vbProcedure="false">Patrimoine!$G$5:$G$53</definedName>
    <definedName function="false" hidden="false" name="PAText3" vbProcedure="false">Patrimoine!$H$5:$H$53</definedName>
    <definedName function="false" hidden="false" name="PAText4" vbProcedure="false">Patrimoine!$I$5:$I$53</definedName>
    <definedName function="false" hidden="false" name="PATlabel" vbProcedure="false">Patrimoine!$B$5:$B$53</definedName>
    <definedName function="false" hidden="false" name="PATnombre" vbProcedure="false">Patrimoine!$C$5:$C$53</definedName>
    <definedName function="false" hidden="false" name="PATpoids" vbProcedure="false">Patrimoine!$E$5:$E$53</definedName>
    <definedName function="false" hidden="false" name="PATvaleur" vbProcedure="false">Patrimoine!$D$5:$D$53</definedName>
    <definedName function="false" hidden="false" name="POSTESmontant" vbProcedure="false">Budget!$C$4:$C$10</definedName>
    <definedName function="false" hidden="false" name="POSTESnom" vbProcedure="false">Budget!$A$4:$A$10</definedName>
    <definedName function="false" hidden="false" name="POSTEStype" vbProcedure="false">Budget!$B$4:$B$10</definedName>
    <definedName function="false" hidden="false" name="PVLcompte" vbProcedure="false">Plus_value!$B$5:$B$52</definedName>
    <definedName function="false" hidden="false" name="PVLdate" vbProcedure="false">Plus_value!$J$5:$J$52</definedName>
    <definedName function="false" hidden="false" name="PVLdate_init" vbProcedure="false">Plus_value!$G$5:$G$52</definedName>
    <definedName function="false" hidden="false" name="PVLdevise" vbProcedure="false">Plus_value!$D$5:$D$52</definedName>
    <definedName function="false" hidden="false" name="PVLmontant" vbProcedure="false">Plus_value!$K$5:$K$52</definedName>
    <definedName function="false" hidden="false" name="PVLmontant_init" vbProcedure="false">Plus_value!$H$5:$H$52</definedName>
    <definedName function="false" hidden="false" name="PVLpct" vbProcedure="false">Plus_value!$F$5:$F$52</definedName>
    <definedName function="false" hidden="false" name="PVLpvl" vbProcedure="false">Plus_value!$E$5:$E$52</definedName>
    <definedName function="false" hidden="false" name="PVLsection" vbProcedure="false">Plus_value!$A$5:$A$52</definedName>
    <definedName function="false" hidden="false" name="PVLsigma" vbProcedure="false">Plus_value!$I$5:$I$52</definedName>
    <definedName function="false" hidden="false" name="PVLtitre" vbProcedure="false">Plus_value!$C$5:$C$52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<sst xmlns="http://schemas.openxmlformats.org/spreadsheetml/2006/main" count="950" uniqueCount="283">
  <si>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</si>
  <si>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</si>
  <si>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</si>
  <si>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</si>
  <si>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</si>
  <si>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</si>
  <si>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</si>
  <si>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</si>
  <si>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</si>
  <si>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</si>
  <si>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</si>
  <si>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</si>
  <si>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</si>
  <si>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</si>
  <si>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</si>
  <si>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</si>
  <si>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</si>
  <si>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</si>
  <si>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Bitcoin</t>
  </si>
  <si>
    <t xml:space="preserve">Dollar Singapour</t>
  </si>
  <si>
    <t xml:space="preserve">Dollar US</t>
  </si>
  <si>
    <t xml:space="preserve">Monero</t>
  </si>
  <si>
    <t xml:space="preserve">par domiciliation</t>
  </si>
  <si>
    <t xml:space="preserve">Amazon</t>
  </si>
  <si>
    <t xml:space="preserve">Auto</t>
  </si>
  <si>
    <t xml:space="preserve">Blockchain</t>
  </si>
  <si>
    <t xml:space="preserve">BoursoBank</t>
  </si>
  <si>
    <t xml:space="preserve">Coffre</t>
  </si>
  <si>
    <t xml:space="preserve">DEGIRO</t>
  </si>
  <si>
    <t xml:space="preserve">Francine</t>
  </si>
  <si>
    <t xml:space="preserve">Kraken</t>
  </si>
  <si>
    <t xml:space="preserve">Maison</t>
  </si>
  <si>
    <t xml:space="preserve">Natixis</t>
  </si>
  <si>
    <t xml:space="preserve">Paypal</t>
  </si>
  <si>
    <t xml:space="preserve">Société Générale</t>
  </si>
  <si>
    <t xml:space="preserve">Wise</t>
  </si>
  <si>
    <t xml:space="preserve">eToro</t>
  </si>
  <si>
    <t xml:space="preserve">par titulaire</t>
  </si>
  <si>
    <t xml:space="preserve">Alice</t>
  </si>
  <si>
    <t xml:space="preserve">Barnabé</t>
  </si>
  <si>
    <t xml:space="preserve">Commun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</si>
  <si>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</si>
  <si>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</si>
  <si>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</si>
  <si>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</si>
  <si>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</si>
  <si>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</si>
  <si>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</si>
  <si>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</si>
  <si>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</si>
  <si>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</si>
  <si>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</si>
  <si>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</si>
  <si>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</si>
  <si>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</si>
  <si>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</si>
  <si>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</si>
  <si>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</si>
  <si>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</si>
  <si>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</si>
  <si>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</si>
  <si>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</si>
  <si>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</si>
  <si>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</si>
  <si>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</si>
  <si>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</si>
  <si>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</si>
  <si>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</si>
  <si>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</si>
  <si>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</si>
  <si>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</si>
  <si>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</si>
  <si>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</si>
  <si>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</si>
  <si>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</si>
  <si>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</si>
  <si>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</si>
  <si>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</si>
  <si>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</si>
  <si>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</si>
  <si>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</si>
  <si>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</si>
  <si>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</si>
  <si>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</si>
  <si>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</si>
  <si>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</si>
  <si>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</si>
  <si>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</si>
  <si>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Assurance vie Alice</t>
  </si>
  <si>
    <t xml:space="preserve">EUR</t>
  </si>
  <si>
    <t xml:space="preserve">PEE Alice</t>
  </si>
  <si>
    <t xml:space="preserve">Portefeuille BB Titres</t>
  </si>
  <si>
    <t xml:space="preserve">Portefeuille DEGIRO Titres</t>
  </si>
  <si>
    <t xml:space="preserve">Portefeuille eToro USD Titres</t>
  </si>
  <si>
    <t xml:space="preserve">USD</t>
  </si>
  <si>
    <t xml:space="preserve">Compte Amazon</t>
  </si>
  <si>
    <t xml:space="preserve">Compte chèque BB</t>
  </si>
  <si>
    <t xml:space="preserve">Compte chèque commun</t>
  </si>
  <si>
    <t xml:space="preserve">Espèces</t>
  </si>
  <si>
    <t xml:space="preserve">Livret A Barnabé</t>
  </si>
  <si>
    <t xml:space="preserve">Compte Paypal</t>
  </si>
  <si>
    <t xml:space="preserve">Compte Wise EUR</t>
  </si>
  <si>
    <t xml:space="preserve">Portefeuille DEGIRO Réserve</t>
  </si>
  <si>
    <t xml:space="preserve">Portefeuille BB Réserve</t>
  </si>
  <si>
    <t xml:space="preserve">Compte Wise USD</t>
  </si>
  <si>
    <t xml:space="preserve">Compte Wise SGD</t>
  </si>
  <si>
    <t xml:space="preserve">SGD</t>
  </si>
  <si>
    <t xml:space="preserve">Portefeuille eToro USD Réserve</t>
  </si>
  <si>
    <t xml:space="preserve">Créance Francine</t>
  </si>
  <si>
    <t xml:space="preserve">BlueWallet BTC</t>
  </si>
  <si>
    <t xml:space="preserve">SAT</t>
  </si>
  <si>
    <t xml:space="preserve">Phoenix Lightning BTC</t>
  </si>
  <si>
    <t xml:space="preserve">Compte Kraken BTC</t>
  </si>
  <si>
    <t xml:space="preserve">Cake Wallet XMR</t>
  </si>
  <si>
    <t xml:space="preserve">XMR</t>
  </si>
  <si>
    <t xml:space="preserve">Pièces or</t>
  </si>
  <si>
    <t xml:space="preserve">OrPr</t>
  </si>
  <si>
    <t xml:space="preserve">Mobilier maison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</si>
  <si>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</si>
  <si>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</si>
  <si>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</si>
  <si>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</si>
  <si>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Produits financiers</t>
  </si>
  <si>
    <t xml:space="preserve">Loisirs et restaurant</t>
  </si>
  <si>
    <t xml:space="preserve">Santé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</si>
  <si>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</si>
  <si>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</si>
  <si>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</si>
  <si>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</si>
  <si>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</si>
  <si>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</si>
  <si>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</si>
  <si>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</si>
  <si>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</si>
  <si>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</si>
  <si>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</si>
  <si>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</si>
  <si>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</si>
  <si>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</si>
  <si>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</si>
  <si>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Ajustement</t>
  </si>
  <si>
    <t xml:space="preserve">Coupon</t>
  </si>
  <si>
    <t xml:space="preserve">Frais bancaires</t>
  </si>
  <si>
    <t xml:space="preserve">Intérêts</t>
  </si>
  <si>
    <t xml:space="preserve">Loisirs</t>
  </si>
  <si>
    <t xml:space="preserve">Restaurant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</si>
  <si>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</si>
  <si>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</si>
  <si>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</si>
  <si>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</si>
  <si>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</si>
  <si>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</si>
  <si>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</si>
  <si>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</si>
  <si>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</si>
  <si>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</si>
  <si>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</si>
  <si>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</si>
  <si>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</si>
  <si>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</si>
  <si>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</si>
  <si>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</si>
  <si>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portefeuilles</t>
  </si>
  <si>
    <t xml:space="preserve">#Solde Opérations</t>
  </si>
  <si>
    <t xml:space="preserve">*AI.PA*</t>
  </si>
  <si>
    <t xml:space="preserve">*SPX500*</t>
  </si>
  <si>
    <t xml:space="preserve">*BTC/USD*</t>
  </si>
  <si>
    <t xml:space="preserve">*COMT*</t>
  </si>
  <si>
    <t xml:space="preserve">*KWEB*</t>
  </si>
  <si>
    <t xml:space="preserve">Les métaux</t>
  </si>
  <si>
    <t xml:space="preserve">métaux</t>
  </si>
  <si>
    <t xml:space="preserve">Les cryptos</t>
  </si>
  <si>
    <t xml:space="preserve">crypto</t>
  </si>
  <si>
    <t xml:space="preserve">Les devises</t>
  </si>
  <si>
    <t xml:space="preserve">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</si>
  <si>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</si>
  <si>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</si>
  <si>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</si>
  <si>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</si>
  <si>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</si>
  <si>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</si>
  <si>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</si>
  <si>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</si>
  <si>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</si>
  <si>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</si>
  <si>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</si>
  <si>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</si>
  <si>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Relevé compte</t>
  </si>
  <si>
    <t xml:space="preserve">#Solde</t>
  </si>
  <si>
    <t xml:space="preserve">SAT = 1 / 100 000 000 Bitcoin</t>
  </si>
  <si>
    <t xml:space="preserve">Transfert bitcoin -&gt; lightning</t>
  </si>
  <si>
    <t xml:space="preserve">V1</t>
  </si>
  <si>
    <t xml:space="preserve">Id</t>
  </si>
  <si>
    <t xml:space="preserve">Achat carte cadeau Amazon </t>
  </si>
  <si>
    <t xml:space="preserve">eur2</t>
  </si>
  <si>
    <t xml:space="preserve">CMA</t>
  </si>
  <si>
    <t xml:space="preserve">OrPr3</t>
  </si>
  <si>
    <t xml:space="preserve">Commission CMA</t>
  </si>
  <si>
    <t xml:space="preserve">#Info</t>
  </si>
  <si>
    <t xml:space="preserve">Opération non comptabilisée</t>
  </si>
  <si>
    <t xml:space="preserve">VIR. LOGITEL</t>
  </si>
  <si>
    <t xml:space="preserve">Action Air Liquide offert</t>
  </si>
  <si>
    <t xml:space="preserve">Nettoyage  </t>
  </si>
  <si>
    <t xml:space="preserve">V4</t>
  </si>
  <si>
    <t xml:space="preserve">Ramonage</t>
  </si>
  <si>
    <t xml:space="preserve">retrait DAB</t>
  </si>
  <si>
    <t xml:space="preserve">V5</t>
  </si>
  <si>
    <t xml:space="preserve">usd6</t>
  </si>
  <si>
    <t xml:space="preserve">Dépôt </t>
  </si>
  <si>
    <t xml:space="preserve">Position ouverte SPX500/USD</t>
  </si>
  <si>
    <t xml:space="preserve">V7</t>
  </si>
  <si>
    <t xml:space="preserve">Bénéfice/Perte du trade SPX500/USD</t>
  </si>
  <si>
    <t xml:space="preserve">t8</t>
  </si>
  <si>
    <t xml:space="preserve">Ajustement du prix de l’indice SPX500/USD</t>
  </si>
  <si>
    <t xml:space="preserve">Frais overnight Quotidien</t>
  </si>
  <si>
    <t xml:space="preserve">Position ouverte KWEB/USD</t>
  </si>
  <si>
    <t xml:space="preserve">Dividende AI.PA/EUR</t>
  </si>
  <si>
    <t xml:space="preserve">usd9</t>
  </si>
  <si>
    <t xml:space="preserve">Dépôt</t>
  </si>
  <si>
    <t xml:space="preserve">Frais de conversion de dépôt -</t>
  </si>
  <si>
    <t xml:space="preserve">Position ouverte BTC/USD</t>
  </si>
  <si>
    <t xml:space="preserve">t10</t>
  </si>
  <si>
    <t xml:space="preserve">Commission À l'ouverture</t>
  </si>
  <si>
    <t xml:space="preserve">Rome taxi</t>
  </si>
  <si>
    <t xml:space="preserve">Fendage bois</t>
  </si>
  <si>
    <t xml:space="preserve">V11</t>
  </si>
  <si>
    <t xml:space="preserve">Créance</t>
  </si>
  <si>
    <t xml:space="preserve">V12</t>
  </si>
  <si>
    <t xml:space="preserve">usd13</t>
  </si>
  <si>
    <t xml:space="preserve">Dividende KWEB/USD</t>
  </si>
  <si>
    <t xml:space="preserve">Transfer: EUR &gt; USD EUR</t>
  </si>
  <si>
    <t xml:space="preserve">Position ouverte COMT/USD</t>
  </si>
  <si>
    <t xml:space="preserve">t14</t>
  </si>
  <si>
    <t xml:space="preserve">t15</t>
  </si>
  <si>
    <t xml:space="preserve">V16</t>
  </si>
  <si>
    <t xml:space="preserve">Approvisionnement pour virement électronique PayPal Inc.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</si>
  <si>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</si>
  <si>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</si>
  <si>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</si>
  <si>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</si>
  <si>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</si>
  <si>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</si>
  <si>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</si>
  <si>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Non</t>
  </si>
  <si>
    <t xml:space="preserve">Oui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</si>
  <si>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</si>
  <si>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</si>
  <si>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</si>
  <si>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</si>
  <si>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</si>
  <si>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</si>
  <si>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</si>
  <si>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</si>
  <si>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</si>
  <si>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</si>
  <si>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</si>
  <si>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</si>
  <si>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</si>
  <si>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</si>
  <si>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</si>
  <si>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</si>
  <si>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</si>
  <si>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</si>
  <si>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</si>
  <si>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</si>
  <si>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</si>
  <si>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</si>
  <si>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</si>
  <si>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</si>
  <si>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</si>
  <si>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</si>
  <si>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</si>
  <si>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</si>
  <si>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</si>
  <si>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18/06/2026</t>
  </si>
  <si>
    <t xml:space="preserve">Gramme d'or Spot</t>
  </si>
  <si>
    <t xml:space="preserve">metal</t>
  </si>
  <si>
    <t xml:space="preserve">XAU</t>
  </si>
  <si>
    <t xml:space="preserve">Gramme d'or Premium (pièces)</t>
  </si>
  <si>
    <t xml:space="preserve">dérivée</t>
  </si>
  <si>
    <t xml:space="preserve">BTC</t>
  </si>
  <si>
    <t xml:space="preserve">Satoshi (1 / 100 000 000 Bitcoin)</t>
  </si>
  <si>
    <t xml:space="preserve">Alarme cotations</t>
  </si>
</sst>
</file>

<file path=xl/styles.xml><?xml version="1.0" encoding="utf-8"?>
<styleSheet xmlns="http://schemas.openxmlformats.org/spreadsheetml/2006/main">
  <numFmts count="42">
    <numFmt numFmtId="164" formatCode="General"/>
    <numFmt numFmtId="165" formatCode="#,##0.00\ [$€-40C];\-#,##0.00\ [$€-40C]"/>
    <numFmt numFmtId="166" formatCode="#,##0.00\ [$USD]"/>
    <numFmt numFmtId="167" formatCode="#,##0.00\ [$SGD]"/>
    <numFmt numFmtId="168" formatCode="#,##0.00\ [$XAU]"/>
    <numFmt numFmtId="169" formatCode="#,##0.00\ [$OrPr]"/>
    <numFmt numFmtId="170" formatCode="#,##0.00\ [$BTC]"/>
    <numFmt numFmtId="171" formatCode="#,##0.00\ [$SAT]"/>
    <numFmt numFmtId="172" formatCode="#,##0.00\ [$XMR]"/>
    <numFmt numFmtId="173" formatCode="#,##0;\-#,##0"/>
    <numFmt numFmtId="174" formatCode="#,##0.00;\-#,##0.00"/>
    <numFmt numFmtId="175" formatCode="#,##0.00000;\-#,##0.00000"/>
    <numFmt numFmtId="176" formatCode="#,##0.000000000"/>
    <numFmt numFmtId="177" formatCode="mmm\-yy"/>
    <numFmt numFmtId="178" formatCode="@"/>
    <numFmt numFmtId="179" formatCode="dd/mm/yy"/>
    <numFmt numFmtId="180" formatCode="#,##0.00\ [$€-40C];[RED]\-#,##0.00\ [$€-40C]"/>
    <numFmt numFmtId="181" formatCode="0\ %"/>
    <numFmt numFmtId="182" formatCode="0"/>
    <numFmt numFmtId="183" formatCode="#,##0%"/>
    <numFmt numFmtId="184" formatCode="#,##0.00\ [$USD];[RED]\-#,##0.00\ [$USD]"/>
    <numFmt numFmtId="185" formatCode="dd/mm/yyyy"/>
    <numFmt numFmtId="186" formatCode="[$€-40C]\ #,##0.00"/>
    <numFmt numFmtId="187" formatCode="d\ mmm\ yyyy"/>
    <numFmt numFmtId="188" formatCode="\ #,##0\ [$€-40C]"/>
    <numFmt numFmtId="189" formatCode="\ #,##0.00\ [$€-40C]"/>
    <numFmt numFmtId="190" formatCode="@&quot; ▼&quot;"/>
    <numFmt numFmtId="191" formatCode="#,##0.00000\ [$€-40C];\-#,##0.00000\ [$€-40C]"/>
    <numFmt numFmtId="192" formatCode="0%"/>
    <numFmt numFmtId="193" formatCode="#,##0"/>
    <numFmt numFmtId="194" formatCode="0.00\ %"/>
    <numFmt numFmtId="195" formatCode="[$-40C]dd/mm/yy"/>
    <numFmt numFmtId="196" formatCode="0.00000"/>
    <numFmt numFmtId="197" formatCode="#,##0.00"/>
    <numFmt numFmtId="198" formatCode="\ 0.00\ [$€-40C]"/>
    <numFmt numFmtId="199" formatCode="#,##0.000000000\ [$USD]"/>
    <numFmt numFmtId="200" formatCode="#,##0.000000000\ [$SGD]"/>
    <numFmt numFmtId="201" formatCode="#,##0.000000000\ [$XAU]"/>
    <numFmt numFmtId="202" formatCode="#,##0.000000000\ [$OrPr]"/>
    <numFmt numFmtId="203" formatCode="#,##0.000000000\ [$BTC]"/>
    <numFmt numFmtId="204" formatCode="#,##0.000000000\ [$SAT]"/>
    <numFmt numFmtId="205" formatCode="#,##0.000000000\ [$XMR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61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0" fontId="5" fillId="13" borderId="0" applyFont="true" applyBorder="false" applyAlignment="true" applyProtection="false">
      <alignment horizontal="general" vertical="center" textRotation="0" wrapText="false" indent="0" shrinkToFit="false"/>
    </xf>
    <xf numFmtId="170" fontId="5" fillId="14" borderId="0" applyFont="true" applyBorder="false" applyAlignment="true" applyProtection="false">
      <alignment horizontal="general" vertical="center" textRotation="0" wrapText="false" indent="0" shrinkToFit="false"/>
    </xf>
    <xf numFmtId="173" fontId="5" fillId="0" borderId="0" applyFont="true" applyBorder="false" applyAlignment="true" applyProtection="false">
      <alignment horizontal="general" vertical="center" textRotation="0" wrapText="false" indent="0" shrinkToFit="false"/>
    </xf>
    <xf numFmtId="174" fontId="5" fillId="0" borderId="0" applyFont="true" applyBorder="false" applyAlignment="true" applyProtection="false">
      <alignment horizontal="general" vertical="center" textRotation="0" wrapText="false" indent="0" shrinkToFit="false"/>
    </xf>
    <xf numFmtId="175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5" fillId="13" borderId="0" applyFont="true" applyBorder="false" applyAlignment="true" applyProtection="false">
      <alignment horizontal="general" vertical="center" textRotation="0" wrapText="false" indent="0" shrinkToFit="false"/>
    </xf>
    <xf numFmtId="169" fontId="5" fillId="14" borderId="0" applyFont="true" applyBorder="false" applyAlignment="true" applyProtection="false">
      <alignment horizontal="general" vertical="center" textRotation="0" wrapText="false" indent="0" shrinkToFit="false"/>
    </xf>
    <xf numFmtId="171" fontId="5" fillId="13" borderId="0" applyFont="true" applyBorder="false" applyAlignment="true" applyProtection="false">
      <alignment horizontal="general" vertical="center" textRotation="0" wrapText="false" indent="0" shrinkToFit="false"/>
    </xf>
    <xf numFmtId="171" fontId="5" fillId="14" borderId="0" applyFont="true" applyBorder="false" applyAlignment="true" applyProtection="false">
      <alignment horizontal="general" vertical="center" textRotation="0" wrapText="false" indent="0" shrinkToFit="false"/>
    </xf>
    <xf numFmtId="167" fontId="5" fillId="13" borderId="0" applyFont="true" applyBorder="false" applyAlignment="true" applyProtection="false">
      <alignment horizontal="general" vertical="center" textRotation="0" wrapText="false" indent="0" shrinkToFit="false"/>
    </xf>
    <xf numFmtId="167" fontId="5" fillId="14" borderId="0" applyFont="true" applyBorder="false" applyAlignment="true" applyProtection="false">
      <alignment horizontal="general" vertical="center" textRotation="0" wrapText="false" indent="0" shrinkToFit="false"/>
    </xf>
    <xf numFmtId="166" fontId="5" fillId="13" borderId="0" applyFont="true" applyBorder="false" applyAlignment="true" applyProtection="false">
      <alignment horizontal="general" vertical="center" textRotation="0" wrapText="false" indent="0" shrinkToFit="false"/>
    </xf>
    <xf numFmtId="166" fontId="5" fillId="14" borderId="0" applyFont="true" applyBorder="false" applyAlignment="true" applyProtection="false">
      <alignment horizontal="general" vertical="center" textRotation="0" wrapText="false" indent="0" shrinkToFit="false"/>
    </xf>
    <xf numFmtId="168" fontId="5" fillId="13" borderId="0" applyFont="true" applyBorder="false" applyAlignment="true" applyProtection="false">
      <alignment horizontal="general" vertical="center" textRotation="0" wrapText="false" indent="0" shrinkToFit="false"/>
    </xf>
    <xf numFmtId="168" fontId="5" fillId="14" borderId="0" applyFont="true" applyBorder="false" applyAlignment="true" applyProtection="false">
      <alignment horizontal="general" vertical="center" textRotation="0" wrapText="false" indent="0" shrinkToFit="false"/>
    </xf>
    <xf numFmtId="172" fontId="5" fillId="13" borderId="0" applyFont="true" applyBorder="false" applyAlignment="true" applyProtection="false">
      <alignment horizontal="general" vertical="center" textRotation="0" wrapText="false" indent="0" shrinkToFit="false"/>
    </xf>
    <xf numFmtId="172" fontId="5" fillId="14" borderId="0" applyFont="true" applyBorder="false" applyAlignment="true" applyProtection="false">
      <alignment horizontal="general" vertical="center" textRotation="0" wrapText="false" indent="0" shrinkToFit="false"/>
    </xf>
    <xf numFmtId="176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7" fontId="9" fillId="15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70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0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9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80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7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2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84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4" fontId="11" fillId="14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0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7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8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8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7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2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9" fontId="11" fillId="13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8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87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8" fontId="11" fillId="18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8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0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1" fontId="11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9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2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9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9" fontId="11" fillId="18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9" fontId="11" fillId="17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6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8" fontId="19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8" fontId="12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0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84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11" fillId="14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3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0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9" fontId="11" fillId="18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4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9" fontId="11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8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5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8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5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96" fontId="11" fillId="16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95" fontId="16" fillId="18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9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6" fontId="13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8" fillId="16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7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97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93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8" fontId="11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93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8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8" fontId="14" fillId="18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8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8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9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0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1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5" fontId="14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2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3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4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205" fontId="11" fillId="13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4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BTC_body" xfId="41"/>
    <cellStyle name="Drill_BTC_pied" xfId="42"/>
    <cellStyle name="Drill_dec0" xfId="43"/>
    <cellStyle name="Drill_dec2" xfId="44"/>
    <cellStyle name="Drill_dec5" xfId="45"/>
    <cellStyle name="Drill_EUR" xfId="46"/>
    <cellStyle name="Drill_OrPr_body" xfId="47"/>
    <cellStyle name="Drill_OrPr_pied" xfId="48"/>
    <cellStyle name="Drill_SAT_body" xfId="49"/>
    <cellStyle name="Drill_SAT_pied" xfId="50"/>
    <cellStyle name="Drill_SGD_body" xfId="51"/>
    <cellStyle name="Drill_SGD_pied" xfId="52"/>
    <cellStyle name="Drill_USD_body" xfId="53"/>
    <cellStyle name="Drill_USD_pied" xfId="54"/>
    <cellStyle name="Drill_XAU_body" xfId="55"/>
    <cellStyle name="Drill_XAU_pied" xfId="56"/>
    <cellStyle name="Drill_XMR_body" xfId="57"/>
    <cellStyle name="Drill_XMR_pied" xfId="58"/>
    <cellStyle name="Input" xfId="59"/>
    <cellStyle name="Résultat2" xfId="60"/>
  </cellStyles>
  <dxfs count="29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7" formatCode="#,##0.00\ [$SGD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8" formatCode="#,##0.00\ [$XAU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9" formatCode="#,##0.00\ [$OrP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0" formatCode="#,##0.00\ [$BTC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1" formatCode="#,##0.00\ [$SAT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72" formatCode="#,##0.00\ [$XMR]"/>
      <fill>
        <patternFill>
          <bgColor rgb="FFEAEAEA"/>
        </patternFill>
      </fill>
    </dxf>
    <dxf>
      <font>
        <name val="Arial"/>
        <charset val="1"/>
        <family val="2"/>
        <color rgb="FF000000"/>
      </font>
      <numFmt numFmtId="166" formatCode="#,##0.00\ [$US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7" formatCode="#,##0.00\ [$SGD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8" formatCode="#,##0.00\ [$XAU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69" formatCode="#,##0.00\ [$OrPr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0" formatCode="#,##0.00\ [$BTC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1" formatCode="#,##0.00\ [$SAT]"/>
      <fill>
        <patternFill>
          <bgColor rgb="FFDED9C0"/>
        </patternFill>
      </fill>
    </dxf>
    <dxf>
      <font>
        <name val="Arial"/>
        <charset val="1"/>
        <family val="2"/>
        <color rgb="FF000000"/>
      </font>
      <numFmt numFmtId="172" formatCode="#,##0.00\ [$XMR]"/>
      <fill>
        <patternFill>
          <bgColor rgb="FFDED9C0"/>
        </patternFill>
      </fill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fals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Contrôles!K$49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2023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26</v>
      </c>
      <c r="D4" s="11" t="n">
        <f aca="false">Avoirs!L2</f>
        <v>142580.98</v>
      </c>
      <c r="E4" s="12"/>
      <c r="F4" s="12"/>
      <c r="G4" s="11" t="n">
        <f aca="false">Plus_value!E3</f>
        <v>1455.0077973604</v>
      </c>
      <c r="H4" s="13" t="n">
        <f aca="false">Plus_value!F53</f>
        <v>0.345438765774654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4</v>
      </c>
      <c r="D7" s="16" t="n">
        <f aca="false">SUMIF(AVRtype,$B7,AVRmontant_solde_euro)</f>
        <v>126118.48587543</v>
      </c>
      <c r="E7" s="17" t="n">
        <f aca="false">D7/D$14</f>
        <v>0.884539339506787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5</v>
      </c>
      <c r="D8" s="16" t="n">
        <f aca="false">SUMIF(AVRtype,$B8,AVRmontant_solde_euro)</f>
        <v>2926.168355</v>
      </c>
      <c r="E8" s="17" t="n">
        <f aca="false">D8/D$14</f>
        <v>0.0205228520311755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1</v>
      </c>
      <c r="D9" s="16" t="n">
        <f aca="false">SUMIF(AVRtype,$B9,AVRmontant_solde_euro)</f>
        <v>9965</v>
      </c>
      <c r="E9" s="17" t="n">
        <f aca="false">D9/D$14</f>
        <v>0.0698901073621461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3</v>
      </c>
      <c r="D10" s="16" t="n">
        <f aca="false">SUMIF(AVRtype,$B10,AVRmontant_solde_euro)</f>
        <v>421.033965</v>
      </c>
      <c r="E10" s="17" t="n">
        <f aca="false">D10/D$14</f>
        <v>0.00295294621344306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4</v>
      </c>
      <c r="D11" s="16" t="n">
        <f aca="false">SUMIF(AVRtype,$B11,AVRmontant_solde_euro)</f>
        <v>201.37667693</v>
      </c>
      <c r="E11" s="17" t="n">
        <f aca="false">D11/D$14</f>
        <v>0.00141236704173306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9</v>
      </c>
      <c r="D12" s="16" t="n">
        <f aca="false">SUMIF(AVRtype,$B12,AVRmontant_solde_euro)</f>
        <v>2948.92</v>
      </c>
      <c r="E12" s="17" t="n">
        <f aca="false">D12/D$14</f>
        <v>0.0206824220172985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n">
        <f aca="false">D13/D$14</f>
        <v>0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26</v>
      </c>
      <c r="D14" s="24" t="n">
        <f aca="false">ROUND(SUM(D7:D13),2)</f>
        <v>142580.98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1</v>
      </c>
      <c r="D16" s="16" t="n">
        <f aca="false">SUMIF(AVRsous_type,B16,AVRmontant_solde_euro)</f>
        <v>100000</v>
      </c>
      <c r="E16" s="17" t="n">
        <f aca="false">D16/D$25</f>
        <v>0.701355818987918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5</v>
      </c>
      <c r="D17" s="16" t="n">
        <f aca="false">SUMIF(AVRsous_type,B17,AVRmontant_solde_euro)</f>
        <v>2926.168355</v>
      </c>
      <c r="E17" s="17" t="n">
        <f aca="false">D17/D$25</f>
        <v>0.0205228520311755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3</v>
      </c>
      <c r="D18" s="16" t="n">
        <f aca="false">SUMIF(AVRsous_type,B18,AVRmontant_solde_euro)</f>
        <v>26118.4858754304</v>
      </c>
      <c r="E18" s="17" t="n">
        <f aca="false">D18/D$25</f>
        <v>0.183183520518869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10</v>
      </c>
      <c r="D19" s="16" t="n">
        <f aca="false">SUMIF(AVRsous_type,B19,AVRmontant_solde_euro)</f>
        <v>12913.92</v>
      </c>
      <c r="E19" s="17" t="n">
        <f aca="false">D19/D$25</f>
        <v>0.0905725293794446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n">
        <f aca="false">D20/D$25</f>
        <v>0</v>
      </c>
      <c r="F20" s="18"/>
      <c r="G20" s="18"/>
      <c r="H20" s="18"/>
      <c r="I20" s="18"/>
    </row>
    <row r="21" customFormat="false" ht="16.5" hidden="false" customHeight="true" outlineLevel="0" collapsed="false">
      <c r="B21" s="22" t="s">
        <v>18</v>
      </c>
      <c r="C21" s="15" t="n">
        <f aca="false">COUNTIF(AVRsous_type,$B21)</f>
        <v>3</v>
      </c>
      <c r="D21" s="16" t="n">
        <f aca="false">SUMIF(AVRsous_type,$B21,AVRmontant_solde_euro)</f>
        <v>201.37667693</v>
      </c>
      <c r="E21" s="17" t="n">
        <f aca="false">D21/D$25</f>
        <v>0.00141236704173306</v>
      </c>
      <c r="F21" s="18"/>
      <c r="G21" s="18"/>
      <c r="H21" s="18"/>
      <c r="I21" s="18"/>
    </row>
    <row r="22" customFormat="false" ht="16.5" hidden="false" customHeight="true" outlineLevel="0" collapsed="false">
      <c r="B22" s="22" t="s">
        <v>19</v>
      </c>
      <c r="C22" s="15" t="n">
        <f aca="false">COUNTIF(AVRsous_type,$B22)</f>
        <v>1</v>
      </c>
      <c r="D22" s="16" t="n">
        <f aca="false">SUMIF(AVRsous_type,$B22,AVRmontant_solde_euro)</f>
        <v>0</v>
      </c>
      <c r="E22" s="17" t="n">
        <f aca="false">D22/D$25</f>
        <v>0</v>
      </c>
      <c r="F22" s="18"/>
      <c r="G22" s="18"/>
      <c r="H22" s="18"/>
      <c r="I22" s="18"/>
    </row>
    <row r="23" customFormat="false" ht="16.5" hidden="false" customHeight="true" outlineLevel="0" collapsed="false">
      <c r="B23" s="22" t="s">
        <v>20</v>
      </c>
      <c r="C23" s="15" t="n">
        <f aca="false">COUNTIF(AVRsous_type,$B23)</f>
        <v>2</v>
      </c>
      <c r="D23" s="16" t="n">
        <f aca="false">SUMIF(AVRsous_type,$B23,AVRmontant_solde_euro)</f>
        <v>421.033965</v>
      </c>
      <c r="E23" s="17" t="n">
        <f aca="false">D23/D$25</f>
        <v>0.00295294621344306</v>
      </c>
      <c r="F23" s="18"/>
      <c r="G23" s="18"/>
      <c r="H23" s="18"/>
      <c r="I23" s="18"/>
    </row>
    <row r="24" customFormat="false" ht="16.5" hidden="false" customHeight="true" outlineLevel="0" collapsed="false">
      <c r="B24" s="22" t="s">
        <v>21</v>
      </c>
      <c r="C24" s="15" t="n">
        <f aca="false">COUNTIF(AVRsous_type,$B24)</f>
        <v>1</v>
      </c>
      <c r="D24" s="16" t="n">
        <f aca="false">SUMIF(AVRsous_type,$B24,AVRmontant_solde_euro)</f>
        <v>0</v>
      </c>
      <c r="E24" s="17" t="n">
        <f aca="false">D24/D$25</f>
        <v>0</v>
      </c>
      <c r="F24" s="18"/>
      <c r="G24" s="18"/>
      <c r="H24" s="18"/>
      <c r="I24" s="18"/>
    </row>
    <row r="25" customFormat="false" ht="16.5" hidden="false" customHeight="true" outlineLevel="0" collapsed="false">
      <c r="B25" s="23" t="s">
        <v>3</v>
      </c>
      <c r="C25" s="15" t="n">
        <f aca="false">SUM(C16:C24)</f>
        <v>26</v>
      </c>
      <c r="D25" s="24" t="n">
        <f aca="false">ROUND(SUM(D16:D24),2)</f>
        <v>142580.98</v>
      </c>
      <c r="E25" s="17"/>
      <c r="F25" s="18"/>
      <c r="G25" s="18"/>
      <c r="H25" s="18"/>
      <c r="I25" s="18"/>
    </row>
    <row r="26" customFormat="false" ht="16.5" hidden="false" customHeight="true" outlineLevel="0" collapsed="false">
      <c r="B26" s="27" t="s">
        <v>22</v>
      </c>
      <c r="C26" s="28"/>
      <c r="D26" s="26"/>
      <c r="E26" s="12"/>
      <c r="F26" s="18"/>
      <c r="G26" s="18"/>
      <c r="H26" s="18"/>
      <c r="I26" s="18"/>
    </row>
    <row r="27" customFormat="false" ht="16.5" hidden="false" customHeight="true" outlineLevel="0" collapsed="false">
      <c r="B27" s="29" t="s">
        <v>12</v>
      </c>
      <c r="C27" s="15" t="n">
        <f aca="false">COUNTIF(AVRdomiciliation,$B27)</f>
        <v>0</v>
      </c>
      <c r="D27" s="16" t="n">
        <f aca="false">SUMIF(AVRdomiciliation,$B27,AVRmontant_solde_euro)</f>
        <v>0</v>
      </c>
      <c r="E27" s="17" t="n">
        <f aca="false">D27/D$42</f>
        <v>0</v>
      </c>
      <c r="F27" s="18"/>
      <c r="G27" s="19"/>
      <c r="H27" s="18"/>
      <c r="I27" s="18"/>
    </row>
    <row r="28" customFormat="false" ht="16.5" hidden="false" customHeight="true" outlineLevel="0" collapsed="false">
      <c r="B28" s="29" t="s">
        <v>23</v>
      </c>
      <c r="C28" s="15" t="n">
        <f aca="false">COUNTIF(AVRdomiciliation,$B28)</f>
        <v>1</v>
      </c>
      <c r="D28" s="16" t="n">
        <f aca="false">SUMIF(AVRdomiciliation,$B28,AVRmontant_solde_euro)</f>
        <v>50</v>
      </c>
      <c r="E28" s="17" t="n">
        <f aca="false">D28/D$42</f>
        <v>0.000350677909493959</v>
      </c>
      <c r="F28" s="18"/>
      <c r="G28" s="19"/>
      <c r="H28" s="18"/>
      <c r="I28" s="18"/>
    </row>
    <row r="29" customFormat="false" ht="16.5" hidden="false" customHeight="true" outlineLevel="0" collapsed="false">
      <c r="B29" s="29" t="s">
        <v>24</v>
      </c>
      <c r="C29" s="15" t="n">
        <f aca="false">COUNTIF(AVRdomiciliation,$B29)</f>
        <v>1</v>
      </c>
      <c r="D29" s="16" t="n">
        <f aca="false">SUMIF(AVRdomiciliation,$B29,AVRmontant_solde_euro)</f>
        <v>9000</v>
      </c>
      <c r="E29" s="17" t="n">
        <f aca="false">D29/D$42</f>
        <v>0.0631220237089126</v>
      </c>
      <c r="F29" s="18"/>
      <c r="G29" s="19"/>
      <c r="H29" s="18"/>
      <c r="I29" s="18"/>
    </row>
    <row r="30" customFormat="false" ht="16.5" hidden="false" customHeight="true" outlineLevel="0" collapsed="false">
      <c r="B30" s="29" t="s">
        <v>25</v>
      </c>
      <c r="C30" s="15" t="n">
        <f aca="false">COUNTIF(AVRdomiciliation,$B30)</f>
        <v>3</v>
      </c>
      <c r="D30" s="16" t="n">
        <f aca="false">SUMIF(AVRdomiciliation,$B30,AVRmontant_solde_euro)</f>
        <v>170.093092</v>
      </c>
      <c r="E30" s="17" t="n">
        <f aca="false">D30/D$42</f>
        <v>0.00119295779843847</v>
      </c>
      <c r="F30" s="18"/>
      <c r="G30" s="19"/>
      <c r="H30" s="18"/>
      <c r="I30" s="18"/>
    </row>
    <row r="31" customFormat="false" ht="16.5" hidden="false" customHeight="true" outlineLevel="0" collapsed="false">
      <c r="B31" s="29" t="s">
        <v>26</v>
      </c>
      <c r="C31" s="15" t="n">
        <f aca="false">COUNTIF(AVRdomiciliation,$B31)</f>
        <v>3</v>
      </c>
      <c r="D31" s="16" t="n">
        <f aca="false">SUMIF(AVRdomiciliation,$B31,AVRmontant_solde_euro)</f>
        <v>0</v>
      </c>
      <c r="E31" s="17" t="n">
        <f aca="false">D31/D$42</f>
        <v>0</v>
      </c>
      <c r="F31" s="18"/>
      <c r="G31" s="19"/>
      <c r="H31" s="18"/>
      <c r="I31" s="18"/>
    </row>
    <row r="32" customFormat="false" ht="16.5" hidden="false" customHeight="true" outlineLevel="0" collapsed="false">
      <c r="B32" s="29" t="s">
        <v>27</v>
      </c>
      <c r="C32" s="15" t="n">
        <f aca="false">COUNTIF(AVRdomiciliation,$B32)</f>
        <v>1</v>
      </c>
      <c r="D32" s="16" t="n">
        <f aca="false">SUMIF(AVRdomiciliation,$B32,AVRmontant_solde_euro)</f>
        <v>2118.4858754304</v>
      </c>
      <c r="E32" s="17" t="n">
        <f aca="false">D32/D$42</f>
        <v>0.0148581239617683</v>
      </c>
      <c r="F32" s="18"/>
      <c r="G32" s="19"/>
      <c r="H32" s="18"/>
      <c r="I32" s="18"/>
    </row>
    <row r="33" customFormat="false" ht="16.5" hidden="false" customHeight="true" outlineLevel="0" collapsed="false">
      <c r="B33" s="29" t="s">
        <v>28</v>
      </c>
      <c r="C33" s="15" t="n">
        <f aca="false">COUNTIF(AVRdomiciliation,$B33)</f>
        <v>2</v>
      </c>
      <c r="D33" s="16" t="n">
        <f aca="false">SUMIF(AVRdomiciliation,$B33,AVRmontant_solde_euro)</f>
        <v>0</v>
      </c>
      <c r="E33" s="17" t="n">
        <f aca="false">D33/D$42</f>
        <v>0</v>
      </c>
      <c r="F33" s="18"/>
      <c r="G33" s="19"/>
      <c r="H33" s="18"/>
      <c r="I33" s="18"/>
    </row>
    <row r="34" customFormat="false" ht="16.5" hidden="false" customHeight="true" outlineLevel="0" collapsed="false">
      <c r="B34" s="29" t="s">
        <v>29</v>
      </c>
      <c r="C34" s="15" t="n">
        <f aca="false">COUNTIF(AVRdomiciliation,$B34)</f>
        <v>1</v>
      </c>
      <c r="D34" s="16" t="n">
        <f aca="false">SUMIF(AVRdomiciliation,$B34,AVRmontant_solde_euro)</f>
        <v>9965</v>
      </c>
      <c r="E34" s="17" t="n">
        <f aca="false">D34/D$42</f>
        <v>0.0698901073621461</v>
      </c>
      <c r="F34" s="18"/>
      <c r="G34" s="19"/>
      <c r="H34" s="18"/>
      <c r="I34" s="18"/>
    </row>
    <row r="35" customFormat="false" ht="16.5" hidden="false" customHeight="true" outlineLevel="0" collapsed="false">
      <c r="B35" s="29" t="s">
        <v>30</v>
      </c>
      <c r="C35" s="15" t="n">
        <f aca="false">COUNTIF(AVRdomiciliation,$B35)</f>
        <v>1</v>
      </c>
      <c r="D35" s="16" t="n">
        <f aca="false">SUMIF(AVRdomiciliation,$B35,AVRmontant_solde_euro)</f>
        <v>31.28358493</v>
      </c>
      <c r="E35" s="17" t="n">
        <f aca="false">D35/D$42</f>
        <v>0.000219409243294582</v>
      </c>
      <c r="F35" s="18"/>
      <c r="G35" s="19"/>
      <c r="H35" s="18"/>
      <c r="I35" s="18"/>
    </row>
    <row r="36" customFormat="false" ht="16.5" hidden="false" customHeight="true" outlineLevel="0" collapsed="false">
      <c r="B36" s="29" t="s">
        <v>31</v>
      </c>
      <c r="C36" s="15" t="n">
        <f aca="false">COUNTIF(AVRdomiciliation,$B36)</f>
        <v>3</v>
      </c>
      <c r="D36" s="16" t="n">
        <f aca="false">SUMIF(AVRdomiciliation,$B36,AVRmontant_solde_euro)</f>
        <v>115007</v>
      </c>
      <c r="E36" s="17" t="n">
        <f aca="false">D36/D$42</f>
        <v>0.806608286743435</v>
      </c>
      <c r="F36" s="18"/>
      <c r="G36" s="19"/>
      <c r="H36" s="18"/>
      <c r="I36" s="18"/>
    </row>
    <row r="37" customFormat="false" ht="16.5" hidden="false" customHeight="true" outlineLevel="0" collapsed="false">
      <c r="B37" s="29" t="s">
        <v>32</v>
      </c>
      <c r="C37" s="15" t="n">
        <f aca="false">COUNTIF(AVRdomiciliation,$B37)</f>
        <v>1</v>
      </c>
      <c r="D37" s="16" t="n">
        <f aca="false">SUMIF(AVRdomiciliation,$B37,AVRmontant_solde_euro)</f>
        <v>0</v>
      </c>
      <c r="E37" s="17" t="n">
        <f aca="false">D37/D$42</f>
        <v>0</v>
      </c>
      <c r="F37" s="18"/>
      <c r="G37" s="19"/>
      <c r="H37" s="18"/>
      <c r="I37" s="18"/>
    </row>
    <row r="38" customFormat="false" ht="16.5" hidden="false" customHeight="true" outlineLevel="0" collapsed="false">
      <c r="B38" s="29" t="s">
        <v>33</v>
      </c>
      <c r="C38" s="15" t="n">
        <f aca="false">COUNTIF(AVRdomiciliation,$B38)</f>
        <v>1</v>
      </c>
      <c r="D38" s="16" t="n">
        <f aca="false">SUMIF(AVRdomiciliation,$B38,AVRmontant_solde_euro)</f>
        <v>10</v>
      </c>
      <c r="E38" s="17" t="n">
        <f aca="false">D38/D$42</f>
        <v>7.01355818987918E-005</v>
      </c>
      <c r="F38" s="18"/>
      <c r="G38" s="19"/>
      <c r="H38" s="18"/>
      <c r="I38" s="18"/>
    </row>
    <row r="39" customFormat="false" ht="16.5" hidden="false" customHeight="true" outlineLevel="0" collapsed="false">
      <c r="B39" s="29" t="s">
        <v>34</v>
      </c>
      <c r="C39" s="15" t="n">
        <f aca="false">COUNTIF(AVRdomiciliation,$B39)</f>
        <v>3</v>
      </c>
      <c r="D39" s="16" t="n">
        <f aca="false">SUMIF(AVRdomiciliation,$B39,AVRmontant_solde_euro)</f>
        <v>2881.92</v>
      </c>
      <c r="E39" s="17" t="n">
        <f aca="false">D39/D$42</f>
        <v>0.0202125136185766</v>
      </c>
      <c r="F39" s="18"/>
      <c r="G39" s="19"/>
      <c r="H39" s="18"/>
      <c r="I39" s="18"/>
    </row>
    <row r="40" customFormat="false" ht="16.5" hidden="false" customHeight="true" outlineLevel="0" collapsed="false">
      <c r="B40" s="29" t="s">
        <v>35</v>
      </c>
      <c r="C40" s="15" t="n">
        <f aca="false">COUNTIF(AVRdomiciliation,$B40)</f>
        <v>3</v>
      </c>
      <c r="D40" s="16" t="n">
        <f aca="false">SUMIF(AVRdomiciliation,$B40,AVRmontant_solde_euro)</f>
        <v>0</v>
      </c>
      <c r="E40" s="17" t="n">
        <f aca="false">D40/D$42</f>
        <v>0</v>
      </c>
      <c r="F40" s="18"/>
      <c r="G40" s="19"/>
      <c r="H40" s="18"/>
      <c r="I40" s="18"/>
    </row>
    <row r="41" customFormat="false" ht="16.5" hidden="false" customHeight="true" outlineLevel="0" collapsed="false">
      <c r="B41" s="29" t="s">
        <v>36</v>
      </c>
      <c r="C41" s="15" t="n">
        <f aca="false">COUNTIF(AVRdomiciliation,$B41)</f>
        <v>2</v>
      </c>
      <c r="D41" s="16" t="n">
        <f aca="false">SUMIF(AVRdomiciliation,$B41,AVRmontant_solde_euro)</f>
        <v>3347.20232</v>
      </c>
      <c r="E41" s="17" t="n">
        <f aca="false">D41/D$42</f>
        <v>0.0234757982446186</v>
      </c>
      <c r="F41" s="18"/>
      <c r="G41" s="19"/>
      <c r="H41" s="18"/>
      <c r="I41" s="18"/>
    </row>
    <row r="42" customFormat="false" ht="16.5" hidden="false" customHeight="true" outlineLevel="0" collapsed="false">
      <c r="B42" s="23" t="s">
        <v>3</v>
      </c>
      <c r="C42" s="15" t="n">
        <f aca="false">SUM(C27:C41)</f>
        <v>26</v>
      </c>
      <c r="D42" s="24" t="n">
        <f aca="false">ROUND(SUM(D27:D41),2)</f>
        <v>142580.98</v>
      </c>
      <c r="E42" s="17"/>
      <c r="F42" s="18"/>
      <c r="G42" s="18"/>
      <c r="H42" s="18"/>
      <c r="I42" s="18"/>
    </row>
    <row r="43" customFormat="false" ht="16.5" hidden="false" customHeight="true" outlineLevel="0" collapsed="false">
      <c r="B43" s="20" t="s">
        <v>37</v>
      </c>
      <c r="C43" s="25"/>
      <c r="D43" s="26"/>
      <c r="E43" s="12"/>
      <c r="F43" s="18"/>
      <c r="G43" s="18"/>
      <c r="H43" s="18"/>
      <c r="I43" s="18"/>
    </row>
    <row r="44" customFormat="false" ht="16.5" hidden="false" customHeight="true" outlineLevel="0" collapsed="false">
      <c r="B44" s="22" t="s">
        <v>12</v>
      </c>
      <c r="C44" s="15" t="n">
        <f aca="false">COUNTIF(AVRtitulaire,$B44)</f>
        <v>0</v>
      </c>
      <c r="D44" s="16" t="n">
        <f aca="false">SUMIF(AVRtitulaire,$B44,AVRmontant_solde_euro)</f>
        <v>0</v>
      </c>
      <c r="E44" s="17" t="n">
        <f aca="false">D44/D$48</f>
        <v>0</v>
      </c>
      <c r="F44" s="18"/>
      <c r="G44" s="18"/>
      <c r="H44" s="18"/>
      <c r="I44" s="18"/>
    </row>
    <row r="45" customFormat="false" ht="16.5" hidden="false" customHeight="true" outlineLevel="0" collapsed="false">
      <c r="B45" s="22" t="s">
        <v>38</v>
      </c>
      <c r="C45" s="15" t="n">
        <f aca="false">COUNTIF(AVRtitulaire,$B45)</f>
        <v>2</v>
      </c>
      <c r="D45" s="16" t="n">
        <f aca="false">SUMIF(AVRtitulaire,$B45,AVRmontant_solde_euro)</f>
        <v>0</v>
      </c>
      <c r="E45" s="17" t="n">
        <f aca="false">D45/D$48</f>
        <v>0</v>
      </c>
      <c r="F45" s="18"/>
      <c r="G45" s="18"/>
      <c r="H45" s="18"/>
      <c r="I45" s="18"/>
    </row>
    <row r="46" customFormat="false" ht="16.5" hidden="false" customHeight="true" outlineLevel="0" collapsed="false">
      <c r="B46" s="22" t="s">
        <v>39</v>
      </c>
      <c r="C46" s="15" t="n">
        <f aca="false">COUNTIF(AVRtitulaire,$B46)</f>
        <v>13</v>
      </c>
      <c r="D46" s="16" t="n">
        <f aca="false">SUMIF(AVRtitulaire,$B46,AVRmontant_solde_euro)</f>
        <v>3407.20232</v>
      </c>
      <c r="E46" s="17" t="n">
        <f aca="false">D46/D$48</f>
        <v>0.0238966117360114</v>
      </c>
      <c r="F46" s="18"/>
      <c r="G46" s="18"/>
      <c r="H46" s="18"/>
      <c r="I46" s="18"/>
    </row>
    <row r="47" customFormat="false" ht="16.5" hidden="false" customHeight="true" outlineLevel="0" collapsed="false">
      <c r="B47" s="22" t="s">
        <v>40</v>
      </c>
      <c r="C47" s="15" t="n">
        <f aca="false">COUNTIF(AVRtitulaire,$B47)</f>
        <v>11</v>
      </c>
      <c r="D47" s="16" t="n">
        <f aca="false">SUMIF(AVRtitulaire,$B47,AVRmontant_solde_euro)</f>
        <v>139173.78255236</v>
      </c>
      <c r="E47" s="17" t="n">
        <f aca="false">D47/D$48</f>
        <v>0.976103422436572</v>
      </c>
      <c r="F47" s="18"/>
      <c r="G47" s="18"/>
      <c r="H47" s="18"/>
      <c r="I47" s="18"/>
    </row>
    <row r="48" customFormat="false" ht="16.5" hidden="false" customHeight="true" outlineLevel="0" collapsed="false">
      <c r="B48" s="23" t="s">
        <v>3</v>
      </c>
      <c r="C48" s="15" t="n">
        <f aca="false">SUM(C44:C47)</f>
        <v>26</v>
      </c>
      <c r="D48" s="24" t="n">
        <f aca="false">ROUND(SUM(D44:D47),2)</f>
        <v>142580.98</v>
      </c>
      <c r="E48" s="17"/>
      <c r="F48" s="18"/>
      <c r="G48" s="18"/>
      <c r="H48" s="18"/>
      <c r="I48" s="18"/>
    </row>
    <row r="49" customFormat="false" ht="15.85" hidden="false" customHeight="true" outlineLevel="0" collapsed="false">
      <c r="B49" s="20" t="s">
        <v>41</v>
      </c>
      <c r="C49" s="25"/>
      <c r="D49" s="26"/>
      <c r="E49" s="12"/>
      <c r="F49" s="18"/>
      <c r="G49" s="18"/>
      <c r="H49" s="18"/>
      <c r="I49" s="18"/>
    </row>
    <row r="50" customFormat="false" ht="15.85" hidden="false" customHeight="true" outlineLevel="0" collapsed="false">
      <c r="B50" s="22" t="s">
        <v>42</v>
      </c>
      <c r="C50" s="15" t="n">
        <f aca="false">COUNTIF(AVRpropriete,$B50)</f>
        <v>8</v>
      </c>
      <c r="D50" s="16" t="n">
        <f aca="false">SUMIF(AVRpropriete,B50,AVRmontant_solde_euro)</f>
        <v>126295.57896743</v>
      </c>
      <c r="E50" s="17" t="n">
        <f aca="false">D50/D$52</f>
        <v>0.885781392212555</v>
      </c>
      <c r="F50" s="18"/>
      <c r="G50" s="19"/>
      <c r="H50" s="18"/>
      <c r="I50" s="18"/>
    </row>
    <row r="51" customFormat="false" ht="15.85" hidden="false" customHeight="true" outlineLevel="0" collapsed="false">
      <c r="B51" s="22" t="s">
        <v>43</v>
      </c>
      <c r="C51" s="15" t="n">
        <f aca="false">COUNTIF(AVRpropriete,$B51)</f>
        <v>18</v>
      </c>
      <c r="D51" s="16" t="n">
        <f aca="false">SUMIF(AVRpropriete,B51,AVRmontant_solde_euro)</f>
        <v>16285.40590493</v>
      </c>
      <c r="E51" s="17" t="n">
        <f aca="false">D51/D$52</f>
        <v>0.114218641960029</v>
      </c>
      <c r="F51" s="18"/>
      <c r="G51" s="19" t="s">
        <v>44</v>
      </c>
      <c r="H51" s="18"/>
      <c r="I51" s="18"/>
    </row>
    <row r="52" customFormat="false" ht="15.85" hidden="false" customHeight="true" outlineLevel="0" collapsed="false">
      <c r="B52" s="23" t="s">
        <v>3</v>
      </c>
      <c r="C52" s="15" t="n">
        <f aca="false">SUM(C50:C51)</f>
        <v>26</v>
      </c>
      <c r="D52" s="24" t="n">
        <f aca="false">ROUND(SUM(D50:D51),2)</f>
        <v>142580.98</v>
      </c>
      <c r="E52" s="17"/>
      <c r="F52" s="18"/>
      <c r="G52" s="18"/>
      <c r="H52" s="18"/>
      <c r="I52" s="18"/>
    </row>
    <row r="53" customFormat="false" ht="15.85" hidden="false" customHeight="true" outlineLevel="0" collapsed="false">
      <c r="B53" s="14" t="s">
        <v>4</v>
      </c>
      <c r="C53" s="15"/>
      <c r="D53" s="16"/>
      <c r="E53" s="17"/>
      <c r="F53" s="18"/>
      <c r="G53" s="19"/>
      <c r="H53" s="18"/>
      <c r="I53" s="18"/>
    </row>
    <row r="54" customFormat="false" ht="12.75" hidden="false" customHeight="true" outlineLevel="0" collapsed="false">
      <c r="B54" s="30" t="s">
        <v>45</v>
      </c>
      <c r="C54" s="30"/>
      <c r="D54" s="31" t="n">
        <f aca="false">(ABS(D14-D4)&gt;0.5)+(ABS(D25-D4)&gt;0.5)+(ABS(D42-D4)&gt;0.5)+(ABS(D48-D4)&gt;0.5)+(ABS(D52-D4)&gt;0.5)</f>
        <v>0</v>
      </c>
      <c r="E54" s="30"/>
      <c r="F54" s="30"/>
      <c r="G54" s="30"/>
      <c r="H54" s="30"/>
      <c r="I54" s="30"/>
    </row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>
      <c r="J59" s="3" t="s">
        <v>46</v>
      </c>
      <c r="K59" s="3"/>
      <c r="L59" s="2"/>
    </row>
    <row r="60" customFormat="false" ht="15.75" hidden="false" customHeight="true" outlineLevel="0" collapsed="false">
      <c r="J60" s="2"/>
      <c r="K60" s="2" t="s">
        <v>47</v>
      </c>
      <c r="L60" s="2" t="s">
        <v>48</v>
      </c>
    </row>
    <row r="61" customFormat="false" ht="15.75" hidden="false" customHeight="true" outlineLevel="0" collapsed="false">
      <c r="J61" s="32" t="s">
        <v>4</v>
      </c>
      <c r="K61" s="15"/>
      <c r="L61" s="15"/>
    </row>
    <row r="62" customFormat="false" ht="15.75" hidden="false" customHeight="true" outlineLevel="0" collapsed="false">
      <c r="J62" s="32"/>
      <c r="K62" s="33" t="s">
        <v>49</v>
      </c>
      <c r="L62" s="34" t="s">
        <v>50</v>
      </c>
    </row>
    <row r="63" customFormat="false" ht="15.85" hidden="false" customHeight="true" outlineLevel="0" collapsed="false">
      <c r="J63" s="32"/>
      <c r="K63" s="35" t="s">
        <v>49</v>
      </c>
      <c r="L63" s="34" t="s">
        <v>51</v>
      </c>
    </row>
    <row r="64" customFormat="false" ht="15.85" hidden="false" customHeight="true" outlineLevel="0" collapsed="false">
      <c r="J64" s="32"/>
      <c r="K64" s="36" t="s">
        <v>49</v>
      </c>
      <c r="L64" s="34" t="s">
        <v>52</v>
      </c>
    </row>
    <row r="65" customFormat="false" ht="15.85" hidden="false" customHeight="true" outlineLevel="0" collapsed="false">
      <c r="J65" s="14"/>
      <c r="K65" s="37" t="s">
        <v>49</v>
      </c>
      <c r="L65" s="38" t="s">
        <v>53</v>
      </c>
    </row>
    <row r="66" customFormat="false" ht="15.85" hidden="false" customHeight="true" outlineLevel="0" collapsed="false">
      <c r="J66" s="14"/>
      <c r="K66" s="39" t="s">
        <v>54</v>
      </c>
      <c r="L66" s="38" t="s">
        <v>55</v>
      </c>
    </row>
    <row r="67" customFormat="false" ht="15.85" hidden="false" customHeight="true" outlineLevel="0" collapsed="false">
      <c r="J67" s="14"/>
      <c r="K67" s="40" t="s">
        <v>54</v>
      </c>
      <c r="L67" s="38" t="s">
        <v>56</v>
      </c>
    </row>
    <row r="68" customFormat="false" ht="15.85" hidden="false" customHeight="true" outlineLevel="0" collapsed="false">
      <c r="J68" s="14"/>
      <c r="K68" s="41" t="s">
        <v>49</v>
      </c>
      <c r="L68" s="38" t="s">
        <v>57</v>
      </c>
    </row>
    <row r="69" customFormat="false" ht="15.85" hidden="false" customHeight="true" outlineLevel="0" collapsed="false">
      <c r="J69" s="14"/>
      <c r="K69" s="42"/>
      <c r="L69" s="38"/>
    </row>
    <row r="70" customFormat="false" ht="15.85" hidden="false" customHeight="true" outlineLevel="0" collapsed="false">
      <c r="J70" s="14"/>
      <c r="K70" s="38" t="s">
        <v>58</v>
      </c>
      <c r="L70" s="38"/>
    </row>
    <row r="71" customFormat="false" ht="15.85" hidden="false" customHeight="true" outlineLevel="0" collapsed="false">
      <c r="J71" s="14"/>
      <c r="K71" s="42"/>
      <c r="L71" s="38"/>
    </row>
    <row r="72" customFormat="false" ht="15.85" hidden="false" customHeight="true" outlineLevel="0" collapsed="false">
      <c r="J72" s="14"/>
      <c r="K72" s="42" t="s">
        <v>3</v>
      </c>
      <c r="L72" s="38" t="s">
        <v>59</v>
      </c>
    </row>
    <row r="73" customFormat="false" ht="15.85" hidden="false" customHeight="true" outlineLevel="0" collapsed="false">
      <c r="J73" s="14"/>
      <c r="K73" s="42" t="s">
        <v>60</v>
      </c>
      <c r="L73" s="38" t="s">
        <v>61</v>
      </c>
    </row>
    <row r="74" customFormat="false" ht="15.85" hidden="false" customHeight="true" outlineLevel="0" collapsed="false">
      <c r="J74" s="14"/>
      <c r="K74" s="42" t="s">
        <v>62</v>
      </c>
      <c r="L74" s="38" t="s">
        <v>63</v>
      </c>
    </row>
    <row r="75" customFormat="false" ht="15.85" hidden="false" customHeight="true" outlineLevel="0" collapsed="false">
      <c r="J75" s="14"/>
      <c r="K75" s="42" t="s">
        <v>64</v>
      </c>
      <c r="L75" s="38" t="s">
        <v>63</v>
      </c>
    </row>
    <row r="76" customFormat="false" ht="15.85" hidden="false" customHeight="true" outlineLevel="0" collapsed="false">
      <c r="J76" s="14"/>
      <c r="K76" s="42" t="s">
        <v>65</v>
      </c>
      <c r="L76" s="38" t="s">
        <v>66</v>
      </c>
    </row>
    <row r="77" customFormat="false" ht="15.85" hidden="false" customHeight="true" outlineLevel="0" collapsed="false">
      <c r="J77" s="14"/>
      <c r="K77" s="42" t="s">
        <v>67</v>
      </c>
      <c r="L77" s="38" t="s">
        <v>68</v>
      </c>
    </row>
    <row r="78" customFormat="false" ht="15.85" hidden="false" customHeight="true" outlineLevel="0" collapsed="false">
      <c r="J78" s="14"/>
      <c r="K78" s="42" t="s">
        <v>69</v>
      </c>
      <c r="L78" s="38" t="s">
        <v>68</v>
      </c>
    </row>
    <row r="79" customFormat="false" ht="15.85" hidden="false" customHeight="true" outlineLevel="0" collapsed="false">
      <c r="J79" s="14"/>
      <c r="K79" s="42" t="s">
        <v>70</v>
      </c>
      <c r="L79" s="38" t="s">
        <v>71</v>
      </c>
    </row>
    <row r="80" customFormat="false" ht="15.85" hidden="false" customHeight="true" outlineLevel="0" collapsed="false">
      <c r="J80" s="14"/>
      <c r="K80" s="42" t="s">
        <v>72</v>
      </c>
      <c r="L80" s="38" t="s">
        <v>71</v>
      </c>
    </row>
    <row r="81" customFormat="false" ht="15.85" hidden="false" customHeight="true" outlineLevel="0" collapsed="false">
      <c r="J81" s="14"/>
      <c r="K81" s="42"/>
      <c r="L81" s="42"/>
    </row>
    <row r="82" customFormat="false" ht="15.85" hidden="false" customHeight="true" outlineLevel="0" collapsed="false">
      <c r="J82" s="14"/>
      <c r="K82" s="38" t="s">
        <v>73</v>
      </c>
      <c r="L82" s="42"/>
    </row>
    <row r="83" customFormat="false" ht="15.85" hidden="false" customHeight="true" outlineLevel="0" collapsed="false">
      <c r="J83" s="14" t="s">
        <v>4</v>
      </c>
      <c r="K83" s="42"/>
      <c r="L83" s="42"/>
    </row>
    <row r="84" customFormat="false" ht="15.85" hidden="false" customHeight="true" outlineLevel="0" collapsed="false">
      <c r="J84" s="30"/>
      <c r="K84" s="30"/>
      <c r="L84" s="30"/>
    </row>
    <row r="85" customFormat="false" ht="15.85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5">
    <cfRule type="cellIs" priority="2" operator="notEqual" aboveAverage="0" equalAverage="0" bottom="0" percent="0" rank="0" text="" dxfId="0">
      <formula>Avoirs!$L$32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42">
    <cfRule type="cellIs" priority="4" operator="notEqual" aboveAverage="0" equalAverage="0" bottom="0" percent="0" rank="0" text="" dxfId="0">
      <formula>Avoirs!L2</formula>
    </cfRule>
  </conditionalFormatting>
  <conditionalFormatting sqref="D48">
    <cfRule type="cellIs" priority="5" operator="notEqual" aboveAverage="0" equalAverage="0" bottom="0" percent="0" rank="0" text="" dxfId="0">
      <formula>Avoirs!L2</formula>
    </cfRule>
  </conditionalFormatting>
  <conditionalFormatting sqref="D52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false" zeroHeight="false" outlineLevelRow="0" outlineLevelCol="0"/>
  <cols>
    <col collapsed="false" customWidth="true" hidden="false" outlineLevel="0" max="1" min="1" style="43" width="27.16"/>
    <col collapsed="false" customWidth="true" hidden="false" outlineLevel="0" max="2" min="2" style="43" width="20.83"/>
    <col collapsed="false" customWidth="true" hidden="false" outlineLevel="0" max="3" min="3" style="43" width="17.52"/>
    <col collapsed="false" customWidth="true" hidden="false" outlineLevel="0" max="4" min="4" style="44" width="15.13"/>
    <col collapsed="false" customWidth="true" hidden="false" outlineLevel="0" max="5" min="5" style="44" width="9.52"/>
    <col collapsed="false" customWidth="true" hidden="false" outlineLevel="0" max="6" min="6" style="44" width="10.66"/>
    <col collapsed="false" customWidth="true" hidden="false" outlineLevel="0" max="7" min="7" style="44" width="10.16"/>
    <col collapsed="false" customWidth="true" hidden="false" outlineLevel="0" max="8" min="8" style="44" width="12.51"/>
    <col collapsed="false" customWidth="true" hidden="false" outlineLevel="0" max="9" min="9" style="43" width="14.16"/>
    <col collapsed="false" customWidth="true" hidden="false" outlineLevel="0" max="10" min="10" style="44" width="12.15"/>
    <col collapsed="false" customWidth="true" hidden="false" outlineLevel="0" max="11" min="11" style="44" width="15.85"/>
    <col collapsed="false" customWidth="true" hidden="false" outlineLevel="0" max="12" min="12" style="43" width="16.16"/>
    <col collapsed="false" customWidth="true" hidden="false" outlineLevel="0" max="13" min="13" style="43" width="27.5"/>
    <col collapsed="false" customWidth="true" hidden="false" outlineLevel="0" max="14" min="14" style="43" width="15"/>
    <col collapsed="false" customWidth="true" hidden="false" outlineLevel="0" max="15" min="15" style="43" width="22"/>
    <col collapsed="false" customWidth="true" hidden="false" outlineLevel="0" max="16" min="16" style="43" width="17.16"/>
    <col collapsed="false" customWidth="true" hidden="false" outlineLevel="0" max="17" min="17" style="43" width="7"/>
    <col collapsed="false" customWidth="false" hidden="false" outlineLevel="0" max="16382" min="18" style="43" width="9.67"/>
  </cols>
  <sheetData>
    <row r="1" customFormat="false" ht="16.5" hidden="false" customHeight="true" outlineLevel="0" collapsed="false">
      <c r="A1" s="45" t="s">
        <v>74</v>
      </c>
      <c r="B1" s="46" t="s">
        <v>75</v>
      </c>
      <c r="C1" s="5"/>
      <c r="D1" s="10"/>
      <c r="E1" s="10"/>
      <c r="F1" s="10"/>
      <c r="G1" s="10"/>
      <c r="H1" s="10"/>
      <c r="I1" s="12"/>
      <c r="J1" s="10"/>
      <c r="K1" s="10"/>
      <c r="L1" s="47" t="str">
        <f aca="false">IF(ISERROR(L32),"✗","✓")</f>
        <v>✓</v>
      </c>
    </row>
    <row r="2" customFormat="false" ht="16.5" hidden="false" customHeight="true" outlineLevel="0" collapsed="false">
      <c r="A2" s="48" t="str">
        <f aca="false">Contrôles!K$49</f>
        <v>✓</v>
      </c>
      <c r="B2" s="5"/>
      <c r="C2" s="5"/>
      <c r="D2" s="10"/>
      <c r="E2" s="10"/>
      <c r="F2" s="10"/>
      <c r="G2" s="10"/>
      <c r="H2" s="46" t="s">
        <v>76</v>
      </c>
      <c r="I2" s="48"/>
      <c r="J2" s="46" t="s">
        <v>77</v>
      </c>
      <c r="K2" s="48"/>
      <c r="L2" s="49" t="n">
        <f aca="false">L32</f>
        <v>142580.98</v>
      </c>
    </row>
    <row r="3" customFormat="false" ht="33.75" hidden="false" customHeight="true" outlineLevel="0" collapsed="false">
      <c r="A3" s="26" t="s">
        <v>78</v>
      </c>
      <c r="B3" s="46" t="s">
        <v>79</v>
      </c>
      <c r="C3" s="46" t="s">
        <v>80</v>
      </c>
      <c r="D3" s="48" t="s">
        <v>81</v>
      </c>
      <c r="E3" s="50" t="s">
        <v>82</v>
      </c>
      <c r="F3" s="48" t="s">
        <v>83</v>
      </c>
      <c r="G3" s="48" t="s">
        <v>84</v>
      </c>
      <c r="H3" s="48" t="s">
        <v>85</v>
      </c>
      <c r="I3" s="26" t="s">
        <v>86</v>
      </c>
      <c r="J3" s="48" t="s">
        <v>85</v>
      </c>
      <c r="K3" s="50" t="s">
        <v>86</v>
      </c>
      <c r="L3" s="50" t="s">
        <v>87</v>
      </c>
    </row>
    <row r="4" customFormat="false" ht="14.25" hidden="false" customHeight="true" outlineLevel="0" collapsed="false">
      <c r="A4" s="14" t="s">
        <v>4</v>
      </c>
      <c r="B4" s="51"/>
      <c r="C4" s="52"/>
      <c r="D4" s="53"/>
      <c r="E4" s="53"/>
      <c r="F4" s="54"/>
      <c r="G4" s="53"/>
      <c r="H4" s="53"/>
      <c r="I4" s="53"/>
      <c r="J4" s="53"/>
      <c r="K4" s="53"/>
      <c r="L4" s="53"/>
    </row>
    <row r="5" customFormat="false" ht="14.25" hidden="false" customHeight="true" outlineLevel="0" collapsed="false">
      <c r="A5" s="14" t="s">
        <v>88</v>
      </c>
      <c r="B5" s="51" t="s">
        <v>7</v>
      </c>
      <c r="C5" s="52" t="s">
        <v>34</v>
      </c>
      <c r="D5" s="53" t="s">
        <v>15</v>
      </c>
      <c r="E5" s="53" t="s">
        <v>89</v>
      </c>
      <c r="F5" s="54" t="s">
        <v>38</v>
      </c>
      <c r="G5" s="53" t="s">
        <v>43</v>
      </c>
      <c r="H5" s="55" t="n">
        <v>40664</v>
      </c>
      <c r="I5" s="56" t="n">
        <v>210000</v>
      </c>
      <c r="J5" s="57" t="n">
        <f aca="false">SUMIFS(PVLdate,PVLcompte,$A5,PVLtitre,Retenu)</f>
        <v>0</v>
      </c>
      <c r="K5" s="56" t="n">
        <f aca="false">SUMIFS(PVLmontant,PVLcompte,$A5,PVLtitre,Retenu)</f>
        <v>0</v>
      </c>
      <c r="L5" s="56" t="n">
        <f aca="false">K5</f>
        <v>0</v>
      </c>
    </row>
    <row r="6" customFormat="false" ht="14.25" hidden="false" customHeight="true" outlineLevel="0" collapsed="false">
      <c r="A6" s="14" t="s">
        <v>90</v>
      </c>
      <c r="B6" s="51" t="s">
        <v>7</v>
      </c>
      <c r="C6" s="52" t="s">
        <v>32</v>
      </c>
      <c r="D6" s="53" t="s">
        <v>15</v>
      </c>
      <c r="E6" s="53" t="s">
        <v>89</v>
      </c>
      <c r="F6" s="54" t="s">
        <v>38</v>
      </c>
      <c r="G6" s="53" t="s">
        <v>43</v>
      </c>
      <c r="H6" s="57" t="n">
        <f aca="false">_xlfn.MINIFS(OPdate,OPcompte,$A6,OPdevise,$E6,OPcatégorie,Solde)</f>
        <v>0</v>
      </c>
      <c r="I6" s="56" t="n">
        <f aca="false">SUMIFS(OPmontant,OPcompte,$A6,OPdevise,$E6,OPcatégorie,Solde,OPdate,$H6)</f>
        <v>0</v>
      </c>
      <c r="J6" s="57" t="n">
        <f aca="false">SUMIFS(PVLdate,PVLcompte,$A6,PVLtitre,Retenu)</f>
        <v>0</v>
      </c>
      <c r="K6" s="56" t="n">
        <f aca="false">SUMIFS(PVLmontant,PVLcompte,$A6,PVLtitre,Retenu)</f>
        <v>0</v>
      </c>
      <c r="L6" s="56" t="n">
        <f aca="false">K6</f>
        <v>0</v>
      </c>
    </row>
    <row r="7" customFormat="false" ht="14.25" hidden="false" customHeight="true" outlineLevel="0" collapsed="false">
      <c r="A7" s="14" t="s">
        <v>91</v>
      </c>
      <c r="B7" s="51" t="s">
        <v>7</v>
      </c>
      <c r="C7" s="52" t="s">
        <v>26</v>
      </c>
      <c r="D7" s="53" t="s">
        <v>15</v>
      </c>
      <c r="E7" s="53" t="s">
        <v>89</v>
      </c>
      <c r="F7" s="54" t="s">
        <v>39</v>
      </c>
      <c r="G7" s="53" t="s">
        <v>43</v>
      </c>
      <c r="H7" s="55" t="n">
        <v>45485</v>
      </c>
      <c r="I7" s="56" t="n">
        <f aca="false">SUMIFS(OPmontant,OPcompte,$A7,OPdevise,$E7,OPcatégorie,Solde,OPdate,$H7)</f>
        <v>0</v>
      </c>
      <c r="J7" s="57" t="n">
        <f aca="false">SUMIFS(PVLdate,PVLcompte,$A7,PVLtitre,Retenu)</f>
        <v>0</v>
      </c>
      <c r="K7" s="56" t="n">
        <f aca="false">SUMIFS(PVLmontant,PVLcompte,$A7,PVLtitre,Retenu)</f>
        <v>0</v>
      </c>
      <c r="L7" s="56" t="n">
        <f aca="false">K7</f>
        <v>0</v>
      </c>
    </row>
    <row r="8" customFormat="false" ht="14.25" hidden="false" customHeight="true" outlineLevel="0" collapsed="false">
      <c r="A8" s="14" t="s">
        <v>92</v>
      </c>
      <c r="B8" s="51" t="s">
        <v>7</v>
      </c>
      <c r="C8" s="52" t="s">
        <v>28</v>
      </c>
      <c r="D8" s="53" t="s">
        <v>15</v>
      </c>
      <c r="E8" s="53" t="s">
        <v>89</v>
      </c>
      <c r="F8" s="54" t="s">
        <v>39</v>
      </c>
      <c r="G8" s="53" t="s">
        <v>43</v>
      </c>
      <c r="H8" s="55" t="n">
        <v>45617</v>
      </c>
      <c r="I8" s="56" t="n">
        <f aca="false">SUMIFS(OPmontant,OPcompte,$A8,OPdevise,$E8,OPcatégorie,Solde,OPdate,$H8)</f>
        <v>0</v>
      </c>
      <c r="J8" s="57" t="n">
        <f aca="false">SUMIFS(PVLdate,PVLcompte,$A8,PVLtitre,Retenu)</f>
        <v>0</v>
      </c>
      <c r="K8" s="56" t="n">
        <f aca="false">SUMIFS(PVLmontant,PVLcompte,$A8,PVLtitre,Retenu)</f>
        <v>0</v>
      </c>
      <c r="L8" s="56" t="n">
        <f aca="false">K8</f>
        <v>0</v>
      </c>
    </row>
    <row r="9" customFormat="false" ht="14.25" hidden="false" customHeight="true" outlineLevel="0" collapsed="false">
      <c r="A9" s="14" t="s">
        <v>93</v>
      </c>
      <c r="B9" s="51" t="s">
        <v>7</v>
      </c>
      <c r="C9" s="52" t="s">
        <v>36</v>
      </c>
      <c r="D9" s="53" t="s">
        <v>15</v>
      </c>
      <c r="E9" s="53" t="s">
        <v>94</v>
      </c>
      <c r="F9" s="54" t="s">
        <v>39</v>
      </c>
      <c r="G9" s="53" t="s">
        <v>43</v>
      </c>
      <c r="H9" s="55" t="n">
        <v>45622</v>
      </c>
      <c r="I9" s="58" t="n">
        <f aca="false">SUMIFS(OPmontant,OPcompte,$A9,OPdevise,$E9,OPcatégorie,Solde,OPdate,$H9)</f>
        <v>0</v>
      </c>
      <c r="J9" s="57" t="n">
        <f aca="false">SUMIFS(PVLdate,PVLcompte,$A9,PVLtitre,Retenu)</f>
        <v>46083</v>
      </c>
      <c r="K9" s="59" t="n">
        <f aca="false">SUMIFS(PVLmontant,PVLcompte,$A9,PVLtitre,Retenu)</f>
        <v>3388.73</v>
      </c>
      <c r="L9" s="56" t="n">
        <f aca="false">K9*cours_USD</f>
        <v>2926.168355</v>
      </c>
    </row>
    <row r="10" customFormat="false" ht="14.25" hidden="false" customHeight="true" outlineLevel="0" collapsed="false">
      <c r="A10" s="14" t="s">
        <v>95</v>
      </c>
      <c r="B10" s="51" t="s">
        <v>11</v>
      </c>
      <c r="C10" s="52" t="s">
        <v>23</v>
      </c>
      <c r="D10" s="53" t="s">
        <v>17</v>
      </c>
      <c r="E10" s="53" t="s">
        <v>89</v>
      </c>
      <c r="F10" s="54" t="s">
        <v>39</v>
      </c>
      <c r="G10" s="53" t="s">
        <v>43</v>
      </c>
      <c r="H10" s="57" t="n">
        <f aca="false">_xlfn.MINIFS(OPdate,OPcompte,$A10,OPdevise,$E10,OPcatégorie,Solde)</f>
        <v>45657</v>
      </c>
      <c r="I10" s="56" t="n">
        <f aca="false">SUMIFS(OPmontant,OPcompte,$A10,OPdevise,$E10,OPcatégorie,Solde,OPdate,$H10)</f>
        <v>50</v>
      </c>
      <c r="J10" s="57" t="n">
        <f aca="false">_xlfn.MAXIFS(OPdate,OPcompte,$A10,OPdevise,$E10,OPcatégorie,Solde)</f>
        <v>45657</v>
      </c>
      <c r="K10" s="56" t="n">
        <f aca="false">SUMIFS(OPmontant,OPcompte,$A10,OPdevise,$E10,OPcatégorie,Solde,OPdate,$J10)</f>
        <v>50</v>
      </c>
      <c r="L10" s="56" t="n">
        <f aca="false">K10</f>
        <v>50</v>
      </c>
    </row>
    <row r="11" customFormat="false" ht="14.25" hidden="false" customHeight="true" outlineLevel="0" collapsed="false">
      <c r="A11" s="14" t="s">
        <v>96</v>
      </c>
      <c r="B11" s="51" t="s">
        <v>11</v>
      </c>
      <c r="C11" s="52" t="s">
        <v>26</v>
      </c>
      <c r="D11" s="53" t="s">
        <v>17</v>
      </c>
      <c r="E11" s="53" t="s">
        <v>89</v>
      </c>
      <c r="F11" s="54" t="s">
        <v>39</v>
      </c>
      <c r="G11" s="53" t="s">
        <v>43</v>
      </c>
      <c r="H11" s="55" t="n">
        <v>45292</v>
      </c>
      <c r="I11" s="56" t="n">
        <f aca="false">SUMIFS(OPmontant,OPcompte,$A11,OPdevise,$E11,OPcatégorie,Solde,OPdate,$H11)</f>
        <v>0</v>
      </c>
      <c r="J11" s="57" t="n">
        <f aca="false">_xlfn.MAXIFS(OPdate,OPcompte,$A11,OPdevise,$E11,OPcatégorie,Solde)</f>
        <v>0</v>
      </c>
      <c r="K11" s="56" t="n">
        <f aca="false">SUMIFS(OPmontant,OPcompte,$A11,OPdevise,$E11,OPcatégorie,Solde,OPdate,$J11)</f>
        <v>0</v>
      </c>
      <c r="L11" s="56" t="n">
        <f aca="false">K11</f>
        <v>0</v>
      </c>
    </row>
    <row r="12" customFormat="false" ht="14.25" hidden="false" customHeight="true" outlineLevel="0" collapsed="false">
      <c r="A12" s="14" t="s">
        <v>97</v>
      </c>
      <c r="B12" s="51" t="s">
        <v>11</v>
      </c>
      <c r="C12" s="52" t="s">
        <v>34</v>
      </c>
      <c r="D12" s="53" t="s">
        <v>17</v>
      </c>
      <c r="E12" s="53" t="s">
        <v>89</v>
      </c>
      <c r="F12" s="54" t="s">
        <v>40</v>
      </c>
      <c r="G12" s="53" t="s">
        <v>43</v>
      </c>
      <c r="H12" s="55" t="n">
        <v>28126</v>
      </c>
      <c r="I12" s="56" t="n">
        <f aca="false">SUMIFS(OPmontant,OPcompte,$A12,OPdevise,$E12,OPcatégorie,Solde,OPdate,$H12)</f>
        <v>0</v>
      </c>
      <c r="J12" s="57" t="n">
        <f aca="false">_xlfn.MAXIFS(OPdate,OPcompte,$A12,OPdevise,$E12,OPcatégorie,Solde)</f>
        <v>46092</v>
      </c>
      <c r="K12" s="56" t="n">
        <f aca="false">SUMIFS(OPmontant,OPcompte,$A12,OPdevise,$E12,OPcatégorie,Solde,OPdate,$J12)</f>
        <v>2881.92</v>
      </c>
      <c r="L12" s="56" t="n">
        <f aca="false">K12</f>
        <v>2881.92</v>
      </c>
    </row>
    <row r="13" customFormat="false" ht="14.25" hidden="false" customHeight="true" outlineLevel="0" collapsed="false">
      <c r="A13" s="14" t="s">
        <v>98</v>
      </c>
      <c r="B13" s="51" t="s">
        <v>11</v>
      </c>
      <c r="C13" s="52" t="s">
        <v>31</v>
      </c>
      <c r="D13" s="53" t="s">
        <v>17</v>
      </c>
      <c r="E13" s="53" t="s">
        <v>89</v>
      </c>
      <c r="F13" s="54" t="s">
        <v>40</v>
      </c>
      <c r="G13" s="53" t="s">
        <v>42</v>
      </c>
      <c r="H13" s="57" t="n">
        <f aca="false">_xlfn.MINIFS(OPdate,OPcompte,$A13,OPdevise,$E13,OPcatégorie,Solde)</f>
        <v>45657</v>
      </c>
      <c r="I13" s="56" t="n">
        <f aca="false">SUMIFS(OPmontant,OPcompte,$A13,OPdevise,$E13,OPcatégorie,Solde,OPdate,$H13)</f>
        <v>2500</v>
      </c>
      <c r="J13" s="57" t="n">
        <f aca="false">_xlfn.MAXIFS(OPdate,OPcompte,$A13,OPdevise,$E13,OPcatégorie,Solde)</f>
        <v>46084</v>
      </c>
      <c r="K13" s="56" t="n">
        <f aca="false">SUMIFS(OPmontant,OPcompte,$A13,OPdevise,$E13,OPcatégorie,Solde,OPdate,$J13)</f>
        <v>7</v>
      </c>
      <c r="L13" s="56" t="n">
        <f aca="false">K13</f>
        <v>7</v>
      </c>
    </row>
    <row r="14" customFormat="false" ht="14.25" hidden="false" customHeight="true" outlineLevel="0" collapsed="false">
      <c r="A14" s="14" t="s">
        <v>99</v>
      </c>
      <c r="B14" s="51" t="s">
        <v>11</v>
      </c>
      <c r="C14" s="52" t="s">
        <v>34</v>
      </c>
      <c r="D14" s="53" t="s">
        <v>17</v>
      </c>
      <c r="E14" s="53" t="s">
        <v>89</v>
      </c>
      <c r="F14" s="54" t="s">
        <v>39</v>
      </c>
      <c r="G14" s="53" t="s">
        <v>43</v>
      </c>
      <c r="H14" s="57" t="n">
        <f aca="false">_xlfn.MINIFS(OPdate,OPcompte,$A14,OPdevise,$E14,OPcatégorie,Solde)</f>
        <v>0</v>
      </c>
      <c r="I14" s="56" t="n">
        <f aca="false">SUMIFS(OPmontant,OPcompte,$A14,OPdevise,$E14,OPcatégorie,Solde,OPdate,$H14)</f>
        <v>0</v>
      </c>
      <c r="J14" s="57" t="n">
        <f aca="false">_xlfn.MAXIFS(OPdate,OPcompte,$A14,OPdevise,$E14,OPcatégorie,Solde)</f>
        <v>0</v>
      </c>
      <c r="K14" s="56" t="n">
        <f aca="false">SUMIFS(OPmontant,OPcompte,$A14,OPdevise,$E14,OPcatégorie,Solde,OPdate,$J14)</f>
        <v>0</v>
      </c>
      <c r="L14" s="56" t="n">
        <f aca="false">K14</f>
        <v>0</v>
      </c>
    </row>
    <row r="15" customFormat="false" ht="14.25" hidden="false" customHeight="true" outlineLevel="0" collapsed="false">
      <c r="A15" s="14" t="s">
        <v>100</v>
      </c>
      <c r="B15" s="51" t="s">
        <v>11</v>
      </c>
      <c r="C15" s="52" t="s">
        <v>33</v>
      </c>
      <c r="D15" s="53" t="s">
        <v>17</v>
      </c>
      <c r="E15" s="53" t="s">
        <v>89</v>
      </c>
      <c r="F15" s="54" t="s">
        <v>39</v>
      </c>
      <c r="G15" s="53" t="s">
        <v>43</v>
      </c>
      <c r="H15" s="57" t="n">
        <f aca="false">_xlfn.MINIFS(OPdate,OPcompte,$A15,OPdevise,$E15,OPcatégorie,Solde)</f>
        <v>46091</v>
      </c>
      <c r="I15" s="56" t="n">
        <f aca="false">SUMIFS(OPmontant,OPcompte,$A15,OPdevise,$E15,OPcatégorie,Solde,OPdate,$H15)</f>
        <v>10</v>
      </c>
      <c r="J15" s="57" t="n">
        <f aca="false">_xlfn.MAXIFS(OPdate,OPcompte,$A15,OPdevise,$E15,OPcatégorie,Solde)</f>
        <v>46091</v>
      </c>
      <c r="K15" s="56" t="n">
        <f aca="false">SUMIFS(OPmontant,OPcompte,$A15,OPdevise,$E15,OPcatégorie,Solde,OPdate,$J15)</f>
        <v>10</v>
      </c>
      <c r="L15" s="56" t="n">
        <f aca="false">K15</f>
        <v>10</v>
      </c>
    </row>
    <row r="16" customFormat="false" ht="14.25" hidden="false" customHeight="true" outlineLevel="0" collapsed="false">
      <c r="A16" s="14" t="s">
        <v>101</v>
      </c>
      <c r="B16" s="51" t="s">
        <v>11</v>
      </c>
      <c r="C16" s="52" t="s">
        <v>35</v>
      </c>
      <c r="D16" s="53" t="s">
        <v>17</v>
      </c>
      <c r="E16" s="53" t="s">
        <v>89</v>
      </c>
      <c r="F16" s="54" t="s">
        <v>39</v>
      </c>
      <c r="G16" s="53" t="s">
        <v>43</v>
      </c>
      <c r="H16" s="55" t="n">
        <v>45627</v>
      </c>
      <c r="I16" s="56" t="n">
        <f aca="false">SUMIFS(OPmontant,OPcompte,$A16,OPdevise,$E16,OPcatégorie,Solde,OPdate,$H16)</f>
        <v>0</v>
      </c>
      <c r="J16" s="57" t="n">
        <f aca="false">_xlfn.MAXIFS(OPdate,OPcompte,$A16,OPdevise,$E16,OPcatégorie,Solde)</f>
        <v>0</v>
      </c>
      <c r="K16" s="56" t="n">
        <f aca="false">SUMIFS(OPmontant,OPcompte,$A16,OPdevise,$E16,OPcatégorie,Solde,OPdate,$J16)</f>
        <v>0</v>
      </c>
      <c r="L16" s="56" t="n">
        <f aca="false">K16</f>
        <v>0</v>
      </c>
    </row>
    <row r="17" customFormat="false" ht="14.25" hidden="false" customHeight="true" outlineLevel="0" collapsed="false">
      <c r="A17" s="14" t="s">
        <v>102</v>
      </c>
      <c r="B17" s="51" t="s">
        <v>11</v>
      </c>
      <c r="C17" s="52" t="s">
        <v>28</v>
      </c>
      <c r="D17" s="53" t="s">
        <v>17</v>
      </c>
      <c r="E17" s="53" t="s">
        <v>89</v>
      </c>
      <c r="F17" s="54" t="s">
        <v>39</v>
      </c>
      <c r="G17" s="53" t="s">
        <v>43</v>
      </c>
      <c r="H17" s="57" t="n">
        <f aca="false">_xlfn.MINIFS(OPdate,OPcompte,$A17,OPdevise,$E17,OPcatégorie,Solde)</f>
        <v>0</v>
      </c>
      <c r="I17" s="56" t="n">
        <f aca="false">SUMIFS(OPmontant,OPcompte,$A17,OPdevise,$E17,OPcatégorie,Solde,OPdate,$H17)</f>
        <v>0</v>
      </c>
      <c r="J17" s="57" t="n">
        <f aca="false">_xlfn.MAXIFS(OPdate,OPcompte,$A17,OPdevise,$E17,OPcatégorie,Solde)</f>
        <v>0</v>
      </c>
      <c r="K17" s="56" t="n">
        <f aca="false">SUMIFS(OPmontant,OPcompte,$A17,OPdevise,$E17,OPcatégorie,Solde,OPdate,$J17)</f>
        <v>0</v>
      </c>
      <c r="L17" s="56" t="n">
        <f aca="false">K17</f>
        <v>0</v>
      </c>
    </row>
    <row r="18" customFormat="false" ht="14.25" hidden="false" customHeight="true" outlineLevel="0" collapsed="false">
      <c r="A18" s="14" t="s">
        <v>103</v>
      </c>
      <c r="B18" s="51" t="s">
        <v>11</v>
      </c>
      <c r="C18" s="52" t="s">
        <v>26</v>
      </c>
      <c r="D18" s="53" t="s">
        <v>17</v>
      </c>
      <c r="E18" s="53" t="s">
        <v>89</v>
      </c>
      <c r="F18" s="54" t="s">
        <v>39</v>
      </c>
      <c r="G18" s="53" t="s">
        <v>43</v>
      </c>
      <c r="H18" s="57" t="n">
        <f aca="false">_xlfn.MINIFS(OPdate,OPcompte,$A18,OPdevise,$E18,OPcatégorie,Solde)</f>
        <v>0</v>
      </c>
      <c r="I18" s="56" t="n">
        <f aca="false">SUMIFS(OPmontant,OPcompte,$A18,OPdevise,$E18,OPcatégorie,Solde,OPdate,$H18)</f>
        <v>0</v>
      </c>
      <c r="J18" s="57" t="n">
        <f aca="false">_xlfn.MAXIFS(OPdate,OPcompte,$A18,OPdevise,$E18,OPcatégorie,Solde)</f>
        <v>0</v>
      </c>
      <c r="K18" s="56" t="n">
        <f aca="false">SUMIFS(OPmontant,OPcompte,$A18,OPdevise,$E18,OPcatégorie,Solde,OPdate,$J18)</f>
        <v>0</v>
      </c>
      <c r="L18" s="56" t="n">
        <f aca="false">K18</f>
        <v>0</v>
      </c>
    </row>
    <row r="19" customFormat="false" ht="14.25" hidden="false" customHeight="true" outlineLevel="0" collapsed="false">
      <c r="A19" s="14" t="s">
        <v>104</v>
      </c>
      <c r="B19" s="51" t="s">
        <v>9</v>
      </c>
      <c r="C19" s="52" t="s">
        <v>35</v>
      </c>
      <c r="D19" s="53" t="s">
        <v>20</v>
      </c>
      <c r="E19" s="53" t="s">
        <v>94</v>
      </c>
      <c r="F19" s="54" t="s">
        <v>39</v>
      </c>
      <c r="G19" s="53" t="s">
        <v>43</v>
      </c>
      <c r="H19" s="55" t="n">
        <v>45653</v>
      </c>
      <c r="I19" s="58" t="n">
        <f aca="false">SUMIFS(OPmontant,OPcompte,$A19,OPdevise,$E19,OPcatégorie,Solde,OPdate,$H19)</f>
        <v>0</v>
      </c>
      <c r="J19" s="57" t="n">
        <f aca="false">_xlfn.MAXIFS(OPdate,OPcompte,$A19,OPdevise,$E19,OPcatégorie,Solde)</f>
        <v>0</v>
      </c>
      <c r="K19" s="59" t="n">
        <f aca="false">SUMIFS(OPmontant,OPcompte,$A19,OPdevise,$E19,OPcatégorie,Solde,OPdate,$J19)</f>
        <v>0</v>
      </c>
      <c r="L19" s="56" t="n">
        <f aca="false">K19*cours_USD</f>
        <v>0</v>
      </c>
    </row>
    <row r="20" customFormat="false" ht="14.25" hidden="false" customHeight="true" outlineLevel="0" collapsed="false">
      <c r="A20" s="14" t="s">
        <v>105</v>
      </c>
      <c r="B20" s="51" t="s">
        <v>9</v>
      </c>
      <c r="C20" s="52" t="s">
        <v>35</v>
      </c>
      <c r="D20" s="53" t="s">
        <v>19</v>
      </c>
      <c r="E20" s="53" t="s">
        <v>106</v>
      </c>
      <c r="F20" s="54" t="s">
        <v>39</v>
      </c>
      <c r="G20" s="53" t="s">
        <v>43</v>
      </c>
      <c r="H20" s="55" t="n">
        <v>45631</v>
      </c>
      <c r="I20" s="60" t="n">
        <f aca="false">SUMIFS(OPmontant,OPcompte,$A20,OPdevise,$E20,OPcatégorie,Solde,OPdate,$H20)</f>
        <v>0</v>
      </c>
      <c r="J20" s="57" t="n">
        <f aca="false">_xlfn.MAXIFS(OPdate,OPcompte,$A20,OPdevise,$E20,OPcatégorie,Solde)</f>
        <v>0</v>
      </c>
      <c r="K20" s="61" t="n">
        <f aca="false">SUMIFS(OPmontant,OPcompte,$A20,OPdevise,$E20,OPcatégorie,Solde,OPdate,$J20)</f>
        <v>0</v>
      </c>
      <c r="L20" s="56" t="n">
        <f aca="false">K20*cours_SGD</f>
        <v>0</v>
      </c>
    </row>
    <row r="21" customFormat="false" ht="14.25" hidden="false" customHeight="true" outlineLevel="0" collapsed="false">
      <c r="A21" s="14" t="s">
        <v>107</v>
      </c>
      <c r="B21" s="51" t="s">
        <v>9</v>
      </c>
      <c r="C21" s="52" t="s">
        <v>36</v>
      </c>
      <c r="D21" s="53" t="s">
        <v>20</v>
      </c>
      <c r="E21" s="53" t="s">
        <v>94</v>
      </c>
      <c r="F21" s="54" t="s">
        <v>39</v>
      </c>
      <c r="G21" s="53" t="s">
        <v>43</v>
      </c>
      <c r="H21" s="57" t="n">
        <f aca="false">_xlfn.MINIFS(OPdate,OPcompte,$A21,OPdevise,$E21,OPcatégorie,Solde)</f>
        <v>45621</v>
      </c>
      <c r="I21" s="58" t="n">
        <f aca="false">SUMIFS(OPmontant,OPcompte,$A21,OPdevise,$E21,OPcatégorie,Solde,OPdate,$H21)</f>
        <v>2500</v>
      </c>
      <c r="J21" s="57" t="n">
        <f aca="false">_xlfn.MAXIFS(OPdate,OPcompte,$A21,OPdevise,$E21,OPcatégorie,Solde)</f>
        <v>46050</v>
      </c>
      <c r="K21" s="59" t="n">
        <f aca="false">SUMIFS(OPmontant,OPcompte,$A21,OPdevise,$E21,OPcatégorie,Solde,OPdate,$J21)</f>
        <v>487.59</v>
      </c>
      <c r="L21" s="56" t="n">
        <f aca="false">K21*cours_USD</f>
        <v>421.033965</v>
      </c>
    </row>
    <row r="22" customFormat="false" ht="14.25" hidden="false" customHeight="true" outlineLevel="0" collapsed="false">
      <c r="A22" s="14" t="s">
        <v>108</v>
      </c>
      <c r="B22" s="51" t="s">
        <v>8</v>
      </c>
      <c r="C22" s="52" t="s">
        <v>29</v>
      </c>
      <c r="D22" s="53" t="s">
        <v>17</v>
      </c>
      <c r="E22" s="53" t="s">
        <v>89</v>
      </c>
      <c r="F22" s="54" t="s">
        <v>40</v>
      </c>
      <c r="G22" s="53" t="s">
        <v>43</v>
      </c>
      <c r="H22" s="55" t="n">
        <v>42873</v>
      </c>
      <c r="I22" s="56" t="n">
        <v>156270</v>
      </c>
      <c r="J22" s="57" t="n">
        <f aca="false">_xlfn.MAXIFS(OPdate,OPcompte,$A22,OPdevise,$E22,OPcatégorie,Solde)</f>
        <v>46058</v>
      </c>
      <c r="K22" s="56" t="n">
        <f aca="false">SUMIFS(OPmontant,OPcompte,$A22,OPdevise,$E22,OPcatégorie,Solde,OPdate,$J22)</f>
        <v>9965</v>
      </c>
      <c r="L22" s="56" t="n">
        <f aca="false">K22</f>
        <v>9965</v>
      </c>
    </row>
    <row r="23" customFormat="false" ht="14.25" hidden="false" customHeight="true" outlineLevel="0" collapsed="false">
      <c r="A23" s="14" t="s">
        <v>109</v>
      </c>
      <c r="B23" s="51" t="s">
        <v>10</v>
      </c>
      <c r="C23" s="52" t="s">
        <v>25</v>
      </c>
      <c r="D23" s="53" t="s">
        <v>18</v>
      </c>
      <c r="E23" s="53" t="s">
        <v>110</v>
      </c>
      <c r="F23" s="54" t="s">
        <v>40</v>
      </c>
      <c r="G23" s="53" t="s">
        <v>42</v>
      </c>
      <c r="H23" s="55" t="n">
        <v>44967</v>
      </c>
      <c r="I23" s="62" t="n">
        <f aca="false">SUMIFS(OPmontant,OPcompte,$A23,OPdevise,$E23,OPcatégorie,Solde,OPdate,$H23)</f>
        <v>0</v>
      </c>
      <c r="J23" s="57" t="n">
        <f aca="false">_xlfn.MAXIFS(OPdate,OPcompte,$A23,OPdevise,$E23,OPcatégorie,Solde)</f>
        <v>45292</v>
      </c>
      <c r="K23" s="63" t="n">
        <f aca="false">SUMIFS(OPmontant,OPcompte,$A23,OPdevise,$E23,OPcatégorie,Solde,OPdate,$J23)</f>
        <v>0</v>
      </c>
      <c r="L23" s="56" t="n">
        <f aca="false">K23*cours_SAT</f>
        <v>0</v>
      </c>
    </row>
    <row r="24" customFormat="false" ht="14.25" hidden="false" customHeight="true" outlineLevel="0" collapsed="false">
      <c r="A24" s="14" t="s">
        <v>111</v>
      </c>
      <c r="B24" s="51" t="s">
        <v>10</v>
      </c>
      <c r="C24" s="52" t="s">
        <v>25</v>
      </c>
      <c r="D24" s="53" t="s">
        <v>18</v>
      </c>
      <c r="E24" s="53" t="s">
        <v>110</v>
      </c>
      <c r="F24" s="54" t="s">
        <v>40</v>
      </c>
      <c r="G24" s="53" t="s">
        <v>42</v>
      </c>
      <c r="H24" s="55" t="n">
        <v>44967</v>
      </c>
      <c r="I24" s="62" t="n">
        <f aca="false">SUMIFS(OPmontant,OPcompte,$A24,OPdevise,$E24,OPcatégorie,Solde,OPdate,$H24)</f>
        <v>0</v>
      </c>
      <c r="J24" s="57" t="n">
        <f aca="false">_xlfn.MAXIFS(OPdate,OPcompte,$A24,OPdevise,$E24,OPcatégorie,Solde)</f>
        <v>45292</v>
      </c>
      <c r="K24" s="63" t="n">
        <f aca="false">SUMIFS(OPmontant,OPcompte,$A24,OPdevise,$E24,OPcatégorie,Solde,OPdate,$J24)</f>
        <v>278800</v>
      </c>
      <c r="L24" s="56" t="n">
        <f aca="false">K24*cours_SAT</f>
        <v>170.093092</v>
      </c>
    </row>
    <row r="25" customFormat="false" ht="14.25" hidden="false" customHeight="true" outlineLevel="0" collapsed="false">
      <c r="A25" s="14" t="s">
        <v>112</v>
      </c>
      <c r="B25" s="51" t="s">
        <v>10</v>
      </c>
      <c r="C25" s="52" t="s">
        <v>30</v>
      </c>
      <c r="D25" s="53" t="s">
        <v>18</v>
      </c>
      <c r="E25" s="53" t="s">
        <v>110</v>
      </c>
      <c r="F25" s="54" t="s">
        <v>40</v>
      </c>
      <c r="G25" s="53" t="s">
        <v>43</v>
      </c>
      <c r="H25" s="55" t="n">
        <v>45855</v>
      </c>
      <c r="I25" s="62" t="n">
        <f aca="false">SUMIFS(OPmontant,OPcompte,$A25,OPdevise,$E25,OPcatégorie,Solde,OPdate,$H25)</f>
        <v>0</v>
      </c>
      <c r="J25" s="57" t="n">
        <f aca="false">_xlfn.MAXIFS(OPdate,OPcompte,$A25,OPdevise,$E25,OPcatégorie,Solde)</f>
        <v>45967</v>
      </c>
      <c r="K25" s="63" t="n">
        <f aca="false">SUMIFS(OPmontant,OPcompte,$A25,OPdevise,$E25,OPcatégorie,Solde,OPdate,$J25)</f>
        <v>51277</v>
      </c>
      <c r="L25" s="56" t="n">
        <f aca="false">K25*cours_SAT</f>
        <v>31.28358493</v>
      </c>
    </row>
    <row r="26" customFormat="false" ht="14.25" hidden="false" customHeight="true" outlineLevel="0" collapsed="false">
      <c r="A26" s="14" t="s">
        <v>113</v>
      </c>
      <c r="B26" s="51" t="s">
        <v>10</v>
      </c>
      <c r="C26" s="52" t="s">
        <v>25</v>
      </c>
      <c r="D26" s="53" t="s">
        <v>21</v>
      </c>
      <c r="E26" s="53" t="s">
        <v>114</v>
      </c>
      <c r="F26" s="54" t="s">
        <v>40</v>
      </c>
      <c r="G26" s="53" t="s">
        <v>42</v>
      </c>
      <c r="H26" s="55" t="n">
        <v>44999</v>
      </c>
      <c r="I26" s="64" t="n">
        <f aca="false">SUMIFS(OPmontant,OPcompte,$A26,OPdevise,$E26,OPcatégorie,Solde,OPdate,$H26)</f>
        <v>0</v>
      </c>
      <c r="J26" s="57" t="n">
        <f aca="false">_xlfn.MAXIFS(OPdate,OPcompte,$A26,OPdevise,$E26,OPcatégorie,Solde)</f>
        <v>0</v>
      </c>
      <c r="K26" s="65" t="n">
        <f aca="false">SUMIFS(OPmontant,OPcompte,$A26,OPdevise,$E26,OPcatégorie,Solde,OPdate,$J26)</f>
        <v>0</v>
      </c>
      <c r="L26" s="56" t="n">
        <f aca="false">K26*cours_XMR</f>
        <v>0</v>
      </c>
    </row>
    <row r="27" customFormat="false" ht="14.25" hidden="false" customHeight="true" outlineLevel="0" collapsed="false">
      <c r="A27" s="14" t="s">
        <v>115</v>
      </c>
      <c r="B27" s="51" t="s">
        <v>6</v>
      </c>
      <c r="C27" s="52" t="s">
        <v>27</v>
      </c>
      <c r="D27" s="53" t="s">
        <v>16</v>
      </c>
      <c r="E27" s="53" t="s">
        <v>116</v>
      </c>
      <c r="F27" s="54" t="s">
        <v>40</v>
      </c>
      <c r="G27" s="53" t="s">
        <v>42</v>
      </c>
      <c r="H27" s="55" t="n">
        <v>45048</v>
      </c>
      <c r="I27" s="66" t="n">
        <f aca="false">SUMIFS(OPmontant,OPcompte,$A27,OPdevise,$E27,OPcatégorie,Solde,OPdate,$H27)</f>
        <v>0</v>
      </c>
      <c r="J27" s="57" t="n">
        <f aca="false">_xlfn.MAXIFS(OPdate,OPcompte,$A27,OPdevise,$E27,OPcatégorie,Solde)</f>
        <v>45457</v>
      </c>
      <c r="K27" s="67" t="n">
        <f aca="false">SUMIFS(OPmontant,OPcompte,$A27,OPdevise,$E27,OPcatégorie,Solde,OPdate,$J27)</f>
        <v>14.09344</v>
      </c>
      <c r="L27" s="56" t="n">
        <f aca="false">K27*cours_OrPr</f>
        <v>2118.4858754304</v>
      </c>
    </row>
    <row r="28" customFormat="false" ht="14.25" hidden="false" customHeight="true" outlineLevel="0" collapsed="false">
      <c r="A28" s="14" t="s">
        <v>31</v>
      </c>
      <c r="B28" s="51" t="s">
        <v>6</v>
      </c>
      <c r="C28" s="52" t="s">
        <v>31</v>
      </c>
      <c r="D28" s="53" t="s">
        <v>14</v>
      </c>
      <c r="E28" s="53"/>
      <c r="F28" s="54" t="s">
        <v>40</v>
      </c>
      <c r="G28" s="53" t="s">
        <v>42</v>
      </c>
      <c r="H28" s="55" t="n">
        <v>43750</v>
      </c>
      <c r="I28" s="56" t="n">
        <v>200000</v>
      </c>
      <c r="J28" s="57"/>
      <c r="K28" s="56" t="n">
        <v>100000</v>
      </c>
      <c r="L28" s="56" t="n">
        <f aca="false">K28</f>
        <v>100000</v>
      </c>
    </row>
    <row r="29" customFormat="false" ht="14.25" hidden="false" customHeight="true" outlineLevel="0" collapsed="false">
      <c r="A29" s="14" t="s">
        <v>24</v>
      </c>
      <c r="B29" s="51" t="s">
        <v>6</v>
      </c>
      <c r="C29" s="52" t="s">
        <v>24</v>
      </c>
      <c r="D29" s="53" t="s">
        <v>16</v>
      </c>
      <c r="E29" s="53"/>
      <c r="F29" s="54" t="s">
        <v>40</v>
      </c>
      <c r="G29" s="53" t="s">
        <v>42</v>
      </c>
      <c r="H29" s="55" t="n">
        <v>37773</v>
      </c>
      <c r="I29" s="56" t="n">
        <v>30000</v>
      </c>
      <c r="J29" s="57"/>
      <c r="K29" s="56" t="n">
        <v>9000</v>
      </c>
      <c r="L29" s="56" t="n">
        <f aca="false">K29</f>
        <v>9000</v>
      </c>
    </row>
    <row r="30" customFormat="false" ht="14.25" hidden="false" customHeight="true" outlineLevel="0" collapsed="false">
      <c r="A30" s="14" t="s">
        <v>117</v>
      </c>
      <c r="B30" s="51" t="s">
        <v>6</v>
      </c>
      <c r="C30" s="52" t="s">
        <v>31</v>
      </c>
      <c r="D30" s="53" t="s">
        <v>16</v>
      </c>
      <c r="E30" s="53"/>
      <c r="F30" s="54" t="s">
        <v>40</v>
      </c>
      <c r="G30" s="53" t="s">
        <v>42</v>
      </c>
      <c r="H30" s="53"/>
      <c r="I30" s="53"/>
      <c r="J30" s="57"/>
      <c r="K30" s="56" t="n">
        <v>15000</v>
      </c>
      <c r="L30" s="56" t="n">
        <f aca="false">K30</f>
        <v>15000</v>
      </c>
    </row>
    <row r="31" customFormat="false" ht="16.5" hidden="false" customHeight="true" outlineLevel="0" collapsed="false">
      <c r="A31" s="14" t="s">
        <v>4</v>
      </c>
      <c r="B31" s="52"/>
      <c r="C31" s="52"/>
      <c r="D31" s="53"/>
      <c r="E31" s="53"/>
      <c r="F31" s="53"/>
      <c r="G31" s="53"/>
      <c r="H31" s="53"/>
      <c r="I31" s="53"/>
      <c r="J31" s="57"/>
      <c r="K31" s="56"/>
      <c r="L31" s="56"/>
    </row>
    <row r="32" customFormat="false" ht="17.25" hidden="false" customHeight="true" outlineLevel="0" collapsed="false">
      <c r="A32" s="68" t="s">
        <v>65</v>
      </c>
      <c r="B32" s="68"/>
      <c r="C32" s="30"/>
      <c r="D32" s="69"/>
      <c r="E32" s="69"/>
      <c r="F32" s="70"/>
      <c r="G32" s="70"/>
      <c r="H32" s="70"/>
      <c r="I32" s="71"/>
      <c r="J32" s="71"/>
      <c r="K32" s="71"/>
      <c r="L32" s="71" t="n">
        <f aca="false">ROUND(SUM(AVRmontant_solde_euro),2)</f>
        <v>142580.98</v>
      </c>
    </row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>
      <c r="S67" s="72"/>
    </row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false" zeroHeight="false" outlineLevelRow="0" outlineLevelCol="0"/>
  <cols>
    <col collapsed="false" customWidth="true" hidden="false" outlineLevel="0" max="1" min="1" style="43" width="33.52"/>
    <col collapsed="false" customWidth="true" hidden="false" outlineLevel="0" max="2" min="2" style="43" width="11.33"/>
    <col collapsed="false" customWidth="true" hidden="false" outlineLevel="0" max="3" min="3" style="43" width="15.33"/>
    <col collapsed="false" customWidth="true" hidden="false" outlineLevel="0" max="4" min="4" style="43" width="3"/>
    <col collapsed="false" customWidth="true" hidden="false" outlineLevel="0" max="5" min="5" style="73" width="31.68"/>
    <col collapsed="false" customWidth="true" hidden="false" outlineLevel="0" max="6" min="6" style="73" width="15.77"/>
    <col collapsed="false" customWidth="true" hidden="false" outlineLevel="0" max="7" min="7" style="73" width="12.84"/>
    <col collapsed="false" customWidth="true" hidden="false" outlineLevel="0" max="8" min="8" style="73" width="11.12"/>
    <col collapsed="false" customWidth="true" hidden="false" outlineLevel="0" max="9" min="9" style="73" width="13.16"/>
    <col collapsed="false" customWidth="true" hidden="false" outlineLevel="0" max="10" min="10" style="73" width="37"/>
    <col collapsed="false" customWidth="false" hidden="false" outlineLevel="0" max="16366" min="29" style="73" width="10.83"/>
    <col collapsed="false" customWidth="true" hidden="false" outlineLevel="0" max="16384" min="16367" style="73" width="11.53"/>
  </cols>
  <sheetData>
    <row r="1" customFormat="false" ht="16.5" hidden="false" customHeight="true" outlineLevel="0" collapsed="false">
      <c r="A1" s="50" t="str">
        <f aca="false">Contrôles!K$49</f>
        <v>✓</v>
      </c>
      <c r="B1" s="12"/>
      <c r="C1" s="74" t="n">
        <f aca="false">C$2-365</f>
        <v>45845</v>
      </c>
      <c r="D1" s="74"/>
    </row>
    <row r="2" customFormat="false" ht="16.5" hidden="false" customHeight="true" outlineLevel="0" collapsed="false">
      <c r="A2" s="12"/>
      <c r="B2" s="12"/>
      <c r="C2" s="74" t="n">
        <f aca="true">TODAY()</f>
        <v>46210</v>
      </c>
      <c r="D2" s="74"/>
    </row>
    <row r="3" customFormat="false" ht="28.5" hidden="false" customHeight="true" outlineLevel="0" collapsed="false">
      <c r="A3" s="26" t="s">
        <v>118</v>
      </c>
      <c r="B3" s="26" t="s">
        <v>79</v>
      </c>
      <c r="C3" s="26" t="s">
        <v>119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120</v>
      </c>
      <c r="B5" s="54" t="s">
        <v>121</v>
      </c>
      <c r="C5" s="16" t="n">
        <f aca="false">SUMIF(CATposte,A5,CATaffectation)</f>
        <v>-9.29126</v>
      </c>
      <c r="D5" s="16"/>
    </row>
    <row r="6" customFormat="false" ht="16.5" hidden="false" customHeight="true" outlineLevel="0" collapsed="false">
      <c r="A6" s="32" t="s">
        <v>122</v>
      </c>
      <c r="B6" s="54" t="s">
        <v>121</v>
      </c>
      <c r="C6" s="16" t="n">
        <f aca="false">SUMIF(CATposte,A6,CATaffectation)</f>
        <v>9.01494</v>
      </c>
      <c r="D6" s="16"/>
    </row>
    <row r="7" customFormat="false" ht="16.5" hidden="false" customHeight="true" outlineLevel="0" collapsed="false">
      <c r="A7" s="32" t="s">
        <v>123</v>
      </c>
      <c r="B7" s="54" t="s">
        <v>121</v>
      </c>
      <c r="C7" s="16" t="n">
        <f aca="false">SUMIF(CATposte,A7,CATaffectation)</f>
        <v>-120</v>
      </c>
      <c r="D7" s="16"/>
    </row>
    <row r="8" customFormat="false" ht="16.5" hidden="false" customHeight="true" outlineLevel="0" collapsed="false">
      <c r="A8" s="32" t="s">
        <v>124</v>
      </c>
      <c r="B8" s="54" t="s">
        <v>121</v>
      </c>
      <c r="C8" s="16" t="n">
        <f aca="false">SUMIF(CATposte,A8,CATaffectation)</f>
        <v>0</v>
      </c>
      <c r="D8" s="16"/>
    </row>
    <row r="9" customFormat="false" ht="16.5" hidden="false" customHeight="true" outlineLevel="0" collapsed="false">
      <c r="A9" s="32" t="s">
        <v>31</v>
      </c>
      <c r="B9" s="54" t="s">
        <v>121</v>
      </c>
      <c r="C9" s="16" t="n">
        <f aca="false">SUMIF(CATposte,A9,CATaffectation)</f>
        <v>-1670</v>
      </c>
      <c r="D9" s="16"/>
    </row>
    <row r="10" customFormat="false" ht="16.5" hidden="false" customHeight="true" outlineLevel="0" collapsed="false">
      <c r="A10" s="32" t="s">
        <v>4</v>
      </c>
      <c r="B10" s="54"/>
      <c r="C10" s="16"/>
      <c r="D10" s="16"/>
    </row>
    <row r="11" customFormat="false" ht="17.25" hidden="false" customHeight="true" outlineLevel="0" collapsed="false">
      <c r="A11" s="75" t="s">
        <v>125</v>
      </c>
      <c r="B11" s="68"/>
      <c r="C11" s="71" t="n">
        <f aca="false">SUM(POSTESmontant)</f>
        <v>-1790.27632</v>
      </c>
      <c r="D11" s="76"/>
    </row>
    <row r="12" customFormat="false" ht="16.5" hidden="false" customHeight="true" outlineLevel="0" collapsed="false">
      <c r="A12" s="77" t="s">
        <v>126</v>
      </c>
      <c r="B12" s="78"/>
      <c r="C12" s="79" t="n">
        <f aca="false">SUMIF(POSTEStype,"Fixe",POSTESmontant)</f>
        <v>-1790.27632</v>
      </c>
      <c r="D12" s="80"/>
    </row>
    <row r="13" customFormat="false" ht="17.25" hidden="false" customHeight="true" outlineLevel="0" collapsed="false">
      <c r="A13" s="77" t="s">
        <v>127</v>
      </c>
      <c r="B13" s="78"/>
      <c r="C13" s="79" t="n">
        <f aca="false">C$12/12</f>
        <v>-149.189693333333</v>
      </c>
      <c r="D13" s="81"/>
    </row>
    <row r="14" customFormat="false" ht="16.5" hidden="false" customHeight="true" outlineLevel="0" collapsed="false">
      <c r="A14" s="77" t="s">
        <v>128</v>
      </c>
      <c r="B14" s="78"/>
      <c r="C14" s="79" t="n">
        <f aca="false">ROUND(C$11-I$39,2)</f>
        <v>0</v>
      </c>
      <c r="D14" s="82"/>
    </row>
    <row r="16" customFormat="false" ht="18.75" hidden="false" customHeight="true" outlineLevel="0" collapsed="false">
      <c r="E16" s="83" t="s">
        <v>60</v>
      </c>
      <c r="F16" s="83"/>
      <c r="G16" s="83"/>
      <c r="H16" s="83"/>
      <c r="I16" s="83"/>
      <c r="J16" s="83"/>
    </row>
    <row r="17" customFormat="false" ht="37.5" hidden="false" customHeight="true" outlineLevel="0" collapsed="false">
      <c r="E17" s="84" t="s">
        <v>129</v>
      </c>
      <c r="F17" s="85" t="s">
        <v>89</v>
      </c>
      <c r="G17" s="26" t="s">
        <v>130</v>
      </c>
      <c r="H17" s="50" t="s">
        <v>131</v>
      </c>
      <c r="I17" s="26" t="s">
        <v>132</v>
      </c>
      <c r="J17" s="26" t="s">
        <v>118</v>
      </c>
    </row>
    <row r="18" customFormat="false" ht="15" hidden="false" customHeight="true" outlineLevel="0" collapsed="false">
      <c r="E18" s="84" t="s">
        <v>133</v>
      </c>
      <c r="F18" s="86" t="n">
        <f aca="false">INDEX(COTcours,MATCH($F$17,COTcode,0))</f>
        <v>1</v>
      </c>
      <c r="G18" s="12"/>
      <c r="H18" s="87"/>
      <c r="I18" s="88"/>
      <c r="J18" s="88"/>
    </row>
    <row r="19" customFormat="false" ht="15" hidden="false" customHeight="true" outlineLevel="0" collapsed="false">
      <c r="E19" s="32" t="s">
        <v>4</v>
      </c>
      <c r="F19" s="16"/>
      <c r="G19" s="16"/>
      <c r="H19" s="89"/>
      <c r="I19" s="16"/>
      <c r="J19" s="90"/>
    </row>
    <row r="20" customFormat="false" ht="16.5" hidden="false" customHeight="true" outlineLevel="0" collapsed="false">
      <c r="E20" s="32" t="s">
        <v>134</v>
      </c>
      <c r="F20" s="16" t="n">
        <f aca="false">SUMIFS(OPmontant,OPdevise,F$17,OPcatégorie,$E20,OPdate,"&gt;"&amp;$C$2-365)</f>
        <v>-1018.08</v>
      </c>
      <c r="G20" s="16" t="n">
        <f aca="false">SUMPRODUCT(SUMIFS(OPmontant,OPcatégorie,$E20,OPdate,"&gt;"&amp;$C$2-365,OPdevise,COTcode)*COTcours)</f>
        <v>8.630135</v>
      </c>
      <c r="H20" s="89"/>
      <c r="I20" s="16"/>
      <c r="J20" s="90"/>
    </row>
    <row r="21" customFormat="false" ht="16.5" hidden="false" customHeight="true" outlineLevel="0" collapsed="false">
      <c r="E21" s="32" t="s">
        <v>135</v>
      </c>
      <c r="F21" s="16" t="n">
        <f aca="false">SUMIFS(OPmontant,OPdevise,F$17,OPcatégorie,$E21,OPdate,"&gt;"&amp;$C$2-365)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89"/>
      <c r="I21" s="16"/>
      <c r="J21" s="90"/>
    </row>
    <row r="22" customFormat="false" ht="16.5" hidden="false" customHeight="true" outlineLevel="0" collapsed="false">
      <c r="E22" s="32" t="s">
        <v>136</v>
      </c>
      <c r="F22" s="16" t="n">
        <f aca="false">SUMIFS(OPmontant,OPdevise,F$17,OPcatégorie,$E22,OPdate,"&gt;"&amp;$C$2-365)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16"/>
      <c r="I22" s="16"/>
      <c r="J22" s="51"/>
    </row>
    <row r="23" customFormat="false" ht="16.5" hidden="false" customHeight="true" outlineLevel="0" collapsed="false">
      <c r="E23" s="32" t="s">
        <v>137</v>
      </c>
      <c r="F23" s="16" t="n">
        <f aca="false">SUMIFS(OPmontant,OPdevise,F$17,OPcatégorie,$E23,OPdate,"&gt;"&amp;$C$2-365)</f>
        <v>0</v>
      </c>
      <c r="G23" s="16" t="n">
        <f aca="false">SUMPRODUCT(SUMIFS(OPmontant,OPcatégorie,$E23,OPdate,"&gt;"&amp;$C$2-365,OPdevise,COTcode)*COTcours)</f>
        <v>0</v>
      </c>
      <c r="H23" s="16"/>
      <c r="I23" s="16"/>
      <c r="J23" s="51"/>
    </row>
    <row r="24" customFormat="false" ht="16.5" hidden="false" customHeight="true" outlineLevel="0" collapsed="false">
      <c r="E24" s="32" t="s">
        <v>138</v>
      </c>
      <c r="F24" s="16" t="n">
        <f aca="false">SUMIFS(OPmontant,OPdevise,F$17,OPcatégorie,$E24,OPdate,"&gt;"&amp;$C$2-365)</f>
        <v>0</v>
      </c>
      <c r="G24" s="16" t="n">
        <f aca="false">SUMPRODUCT(SUMIFS(OPmontant,OPcatégorie,$E24,OPdate,"&gt;"&amp;$C$2-365,OPdevise,COTcode)*COTcours)</f>
        <v>0</v>
      </c>
      <c r="H24" s="16"/>
      <c r="I24" s="16"/>
      <c r="J24" s="51"/>
    </row>
    <row r="25" customFormat="false" ht="16.5" hidden="false" customHeight="true" outlineLevel="0" collapsed="false">
      <c r="E25" s="32" t="s">
        <v>139</v>
      </c>
      <c r="F25" s="16" t="n">
        <f aca="false">SUMIFS(OPmontant,OPdevise,F$17,OPcatégorie,$E25,OPdate,"&gt;"&amp;$C$2-365)</f>
        <v>0</v>
      </c>
      <c r="G25" s="16" t="n">
        <f aca="false">SUMPRODUCT(SUMIFS(OPmontant,OPcatégorie,$E25,OPdate,"&gt;"&amp;$C$2-365,OPdevise,COTcode)*COTcours)</f>
        <v>0</v>
      </c>
      <c r="H25" s="89"/>
      <c r="I25" s="16"/>
      <c r="J25" s="90"/>
    </row>
    <row r="26" customFormat="false" ht="16.5" hidden="false" customHeight="true" outlineLevel="0" collapsed="false">
      <c r="E26" s="32" t="s">
        <v>12</v>
      </c>
      <c r="F26" s="16" t="n">
        <f aca="false">SUMIFS(OPmontant,OPdevise,F$17,OPcatégorie,$E26,OPdate,"&gt;"&amp;$C$2-365)</f>
        <v>0</v>
      </c>
      <c r="G26" s="16" t="n">
        <f aca="false">SUMPRODUCT(SUMIFS(OPmontant,OPcatégorie,$E26,OPdate,"&gt;"&amp;$C$2-365,OPdevise,COTcode)*COTcours)</f>
        <v>0</v>
      </c>
      <c r="H26" s="91" t="n">
        <v>1</v>
      </c>
      <c r="I26" s="16" t="n">
        <f aca="false">G26*H26</f>
        <v>0</v>
      </c>
      <c r="J26" s="51" t="s">
        <v>120</v>
      </c>
    </row>
    <row r="27" customFormat="false" ht="16.5" hidden="false" customHeight="true" outlineLevel="0" collapsed="false">
      <c r="E27" s="32" t="s">
        <v>140</v>
      </c>
      <c r="F27" s="16" t="n">
        <f aca="false">SUMIFS(OPmontant,OPdevise,F$17,OPcatégorie,$E27,OPdate,"&gt;"&amp;$C$2-365)</f>
        <v>0</v>
      </c>
      <c r="G27" s="16" t="n">
        <f aca="false">SUMPRODUCT(SUMIFS(OPmontant,OPcatégorie,$E27,OPdate,"&gt;"&amp;$C$2-365,OPdevise,COTcode)*COTcours)</f>
        <v>-0.65626</v>
      </c>
      <c r="H27" s="92" t="n">
        <v>1</v>
      </c>
      <c r="I27" s="16" t="n">
        <f aca="false">G27*H27</f>
        <v>-0.65626</v>
      </c>
      <c r="J27" s="51" t="s">
        <v>120</v>
      </c>
    </row>
    <row r="28" customFormat="false" ht="16.5" hidden="false" customHeight="true" outlineLevel="0" collapsed="false">
      <c r="E28" s="32" t="s">
        <v>141</v>
      </c>
      <c r="F28" s="16" t="n">
        <f aca="false">SUMIFS(OPmontant,OPdevise,F$17,OPcatégorie,$E28,OPdate,"&gt;"&amp;$C$2-365)</f>
        <v>0</v>
      </c>
      <c r="G28" s="16" t="n">
        <f aca="false">SUMPRODUCT(SUMIFS(OPmontant,OPcatégorie,$E28,OPdate,"&gt;"&amp;$C$2-365,OPdevise,COTcode)*COTcours)</f>
        <v>9.01494</v>
      </c>
      <c r="H28" s="92" t="n">
        <v>1</v>
      </c>
      <c r="I28" s="16" t="n">
        <f aca="false">G28*H28</f>
        <v>9.01494</v>
      </c>
      <c r="J28" s="51" t="s">
        <v>122</v>
      </c>
    </row>
    <row r="29" customFormat="false" ht="16.5" hidden="false" customHeight="true" outlineLevel="0" collapsed="false">
      <c r="E29" s="32" t="s">
        <v>142</v>
      </c>
      <c r="F29" s="16" t="n">
        <f aca="false">SUMIFS(OPmontant,OPdevise,F$17,OPcatégorie,$E29,OPdate,"&gt;"&amp;$C$2-365)</f>
        <v>0</v>
      </c>
      <c r="G29" s="16" t="n">
        <f aca="false">SUMPRODUCT(SUMIFS(OPmontant,OPcatégorie,$E29,OPdate,"&gt;"&amp;$C$2-365,OPdevise,COTcode)*COTcours)</f>
        <v>-8.635</v>
      </c>
      <c r="H29" s="92" t="n">
        <v>1</v>
      </c>
      <c r="I29" s="16" t="n">
        <f aca="false">G29*H29</f>
        <v>-8.635</v>
      </c>
      <c r="J29" s="51" t="s">
        <v>120</v>
      </c>
    </row>
    <row r="30" customFormat="false" ht="16.5" hidden="false" customHeight="true" outlineLevel="0" collapsed="false">
      <c r="E30" s="32" t="s">
        <v>143</v>
      </c>
      <c r="F30" s="16" t="n">
        <f aca="false">SUMIFS(OPmontant,OPdevise,F$17,OPcatégorie,$E30,OPdate,"&gt;"&amp;$C$2-365)</f>
        <v>0</v>
      </c>
      <c r="G30" s="16" t="n">
        <f aca="false">SUMPRODUCT(SUMIFS(OPmontant,OPcatégorie,$E30,OPdate,"&gt;"&amp;$C$2-365,OPdevise,COTcode)*COTcours)</f>
        <v>0</v>
      </c>
      <c r="H30" s="92" t="n">
        <v>1</v>
      </c>
      <c r="I30" s="16" t="n">
        <f aca="false">G30*H30</f>
        <v>0</v>
      </c>
      <c r="J30" s="51" t="s">
        <v>122</v>
      </c>
    </row>
    <row r="31" customFormat="false" ht="16.5" hidden="false" customHeight="true" outlineLevel="0" collapsed="false">
      <c r="E31" s="32" t="s">
        <v>144</v>
      </c>
      <c r="F31" s="16" t="n">
        <f aca="false">SUMIFS(OPmontant,OPdevise,F$17,OPcatégorie,$E31,OPdate,"&gt;"&amp;$C$2-365)</f>
        <v>-120</v>
      </c>
      <c r="G31" s="16" t="n">
        <f aca="false">SUMPRODUCT(SUMIFS(OPmontant,OPcatégorie,$E31,OPdate,"&gt;"&amp;$C$2-365,OPdevise,COTcode)*COTcours)</f>
        <v>-120</v>
      </c>
      <c r="H31" s="92" t="n">
        <v>1</v>
      </c>
      <c r="I31" s="16" t="n">
        <f aca="false">G31*H31</f>
        <v>-120</v>
      </c>
      <c r="J31" s="51" t="s">
        <v>123</v>
      </c>
    </row>
    <row r="32" customFormat="false" ht="16.5" hidden="false" customHeight="true" outlineLevel="0" collapsed="false">
      <c r="E32" s="32" t="s">
        <v>31</v>
      </c>
      <c r="F32" s="16" t="n">
        <f aca="false">SUMIFS(OPmontant,OPdevise,F$17,OPcatégorie,$E32,OPdate,"&gt;"&amp;$C$2-365)</f>
        <v>-1670</v>
      </c>
      <c r="G32" s="16" t="n">
        <f aca="false">SUMPRODUCT(SUMIFS(OPmontant,OPcatégorie,$E32,OPdate,"&gt;"&amp;$C$2-365,OPdevise,COTcode)*COTcours)</f>
        <v>-1670</v>
      </c>
      <c r="H32" s="92" t="n">
        <v>1</v>
      </c>
      <c r="I32" s="16" t="n">
        <f aca="false">G32*H32</f>
        <v>-1670</v>
      </c>
      <c r="J32" s="51" t="s">
        <v>31</v>
      </c>
    </row>
    <row r="33" customFormat="false" ht="16.5" hidden="false" customHeight="true" outlineLevel="0" collapsed="false">
      <c r="E33" s="32" t="s">
        <v>145</v>
      </c>
      <c r="F33" s="16" t="n">
        <f aca="false">SUMIFS(OPmontant,OPdevise,F$17,OPcatégorie,$E33,OPdate,"&gt;"&amp;$C$2-365)</f>
        <v>0</v>
      </c>
      <c r="G33" s="16" t="n">
        <f aca="false">SUMPRODUCT(SUMIFS(OPmontant,OPcatégorie,$E33,OPdate,"&gt;"&amp;$C$2-365,OPdevise,COTcode)*COTcours)</f>
        <v>0</v>
      </c>
      <c r="H33" s="92" t="n">
        <v>1</v>
      </c>
      <c r="I33" s="16" t="n">
        <f aca="false">G33*H33</f>
        <v>0</v>
      </c>
      <c r="J33" s="51" t="s">
        <v>123</v>
      </c>
    </row>
    <row r="34" customFormat="false" ht="16.5" hidden="false" customHeight="true" outlineLevel="0" collapsed="false">
      <c r="E34" s="32" t="s">
        <v>124</v>
      </c>
      <c r="F34" s="16" t="n">
        <f aca="false">SUMIFS(OPmontant,OPdevise,F$17,OPcatégorie,$E34,OPdate,"&gt;"&amp;$C$2-365)</f>
        <v>0</v>
      </c>
      <c r="G34" s="16" t="n">
        <f aca="false">SUMPRODUCT(SUMIFS(OPmontant,OPcatégorie,$E34,OPdate,"&gt;"&amp;$C$2-365,OPdevise,COTcode)*COTcours)</f>
        <v>0</v>
      </c>
      <c r="H34" s="92" t="n">
        <v>1</v>
      </c>
      <c r="I34" s="16" t="n">
        <f aca="false">G34*H34</f>
        <v>0</v>
      </c>
      <c r="J34" s="51" t="s">
        <v>124</v>
      </c>
    </row>
    <row r="35" customFormat="false" ht="17.25" hidden="false" customHeight="true" outlineLevel="0" collapsed="false">
      <c r="E35" s="32" t="s">
        <v>4</v>
      </c>
      <c r="F35" s="16"/>
      <c r="G35" s="16"/>
      <c r="H35" s="16"/>
      <c r="I35" s="16"/>
      <c r="J35" s="51"/>
    </row>
    <row r="36" customFormat="false" ht="19.5" hidden="false" customHeight="true" outlineLevel="0" collapsed="false">
      <c r="E36" s="75" t="s">
        <v>65</v>
      </c>
      <c r="F36" s="71" t="n">
        <f aca="false">SUM(CATmontant)</f>
        <v>-2808.08</v>
      </c>
      <c r="G36" s="71" t="n">
        <f aca="false">SUM(CATtotal_euro)</f>
        <v>-1781.646185</v>
      </c>
      <c r="H36" s="93"/>
      <c r="I36" s="71"/>
      <c r="J36" s="93"/>
    </row>
    <row r="37" customFormat="false" ht="18" hidden="false" customHeight="true" outlineLevel="0" collapsed="false">
      <c r="E37" s="77" t="s">
        <v>146</v>
      </c>
      <c r="F37" s="79" t="n">
        <f aca="false">SUMIFS(OPmontant,OPdevise,F$17,OPdate,"&gt;"&amp;$C$2-365,OPcatégorie,"&lt;&gt;"&amp;Spéciale)</f>
        <v>-2808.08</v>
      </c>
      <c r="G37" s="79" t="n">
        <f aca="false">SUMPRODUCT(SUMIFS(OPmontant,OPdate,"&gt;"&amp;$C$2-365,OPcatégorie,"&lt;&gt;"&amp;Spéciale,OPdevise,COTcode)*COTcours)</f>
        <v>-1781.646185</v>
      </c>
      <c r="H37" s="94"/>
      <c r="I37" s="79"/>
      <c r="J37" s="94"/>
    </row>
    <row r="38" customFormat="false" ht="16.5" hidden="false" customHeight="true" outlineLevel="0" collapsed="false">
      <c r="E38" s="77" t="s">
        <v>147</v>
      </c>
      <c r="F38" s="79" t="n">
        <f aca="false">ROUND(F$36-F$37,2)</f>
        <v>0</v>
      </c>
      <c r="G38" s="79" t="n">
        <f aca="false">ROUND(G$36-G$37,2)</f>
        <v>0</v>
      </c>
      <c r="H38" s="94"/>
      <c r="I38" s="79"/>
      <c r="J38" s="94"/>
    </row>
    <row r="39" customFormat="false" ht="21.75" hidden="false" customHeight="true" outlineLevel="0" collapsed="false">
      <c r="E39" s="77" t="s">
        <v>148</v>
      </c>
      <c r="F39" s="79" t="n">
        <f aca="false">SUMIFS(CATmontant,CATnom,"&lt;&gt;@*")</f>
        <v>-1790</v>
      </c>
      <c r="G39" s="79" t="n">
        <f aca="false">SUMIFS(CATtotal_euro,CATnom,"&lt;&gt;@*")</f>
        <v>-1790.27632</v>
      </c>
      <c r="H39" s="94"/>
      <c r="I39" s="79" t="n">
        <f aca="false">SUMIFS(CATaffectation,CATnom,"&lt;&gt;@*")</f>
        <v>-1790.27632</v>
      </c>
      <c r="J39" s="94"/>
    </row>
    <row r="40" customFormat="false" ht="16.5" hidden="false" customHeight="true" outlineLevel="0" collapsed="false">
      <c r="E40" s="77" t="s">
        <v>149</v>
      </c>
      <c r="F40" s="79" t="n">
        <f aca="false">F$39*INDEX(COTcours,MATCH($F$17,COTcode,0))</f>
        <v>-1790</v>
      </c>
      <c r="G40" s="79" t="n">
        <f aca="false">SUM(F$40)</f>
        <v>-1790</v>
      </c>
      <c r="H40" s="94"/>
      <c r="I40" s="79"/>
      <c r="J40" s="94"/>
    </row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75" hidden="false" customHeight="true" outlineLevel="0" collapsed="false"/>
    <row r="1048508" customFormat="false" ht="12.75" hidden="false" customHeight="true" outlineLevel="0" collapsed="false"/>
    <row r="1048509" customFormat="false" ht="12.75" hidden="false" customHeight="true" outlineLevel="0" collapsed="false"/>
    <row r="1048510" customFormat="false" ht="12.75" hidden="false" customHeight="true" outlineLevel="0" collapsed="false"/>
    <row r="1048511" customFormat="false" ht="12.75" hidden="false" customHeight="true" outlineLevel="0" collapsed="false"/>
    <row r="1048512" customFormat="false" ht="12.75" hidden="false" customHeight="true" outlineLevel="0" collapsed="false"/>
    <row r="1048513" customFormat="false" ht="12.75" hidden="false" customHeight="true" outlineLevel="0" collapsed="false"/>
    <row r="1048514" customFormat="false" ht="12.75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6:J16"/>
  </mergeCells>
  <conditionalFormatting sqref="I39">
    <cfRule type="cellIs" priority="2" operator="notEqual" aboveAverage="0" equalAverage="0" bottom="0" percent="0" rank="0" text="" dxfId="3">
      <formula>$G$39</formula>
    </cfRule>
    <cfRule type="cellIs" priority="3" operator="notEqual" aboveAverage="0" equalAverage="0" bottom="0" percent="0" rank="0" text="" dxfId="3">
      <formula>$G$39</formula>
    </cfRule>
  </conditionalFormatting>
  <conditionalFormatting sqref="G38 C14">
    <cfRule type="cellIs" priority="4" operator="notEqual" aboveAverage="0" equalAverage="0" bottom="0" percent="0" rank="0" text="" dxfId="4">
      <formula>0</formula>
    </cfRule>
  </conditionalFormatting>
  <conditionalFormatting sqref="H26:H34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20:F34">
    <cfRule type="expression" priority="8" aboveAverage="0" equalAverage="0" bottom="0" percent="0" rank="0" text="" dxfId="6">
      <formula>$F$17="EUR"</formula>
    </cfRule>
    <cfRule type="expression" priority="9" aboveAverage="0" equalAverage="0" bottom="0" percent="0" rank="0" text="" dxfId="7">
      <formula>$F$17="USD"</formula>
    </cfRule>
    <cfRule type="expression" priority="10" aboveAverage="0" equalAverage="0" bottom="0" percent="0" rank="0" text="" dxfId="8">
      <formula>$F$17="SGD"</formula>
    </cfRule>
    <cfRule type="expression" priority="11" aboveAverage="0" equalAverage="0" bottom="0" percent="0" rank="0" text="" dxfId="9">
      <formula>$F$17="XAU"</formula>
    </cfRule>
    <cfRule type="expression" priority="12" aboveAverage="0" equalAverage="0" bottom="0" percent="0" rank="0" text="" dxfId="10">
      <formula>$F$17="OrPr"</formula>
    </cfRule>
    <cfRule type="expression" priority="13" aboveAverage="0" equalAverage="0" bottom="0" percent="0" rank="0" text="" dxfId="11">
      <formula>$F$17="BTC"</formula>
    </cfRule>
    <cfRule type="expression" priority="14" aboveAverage="0" equalAverage="0" bottom="0" percent="0" rank="0" text="" dxfId="12">
      <formula>$F$17="SAT"</formula>
    </cfRule>
    <cfRule type="expression" priority="15" aboveAverage="0" equalAverage="0" bottom="0" percent="0" rank="0" text="" dxfId="13">
      <formula>$F$17="XMR"</formula>
    </cfRule>
  </conditionalFormatting>
  <conditionalFormatting sqref="F36:F39">
    <cfRule type="expression" priority="16" aboveAverage="0" equalAverage="0" bottom="0" percent="0" rank="0" text="" dxfId="6">
      <formula>$F$17="EUR"</formula>
    </cfRule>
    <cfRule type="expression" priority="17" aboveAverage="0" equalAverage="0" bottom="0" percent="0" rank="0" text="" dxfId="14">
      <formula>$F$17="USD"</formula>
    </cfRule>
    <cfRule type="expression" priority="18" aboveAverage="0" equalAverage="0" bottom="0" percent="0" rank="0" text="" dxfId="15">
      <formula>$F$17="SGD"</formula>
    </cfRule>
    <cfRule type="expression" priority="19" aboveAverage="0" equalAverage="0" bottom="0" percent="0" rank="0" text="" dxfId="16">
      <formula>$F$17="XAU"</formula>
    </cfRule>
    <cfRule type="expression" priority="20" aboveAverage="0" equalAverage="0" bottom="0" percent="0" rank="0" text="" dxfId="17">
      <formula>$F$17="OrPr"</formula>
    </cfRule>
    <cfRule type="expression" priority="21" aboveAverage="0" equalAverage="0" bottom="0" percent="0" rank="0" text="" dxfId="18">
      <formula>$F$17="BTC"</formula>
    </cfRule>
    <cfRule type="expression" priority="22" aboveAverage="0" equalAverage="0" bottom="0" percent="0" rank="0" text="" dxfId="19">
      <formula>$F$17="SAT"</formula>
    </cfRule>
    <cfRule type="expression" priority="23" aboveAverage="0" equalAverage="0" bottom="0" percent="0" rank="0" text="" dxfId="20">
      <formula>$F$17="XMR"</formula>
    </cfRule>
  </conditionalFormatting>
  <dataValidations count="1">
    <dataValidation allowBlank="true" errorStyle="stop" operator="equal" showDropDown="false" showErrorMessage="true" showInputMessage="false" sqref="F17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4" topLeftCell="C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false" zeroHeight="false" outlineLevelRow="0" outlineLevelCol="0"/>
  <cols>
    <col collapsed="false" customWidth="true" hidden="false" outlineLevel="0" max="1" min="1" style="73" width="25.15"/>
    <col collapsed="false" customWidth="true" hidden="false" outlineLevel="0" max="2" min="2" style="73" width="31.42"/>
    <col collapsed="false" customWidth="true" hidden="false" outlineLevel="0" max="3" min="3" style="73" width="28.57"/>
    <col collapsed="false" customWidth="true" hidden="false" outlineLevel="0" max="4" min="4" style="73" width="15.09"/>
    <col collapsed="false" customWidth="true" hidden="false" outlineLevel="0" max="5" min="5" style="95" width="17.62"/>
    <col collapsed="false" customWidth="true" hidden="false" outlineLevel="0" max="6" min="6" style="73" width="13.67"/>
    <col collapsed="false" customWidth="true" hidden="false" outlineLevel="0" max="7" min="7" style="95" width="9.16"/>
    <col collapsed="false" customWidth="true" hidden="false" outlineLevel="0" max="8" min="8" style="73" width="15.66"/>
    <col collapsed="false" customWidth="true" hidden="false" outlineLevel="0" max="9" min="9" style="73" width="17.74"/>
    <col collapsed="false" customWidth="true" hidden="false" outlineLevel="0" max="10" min="10" style="73" width="15.66"/>
    <col collapsed="false" customWidth="true" hidden="false" outlineLevel="0" max="11" min="11" style="95" width="17.74"/>
    <col collapsed="false" customWidth="true" hidden="false" outlineLevel="0" max="12" min="12" style="95" width="13.67"/>
    <col collapsed="false" customWidth="false" hidden="false" outlineLevel="0" max="16379" min="13" style="73" width="13.16"/>
    <col collapsed="false" customWidth="true" hidden="false" outlineLevel="0" max="16384" min="16380" style="73" width="11.53"/>
  </cols>
  <sheetData>
    <row r="1" customFormat="false" ht="16.5" hidden="false" customHeight="true" outlineLevel="0" collapsed="false">
      <c r="A1" s="84" t="str">
        <f aca="false">Contrôles!$K49</f>
        <v>✓</v>
      </c>
      <c r="B1" s="46" t="s">
        <v>150</v>
      </c>
      <c r="C1" s="12"/>
      <c r="D1" s="84"/>
      <c r="E1" s="12"/>
      <c r="F1" s="84"/>
      <c r="G1" s="12"/>
      <c r="H1" s="12"/>
      <c r="I1" s="12"/>
      <c r="J1" s="84"/>
      <c r="K1" s="84"/>
    </row>
    <row r="2" customFormat="false" ht="16.5" hidden="false" customHeight="true" outlineLevel="0" collapsed="false">
      <c r="A2" s="46"/>
      <c r="B2" s="46" t="s">
        <v>151</v>
      </c>
      <c r="C2" s="46"/>
      <c r="D2" s="84"/>
      <c r="E2" s="12"/>
      <c r="F2" s="84"/>
      <c r="G2" s="12"/>
      <c r="H2" s="12"/>
      <c r="I2" s="12"/>
      <c r="J2" s="46"/>
      <c r="K2" s="12"/>
    </row>
    <row r="3" customFormat="false" ht="16.5" hidden="false" customHeight="true" outlineLevel="0" collapsed="false">
      <c r="A3" s="46"/>
      <c r="B3" s="46" t="str">
        <f aca="false">IF(OR(ISERROR(E53),ISERROR(K53)),"✗","✓")</f>
        <v>✓</v>
      </c>
      <c r="C3" s="46"/>
      <c r="D3" s="84"/>
      <c r="E3" s="11" t="n">
        <f aca="false">E53</f>
        <v>1455.0077973604</v>
      </c>
      <c r="F3" s="84"/>
      <c r="G3" s="96" t="n">
        <f aca="false">G53</f>
        <v>44927</v>
      </c>
      <c r="H3" s="46"/>
      <c r="I3" s="12"/>
      <c r="J3" s="46"/>
      <c r="K3" s="12"/>
    </row>
    <row r="4" customFormat="false" ht="24.75" hidden="false" customHeight="true" outlineLevel="0" collapsed="false">
      <c r="A4" s="97" t="s">
        <v>152</v>
      </c>
      <c r="B4" s="26" t="s">
        <v>69</v>
      </c>
      <c r="C4" s="26" t="s">
        <v>153</v>
      </c>
      <c r="D4" s="26" t="s">
        <v>82</v>
      </c>
      <c r="E4" s="98" t="s">
        <v>154</v>
      </c>
      <c r="F4" s="26" t="s">
        <v>155</v>
      </c>
      <c r="G4" s="50" t="s">
        <v>156</v>
      </c>
      <c r="H4" s="26" t="s">
        <v>157</v>
      </c>
      <c r="I4" s="99" t="s">
        <v>158</v>
      </c>
      <c r="J4" s="50" t="s">
        <v>159</v>
      </c>
      <c r="K4" s="99" t="s">
        <v>160</v>
      </c>
    </row>
    <row r="5" customFormat="false" ht="16.5" hidden="false" customHeight="true" outlineLevel="0" collapsed="false">
      <c r="A5" s="32" t="s">
        <v>4</v>
      </c>
      <c r="B5" s="51"/>
      <c r="C5" s="51"/>
      <c r="D5" s="51"/>
      <c r="E5" s="51"/>
      <c r="F5" s="51"/>
      <c r="G5" s="51"/>
      <c r="H5" s="51"/>
      <c r="I5" s="51"/>
      <c r="J5" s="51"/>
      <c r="K5" s="51"/>
    </row>
    <row r="6" customFormat="false" ht="16.5" hidden="false" customHeight="true" outlineLevel="0" collapsed="false">
      <c r="A6" s="100" t="s">
        <v>161</v>
      </c>
      <c r="B6" s="51"/>
      <c r="C6" s="51"/>
      <c r="D6" s="51"/>
      <c r="E6" s="51"/>
      <c r="F6" s="51"/>
      <c r="G6" s="51"/>
      <c r="H6" s="51"/>
      <c r="I6" s="51"/>
      <c r="J6" s="51"/>
      <c r="K6" s="51"/>
    </row>
    <row r="7" customFormat="false" ht="16.5" hidden="false" customHeight="true" outlineLevel="0" collapsed="false">
      <c r="A7" s="32"/>
      <c r="B7" s="51"/>
      <c r="C7" s="51"/>
      <c r="D7" s="51"/>
      <c r="E7" s="51"/>
      <c r="F7" s="51"/>
      <c r="G7" s="51"/>
      <c r="H7" s="51"/>
      <c r="I7" s="51"/>
      <c r="J7" s="51"/>
      <c r="K7" s="51"/>
    </row>
    <row r="8" customFormat="false" ht="16.5" hidden="false" customHeight="true" outlineLevel="0" collapsed="false">
      <c r="A8" s="100" t="s">
        <v>162</v>
      </c>
      <c r="B8" s="51" t="s">
        <v>88</v>
      </c>
      <c r="C8" s="51" t="s">
        <v>67</v>
      </c>
      <c r="D8" s="51"/>
      <c r="E8" s="101"/>
      <c r="F8" s="51"/>
      <c r="G8" s="102"/>
      <c r="H8" s="103"/>
      <c r="I8" s="103"/>
      <c r="J8" s="102"/>
      <c r="K8" s="101"/>
      <c r="L8" s="104"/>
    </row>
    <row r="9" customFormat="false" ht="16.5" hidden="false" customHeight="true" outlineLevel="0" collapsed="false">
      <c r="A9" s="100" t="s">
        <v>162</v>
      </c>
      <c r="B9" s="32" t="s">
        <v>88</v>
      </c>
      <c r="C9" s="32" t="s">
        <v>65</v>
      </c>
      <c r="D9" s="32" t="s">
        <v>89</v>
      </c>
      <c r="E9" s="105" t="n">
        <f aca="false">K9-(H9+I9)</f>
        <v>0</v>
      </c>
      <c r="F9" s="32"/>
      <c r="G9" s="106" t="n">
        <v>0</v>
      </c>
      <c r="H9" s="107" t="n">
        <v>0</v>
      </c>
      <c r="I9" s="107" t="n">
        <v>0</v>
      </c>
      <c r="J9" s="106"/>
      <c r="K9" s="105" t="n">
        <v>0</v>
      </c>
      <c r="L9" s="104"/>
    </row>
    <row r="10" customFormat="false" ht="16.5" hidden="false" customHeight="true" outlineLevel="0" collapsed="false">
      <c r="A10" s="100" t="s">
        <v>162</v>
      </c>
      <c r="B10" s="32" t="s">
        <v>88</v>
      </c>
      <c r="C10" s="32" t="s">
        <v>163</v>
      </c>
      <c r="D10" s="32" t="s">
        <v>89</v>
      </c>
      <c r="E10" s="105" t="n">
        <f aca="false">K10-(H10+I10)</f>
        <v>0</v>
      </c>
      <c r="F10" s="32"/>
      <c r="G10" s="106" t="n">
        <f aca="false">_xlfn.MINIFS(OPdate,OPcompte,$B10,OPdevise,D10,OPcatégorie,Solde)</f>
        <v>0</v>
      </c>
      <c r="H10" s="107" t="n">
        <f aca="false">SUMIFS(OPmontant,OPcompte,$B10,OPdevise,$D10,OPdate,$G10,OPcatégorie,Solde)</f>
        <v>0</v>
      </c>
      <c r="I10" s="107" t="n">
        <f aca="false">I9</f>
        <v>0</v>
      </c>
      <c r="J10" s="106" t="n">
        <f aca="false">_xlfn.MAXIFS(OPdate,OPcompte,$B10,OPdevise,$D10,OPcatégorie,Solde)</f>
        <v>0</v>
      </c>
      <c r="K10" s="105" t="n">
        <f aca="false">SUMIFS(OPmontant,OPcompte,$B10,OPdevise,$D10,OPcatégorie,Solde,OPdate,J10)</f>
        <v>0</v>
      </c>
      <c r="L10" s="104"/>
    </row>
    <row r="11" customFormat="false" ht="16.5" hidden="false" customHeight="true" outlineLevel="0" collapsed="false">
      <c r="A11" s="100" t="s">
        <v>162</v>
      </c>
      <c r="B11" s="32" t="s">
        <v>88</v>
      </c>
      <c r="C11" s="32" t="s">
        <v>70</v>
      </c>
      <c r="D11" s="32" t="s">
        <v>89</v>
      </c>
      <c r="E11" s="105" t="n">
        <f aca="false">K11-(H11+I11)</f>
        <v>0</v>
      </c>
      <c r="F11" s="32"/>
      <c r="G11" s="106" t="n">
        <f aca="false">G10</f>
        <v>0</v>
      </c>
      <c r="H11" s="107" t="n">
        <f aca="false">H10</f>
        <v>0</v>
      </c>
      <c r="I11" s="107" t="n">
        <f aca="false">I10</f>
        <v>0</v>
      </c>
      <c r="J11" s="106" t="n">
        <f aca="false">IF(J9&gt;J10,J9,J10)</f>
        <v>0</v>
      </c>
      <c r="K11" s="105" t="n">
        <f aca="false">IF(J9&gt;J10,K9,K10)</f>
        <v>0</v>
      </c>
      <c r="L11" s="104"/>
    </row>
    <row r="12" customFormat="false" ht="16.5" hidden="false" customHeight="true" outlineLevel="0" collapsed="false">
      <c r="A12" s="32"/>
      <c r="B12" s="51"/>
      <c r="C12" s="51"/>
      <c r="D12" s="51"/>
      <c r="E12" s="51"/>
      <c r="F12" s="51"/>
      <c r="G12" s="51"/>
      <c r="H12" s="51"/>
      <c r="I12" s="51"/>
      <c r="J12" s="51"/>
      <c r="K12" s="51"/>
    </row>
    <row r="13" customFormat="false" ht="16.5" hidden="false" customHeight="true" outlineLevel="0" collapsed="false">
      <c r="A13" s="100" t="s">
        <v>162</v>
      </c>
      <c r="B13" s="51" t="s">
        <v>90</v>
      </c>
      <c r="C13" s="51" t="s">
        <v>67</v>
      </c>
      <c r="D13" s="51"/>
      <c r="E13" s="101"/>
      <c r="F13" s="51"/>
      <c r="G13" s="102"/>
      <c r="H13" s="103"/>
      <c r="I13" s="103"/>
      <c r="J13" s="102"/>
      <c r="K13" s="101"/>
      <c r="L13" s="104"/>
    </row>
    <row r="14" customFormat="false" ht="16.5" hidden="false" customHeight="true" outlineLevel="0" collapsed="false">
      <c r="A14" s="100" t="s">
        <v>162</v>
      </c>
      <c r="B14" s="32" t="s">
        <v>90</v>
      </c>
      <c r="C14" s="32" t="s">
        <v>65</v>
      </c>
      <c r="D14" s="32" t="s">
        <v>89</v>
      </c>
      <c r="E14" s="105" t="n">
        <f aca="false">K14-(H14+I14)</f>
        <v>0</v>
      </c>
      <c r="F14" s="32"/>
      <c r="G14" s="106" t="n">
        <v>0</v>
      </c>
      <c r="H14" s="107" t="n">
        <v>0</v>
      </c>
      <c r="I14" s="107" t="n">
        <v>0</v>
      </c>
      <c r="J14" s="106"/>
      <c r="K14" s="105" t="n">
        <v>0</v>
      </c>
      <c r="L14" s="104"/>
    </row>
    <row r="15" customFormat="false" ht="16.5" hidden="false" customHeight="true" outlineLevel="0" collapsed="false">
      <c r="A15" s="100" t="s">
        <v>162</v>
      </c>
      <c r="B15" s="32" t="s">
        <v>90</v>
      </c>
      <c r="C15" s="32" t="s">
        <v>163</v>
      </c>
      <c r="D15" s="32" t="s">
        <v>89</v>
      </c>
      <c r="E15" s="105" t="n">
        <f aca="false">K15-(H15+I15)</f>
        <v>0</v>
      </c>
      <c r="F15" s="32"/>
      <c r="G15" s="106" t="n">
        <f aca="false">_xlfn.MINIFS(OPdate,OPcompte,$B15,OPdevise,D15,OPcatégorie,Solde)</f>
        <v>0</v>
      </c>
      <c r="H15" s="107" t="n">
        <f aca="false">SUMIFS(OPmontant,OPcompte,$B15,OPdevise,$D15,OPdate,$G15,OPcatégorie,Solde)</f>
        <v>0</v>
      </c>
      <c r="I15" s="107" t="n">
        <f aca="false">I14</f>
        <v>0</v>
      </c>
      <c r="J15" s="106" t="n">
        <f aca="false">_xlfn.MAXIFS(OPdate,OPcompte,$B15,OPdevise,$D15,OPcatégorie,Solde)</f>
        <v>0</v>
      </c>
      <c r="K15" s="105" t="n">
        <f aca="false">SUMIFS(OPmontant,OPcompte,$B15,OPdevise,$D15,OPcatégorie,Solde,OPdate,J15)</f>
        <v>0</v>
      </c>
      <c r="L15" s="104"/>
    </row>
    <row r="16" customFormat="false" ht="16.5" hidden="false" customHeight="true" outlineLevel="0" collapsed="false">
      <c r="A16" s="100" t="s">
        <v>162</v>
      </c>
      <c r="B16" s="32" t="s">
        <v>90</v>
      </c>
      <c r="C16" s="32" t="s">
        <v>70</v>
      </c>
      <c r="D16" s="32" t="s">
        <v>89</v>
      </c>
      <c r="E16" s="105" t="n">
        <f aca="false">K16-(H16+I16)</f>
        <v>0</v>
      </c>
      <c r="F16" s="32"/>
      <c r="G16" s="106" t="n">
        <f aca="false">G15</f>
        <v>0</v>
      </c>
      <c r="H16" s="107" t="n">
        <f aca="false">H15</f>
        <v>0</v>
      </c>
      <c r="I16" s="107" t="n">
        <f aca="false">I15</f>
        <v>0</v>
      </c>
      <c r="J16" s="106" t="n">
        <f aca="false">IF(J14&gt;J15,J14,J15)</f>
        <v>0</v>
      </c>
      <c r="K16" s="105" t="n">
        <f aca="false">IF(J14&gt;J15,K14,K15)</f>
        <v>0</v>
      </c>
      <c r="L16" s="104"/>
    </row>
    <row r="17" customFormat="false" ht="16.5" hidden="false" customHeight="true" outlineLevel="0" collapsed="false">
      <c r="A17" s="32"/>
      <c r="B17" s="51"/>
      <c r="C17" s="51"/>
      <c r="D17" s="51"/>
      <c r="E17" s="51"/>
      <c r="F17" s="51"/>
      <c r="G17" s="51"/>
      <c r="H17" s="51"/>
      <c r="I17" s="51"/>
      <c r="J17" s="51"/>
      <c r="K17" s="51"/>
    </row>
    <row r="18" customFormat="false" ht="16.5" hidden="false" customHeight="true" outlineLevel="0" collapsed="false">
      <c r="A18" s="100" t="s">
        <v>162</v>
      </c>
      <c r="B18" s="51" t="s">
        <v>91</v>
      </c>
      <c r="C18" s="51" t="s">
        <v>67</v>
      </c>
      <c r="D18" s="51"/>
      <c r="E18" s="101"/>
      <c r="F18" s="51"/>
      <c r="G18" s="102"/>
      <c r="H18" s="103"/>
      <c r="I18" s="103"/>
      <c r="J18" s="102"/>
      <c r="K18" s="101"/>
      <c r="L18" s="104"/>
    </row>
    <row r="19" customFormat="false" ht="16.5" hidden="false" customHeight="true" outlineLevel="0" collapsed="false">
      <c r="A19" s="100" t="s">
        <v>162</v>
      </c>
      <c r="B19" s="32" t="s">
        <v>91</v>
      </c>
      <c r="C19" s="32" t="s">
        <v>65</v>
      </c>
      <c r="D19" s="32" t="s">
        <v>89</v>
      </c>
      <c r="E19" s="105" t="n">
        <f aca="false">K19-(H19+I19)</f>
        <v>0</v>
      </c>
      <c r="F19" s="32"/>
      <c r="G19" s="106" t="n">
        <v>0</v>
      </c>
      <c r="H19" s="107" t="n">
        <v>0</v>
      </c>
      <c r="I19" s="107" t="n">
        <v>0</v>
      </c>
      <c r="J19" s="106"/>
      <c r="K19" s="105" t="n">
        <v>0</v>
      </c>
      <c r="L19" s="104"/>
    </row>
    <row r="20" customFormat="false" ht="16.5" hidden="false" customHeight="true" outlineLevel="0" collapsed="false">
      <c r="A20" s="100" t="s">
        <v>162</v>
      </c>
      <c r="B20" s="32" t="s">
        <v>91</v>
      </c>
      <c r="C20" s="32" t="s">
        <v>163</v>
      </c>
      <c r="D20" s="32" t="s">
        <v>89</v>
      </c>
      <c r="E20" s="105" t="n">
        <f aca="false">K20-(H20+I20)</f>
        <v>0</v>
      </c>
      <c r="F20" s="32"/>
      <c r="G20" s="106" t="n">
        <f aca="false">_xlfn.MINIFS(OPdate,OPcompte,$B20,OPdevise,D20,OPcatégorie,Solde)</f>
        <v>0</v>
      </c>
      <c r="H20" s="107" t="n">
        <f aca="false">SUMIFS(OPmontant,OPcompte,$B20,OPdevise,$D20,OPdate,$G20,OPcatégorie,Solde)</f>
        <v>0</v>
      </c>
      <c r="I20" s="107" t="n">
        <f aca="false">I19</f>
        <v>0</v>
      </c>
      <c r="J20" s="106" t="n">
        <f aca="false">_xlfn.MAXIFS(OPdate,OPcompte,$B20,OPdevise,$D20,OPcatégorie,Solde)</f>
        <v>0</v>
      </c>
      <c r="K20" s="105" t="n">
        <f aca="false">SUMIFS(OPmontant,OPcompte,$B20,OPdevise,$D20,OPcatégorie,Solde,OPdate,J20)</f>
        <v>0</v>
      </c>
      <c r="L20" s="104"/>
    </row>
    <row r="21" customFormat="false" ht="16.5" hidden="false" customHeight="true" outlineLevel="0" collapsed="false">
      <c r="A21" s="100" t="s">
        <v>162</v>
      </c>
      <c r="B21" s="32" t="s">
        <v>91</v>
      </c>
      <c r="C21" s="32" t="s">
        <v>70</v>
      </c>
      <c r="D21" s="32" t="s">
        <v>89</v>
      </c>
      <c r="E21" s="105" t="n">
        <f aca="false">K21-(H21+I21)</f>
        <v>0</v>
      </c>
      <c r="F21" s="32"/>
      <c r="G21" s="106" t="n">
        <f aca="false">G20</f>
        <v>0</v>
      </c>
      <c r="H21" s="107" t="n">
        <f aca="false">H20</f>
        <v>0</v>
      </c>
      <c r="I21" s="107" t="n">
        <f aca="false">I20</f>
        <v>0</v>
      </c>
      <c r="J21" s="106" t="n">
        <f aca="false">IF(J19&gt;J20,J19,J20)</f>
        <v>0</v>
      </c>
      <c r="K21" s="105" t="n">
        <f aca="false">IF(J19&gt;J20,K19,K20)</f>
        <v>0</v>
      </c>
      <c r="L21" s="104"/>
    </row>
    <row r="22" customFormat="false" ht="16.5" hidden="false" customHeight="true" outlineLevel="0" collapsed="false">
      <c r="A22" s="32"/>
      <c r="B22" s="51"/>
      <c r="C22" s="51"/>
      <c r="D22" s="51"/>
      <c r="E22" s="51"/>
      <c r="F22" s="51"/>
      <c r="G22" s="51"/>
      <c r="H22" s="51"/>
      <c r="I22" s="51"/>
      <c r="J22" s="51"/>
      <c r="K22" s="51"/>
    </row>
    <row r="23" customFormat="false" ht="16.5" hidden="false" customHeight="true" outlineLevel="0" collapsed="false">
      <c r="A23" s="100" t="s">
        <v>162</v>
      </c>
      <c r="B23" s="51" t="s">
        <v>92</v>
      </c>
      <c r="C23" s="51" t="s">
        <v>67</v>
      </c>
      <c r="D23" s="51"/>
      <c r="E23" s="101"/>
      <c r="F23" s="51"/>
      <c r="G23" s="102"/>
      <c r="H23" s="103"/>
      <c r="I23" s="103"/>
      <c r="J23" s="102"/>
      <c r="K23" s="101"/>
      <c r="L23" s="104"/>
    </row>
    <row r="24" customFormat="false" ht="16.5" hidden="false" customHeight="true" outlineLevel="0" collapsed="false">
      <c r="A24" s="100" t="s">
        <v>162</v>
      </c>
      <c r="B24" s="32" t="s">
        <v>92</v>
      </c>
      <c r="C24" s="32" t="s">
        <v>65</v>
      </c>
      <c r="D24" s="32" t="s">
        <v>89</v>
      </c>
      <c r="E24" s="105" t="n">
        <f aca="false">K24-(H24+I24)</f>
        <v>0</v>
      </c>
      <c r="F24" s="32"/>
      <c r="G24" s="106" t="n">
        <v>0</v>
      </c>
      <c r="H24" s="107" t="n">
        <v>0</v>
      </c>
      <c r="I24" s="107" t="n">
        <v>0</v>
      </c>
      <c r="J24" s="106"/>
      <c r="K24" s="105" t="n">
        <v>0</v>
      </c>
      <c r="L24" s="104"/>
    </row>
    <row r="25" customFormat="false" ht="16.5" hidden="false" customHeight="true" outlineLevel="0" collapsed="false">
      <c r="A25" s="100" t="s">
        <v>162</v>
      </c>
      <c r="B25" s="32" t="s">
        <v>92</v>
      </c>
      <c r="C25" s="32" t="s">
        <v>163</v>
      </c>
      <c r="D25" s="32" t="s">
        <v>89</v>
      </c>
      <c r="E25" s="105" t="n">
        <f aca="false">K25-(H25+I25)</f>
        <v>0</v>
      </c>
      <c r="F25" s="32"/>
      <c r="G25" s="106" t="n">
        <f aca="false">_xlfn.MINIFS(OPdate,OPcompte,$B25,OPdevise,D25,OPcatégorie,Solde)</f>
        <v>0</v>
      </c>
      <c r="H25" s="107" t="n">
        <f aca="false">SUMIFS(OPmontant,OPcompte,$B25,OPdevise,$D25,OPdate,$G25,OPcatégorie,Solde)</f>
        <v>0</v>
      </c>
      <c r="I25" s="107" t="n">
        <f aca="false">I24</f>
        <v>0</v>
      </c>
      <c r="J25" s="106" t="n">
        <f aca="false">_xlfn.MAXIFS(OPdate,OPcompte,$B25,OPdevise,$D25,OPcatégorie,Solde)</f>
        <v>0</v>
      </c>
      <c r="K25" s="105" t="n">
        <f aca="false">SUMIFS(OPmontant,OPcompte,$B25,OPdevise,$D25,OPcatégorie,Solde,OPdate,J25)</f>
        <v>0</v>
      </c>
      <c r="L25" s="104"/>
    </row>
    <row r="26" customFormat="false" ht="16.5" hidden="false" customHeight="true" outlineLevel="0" collapsed="false">
      <c r="A26" s="100" t="s">
        <v>162</v>
      </c>
      <c r="B26" s="32" t="s">
        <v>92</v>
      </c>
      <c r="C26" s="32" t="s">
        <v>70</v>
      </c>
      <c r="D26" s="32" t="s">
        <v>89</v>
      </c>
      <c r="E26" s="105" t="n">
        <f aca="false">K26-(H26+I26)</f>
        <v>0</v>
      </c>
      <c r="F26" s="32"/>
      <c r="G26" s="106" t="n">
        <f aca="false">G25</f>
        <v>0</v>
      </c>
      <c r="H26" s="107" t="n">
        <f aca="false">H25</f>
        <v>0</v>
      </c>
      <c r="I26" s="107" t="n">
        <f aca="false">I25</f>
        <v>0</v>
      </c>
      <c r="J26" s="106" t="n">
        <f aca="false">IF(J24&gt;J25,J24,J25)</f>
        <v>0</v>
      </c>
      <c r="K26" s="105" t="n">
        <f aca="false">IF(J24&gt;J25,K24,K25)</f>
        <v>0</v>
      </c>
      <c r="L26" s="104"/>
    </row>
    <row r="27" customFormat="false" ht="16.5" hidden="false" customHeight="true" outlineLevel="0" collapsed="false">
      <c r="A27" s="32"/>
      <c r="B27" s="51"/>
      <c r="C27" s="51"/>
      <c r="D27" s="51"/>
      <c r="E27" s="51"/>
      <c r="F27" s="51"/>
      <c r="G27" s="51"/>
      <c r="H27" s="51"/>
      <c r="I27" s="51"/>
      <c r="J27" s="51"/>
      <c r="K27" s="51"/>
    </row>
    <row r="28" customFormat="false" ht="16.5" hidden="false" customHeight="true" outlineLevel="0" collapsed="false">
      <c r="A28" s="100" t="s">
        <v>162</v>
      </c>
      <c r="B28" s="51" t="s">
        <v>93</v>
      </c>
      <c r="C28" s="51" t="s">
        <v>67</v>
      </c>
      <c r="D28" s="51"/>
      <c r="E28" s="108"/>
      <c r="F28" s="51"/>
      <c r="G28" s="102"/>
      <c r="H28" s="109"/>
      <c r="I28" s="109"/>
      <c r="J28" s="102"/>
      <c r="K28" s="108"/>
      <c r="L28" s="104"/>
    </row>
    <row r="29" customFormat="false" ht="16.5" hidden="false" customHeight="true" outlineLevel="0" collapsed="false">
      <c r="A29" s="100" t="s">
        <v>162</v>
      </c>
      <c r="B29" s="51" t="s">
        <v>93</v>
      </c>
      <c r="C29" s="51" t="s">
        <v>164</v>
      </c>
      <c r="D29" s="51" t="s">
        <v>94</v>
      </c>
      <c r="E29" s="110" t="n">
        <f aca="false">K29-(H29+I29)</f>
        <v>2.62</v>
      </c>
      <c r="F29" s="51"/>
      <c r="G29" s="102" t="n">
        <v>0</v>
      </c>
      <c r="H29" s="111" t="n">
        <v>10</v>
      </c>
      <c r="I29" s="111" t="n">
        <f aca="false">SUMIFS(OPmontant,OPcompte,$B29,OPdevise,$D29,OPcatégorie,"&lt;&gt;"&amp;Spéciale,OPlibellé,$C29,OPdate,"&gt;="&amp;$G29)</f>
        <v>0</v>
      </c>
      <c r="J29" s="102" t="n">
        <v>46083</v>
      </c>
      <c r="K29" s="110" t="n">
        <v>12.62</v>
      </c>
      <c r="L29" s="104"/>
    </row>
    <row r="30" customFormat="false" ht="16.5" hidden="false" customHeight="true" outlineLevel="0" collapsed="false">
      <c r="A30" s="100" t="s">
        <v>162</v>
      </c>
      <c r="B30" s="51" t="s">
        <v>93</v>
      </c>
      <c r="C30" s="51" t="s">
        <v>165</v>
      </c>
      <c r="D30" s="51" t="s">
        <v>94</v>
      </c>
      <c r="E30" s="110" t="n">
        <f aca="false">K30-(H30+I30)</f>
        <v>-30.03</v>
      </c>
      <c r="F30" s="51"/>
      <c r="G30" s="102" t="n">
        <v>45715</v>
      </c>
      <c r="H30" s="111" t="n">
        <v>0</v>
      </c>
      <c r="I30" s="111" t="n">
        <f aca="false">SUMIFS(OPmontant,OPcompte,$B30,OPdevise,$D30,OPcatégorie,"&lt;&gt;"&amp;Spéciale,OPlibellé,$C30,OPdate,"&gt;="&amp;$G30)</f>
        <v>30.03</v>
      </c>
      <c r="J30" s="102" t="n">
        <v>45924</v>
      </c>
      <c r="K30" s="110" t="n">
        <v>0</v>
      </c>
      <c r="L30" s="104"/>
    </row>
    <row r="31" customFormat="false" ht="16.5" hidden="false" customHeight="true" outlineLevel="0" collapsed="false">
      <c r="A31" s="100" t="s">
        <v>162</v>
      </c>
      <c r="B31" s="51" t="s">
        <v>93</v>
      </c>
      <c r="C31" s="51" t="s">
        <v>166</v>
      </c>
      <c r="D31" s="51" t="s">
        <v>94</v>
      </c>
      <c r="E31" s="110" t="n">
        <f aca="false">K31-(H31+I31)</f>
        <v>-413.02</v>
      </c>
      <c r="F31" s="51"/>
      <c r="G31" s="102" t="n">
        <v>45924</v>
      </c>
      <c r="H31" s="111" t="n">
        <v>0</v>
      </c>
      <c r="I31" s="111" t="n">
        <f aca="false">SUMIFS(OPmontant,OPcompte,$B31,OPdevise,$D31,OPcatégorie,"&lt;&gt;"&amp;Spéciale,OPlibellé,$C31,OPdate,"&gt;="&amp;$G31)</f>
        <v>1000</v>
      </c>
      <c r="J31" s="102" t="n">
        <v>46083</v>
      </c>
      <c r="K31" s="110" t="n">
        <v>586.98</v>
      </c>
      <c r="L31" s="104"/>
    </row>
    <row r="32" customFormat="false" ht="16.5" hidden="false" customHeight="true" outlineLevel="0" collapsed="false">
      <c r="A32" s="100" t="s">
        <v>162</v>
      </c>
      <c r="B32" s="51" t="s">
        <v>93</v>
      </c>
      <c r="C32" s="51" t="s">
        <v>167</v>
      </c>
      <c r="D32" s="51" t="s">
        <v>94</v>
      </c>
      <c r="E32" s="110" t="n">
        <f aca="false">K32-(H32+I32)</f>
        <v>115.15</v>
      </c>
      <c r="F32" s="51"/>
      <c r="G32" s="102" t="n">
        <v>46048</v>
      </c>
      <c r="H32" s="111" t="n">
        <v>0</v>
      </c>
      <c r="I32" s="111" t="n">
        <f aca="false">SUMIFS(OPmontant,OPcompte,$B32,OPdevise,$D32,OPcatégorie,"&lt;&gt;"&amp;Spéciale,OPlibellé,$C32,OPdate,"&gt;="&amp;$G32)</f>
        <v>2491.99</v>
      </c>
      <c r="J32" s="102" t="n">
        <v>46083</v>
      </c>
      <c r="K32" s="110" t="n">
        <v>2607.14</v>
      </c>
      <c r="L32" s="104"/>
    </row>
    <row r="33" customFormat="false" ht="16.5" hidden="false" customHeight="true" outlineLevel="0" collapsed="false">
      <c r="A33" s="100" t="s">
        <v>162</v>
      </c>
      <c r="B33" s="51" t="s">
        <v>93</v>
      </c>
      <c r="C33" s="51" t="s">
        <v>168</v>
      </c>
      <c r="D33" s="51" t="s">
        <v>94</v>
      </c>
      <c r="E33" s="110" t="n">
        <f aca="false">K33-(H33+I33)</f>
        <v>-18.01</v>
      </c>
      <c r="F33" s="51"/>
      <c r="G33" s="102" t="n">
        <v>45783</v>
      </c>
      <c r="H33" s="111" t="n">
        <v>0</v>
      </c>
      <c r="I33" s="111" t="n">
        <f aca="false">SUMIFS(OPmontant,OPcompte,$B33,OPdevise,$D33,OPcatégorie,"&lt;&gt;"&amp;Spéciale,OPlibellé,$C33,OPdate,"&gt;="&amp;$G33)</f>
        <v>200</v>
      </c>
      <c r="J33" s="102" t="n">
        <v>46083</v>
      </c>
      <c r="K33" s="110" t="n">
        <v>181.99</v>
      </c>
      <c r="L33" s="104"/>
    </row>
    <row r="34" customFormat="false" ht="16.5" hidden="false" customHeight="true" outlineLevel="0" collapsed="false">
      <c r="A34" s="100" t="s">
        <v>162</v>
      </c>
      <c r="B34" s="32" t="s">
        <v>93</v>
      </c>
      <c r="C34" s="32" t="s">
        <v>65</v>
      </c>
      <c r="D34" s="32" t="s">
        <v>94</v>
      </c>
      <c r="E34" s="112" t="n">
        <f aca="false">K34-(H34+I34)</f>
        <v>-343.29</v>
      </c>
      <c r="F34" s="32"/>
      <c r="G34" s="106" t="n">
        <f aca="false">MIN(G29:G33)</f>
        <v>0</v>
      </c>
      <c r="H34" s="113" t="n">
        <f aca="false">SUMPRODUCT(H29:H33*IFERROR(INDEX(COTcours,MATCH(D29:D33,COTcode,0)),1))/IFERROR(INDEX(COTcours,MATCH(D34,COTcode,0)),1)</f>
        <v>10</v>
      </c>
      <c r="I34" s="113" t="n">
        <f aca="false">SUMPRODUCT(I29:I33*IFERROR(INDEX(COTcours,MATCH(D29:D33,COTcode,0)),1))/IFERROR(INDEX(COTcours,MATCH(D34,COTcode,0)),1)</f>
        <v>3722.02</v>
      </c>
      <c r="J34" s="106" t="n">
        <f aca="false">J33</f>
        <v>46083</v>
      </c>
      <c r="K34" s="112" t="n">
        <f aca="false">SUMPRODUCT(K29:K33*IFERROR(INDEX(COTcours,MATCH(D29:D33,COTcode,0)),1))/IFERROR(INDEX(COTcours,MATCH(D34,COTcode,0)),1)</f>
        <v>3388.73</v>
      </c>
      <c r="L34" s="104"/>
    </row>
    <row r="35" customFormat="false" ht="16.5" hidden="false" customHeight="true" outlineLevel="0" collapsed="false">
      <c r="A35" s="100" t="s">
        <v>162</v>
      </c>
      <c r="B35" s="32" t="s">
        <v>93</v>
      </c>
      <c r="C35" s="32" t="s">
        <v>163</v>
      </c>
      <c r="D35" s="32" t="s">
        <v>94</v>
      </c>
      <c r="E35" s="112" t="n">
        <f aca="false">K35-(H35+I35)</f>
        <v>-3722.02</v>
      </c>
      <c r="F35" s="32"/>
      <c r="G35" s="106" t="n">
        <f aca="false">_xlfn.MINIFS(OPdate,OPcompte,$B35,OPdevise,D35,OPcatégorie,Solde)</f>
        <v>46050</v>
      </c>
      <c r="H35" s="113" t="n">
        <f aca="false">SUMIFS(OPmontant,OPcompte,$B35,OPdevise,$D35,OPdate,$G35,OPcatégorie,Solde)</f>
        <v>3549.43</v>
      </c>
      <c r="I35" s="113" t="n">
        <f aca="false">I34</f>
        <v>3722.02</v>
      </c>
      <c r="J35" s="106" t="n">
        <f aca="false">_xlfn.MAXIFS(OPdate,OPcompte,$B35,OPdevise,$D35,OPcatégorie,Solde)</f>
        <v>46050</v>
      </c>
      <c r="K35" s="112" t="n">
        <f aca="false">SUMIFS(OPmontant,OPcompte,$B35,OPdevise,$D35,OPcatégorie,Solde,OPdate,J35)</f>
        <v>3549.43</v>
      </c>
      <c r="L35" s="104"/>
    </row>
    <row r="36" customFormat="false" ht="16.5" hidden="false" customHeight="true" outlineLevel="0" collapsed="false">
      <c r="A36" s="100" t="s">
        <v>162</v>
      </c>
      <c r="B36" s="32" t="s">
        <v>93</v>
      </c>
      <c r="C36" s="32" t="s">
        <v>70</v>
      </c>
      <c r="D36" s="32" t="s">
        <v>94</v>
      </c>
      <c r="E36" s="112" t="n">
        <f aca="false">K36-(H36+I36)</f>
        <v>-3882.72</v>
      </c>
      <c r="F36" s="32"/>
      <c r="G36" s="106" t="n">
        <f aca="false">G35</f>
        <v>46050</v>
      </c>
      <c r="H36" s="113" t="n">
        <f aca="false">H35</f>
        <v>3549.43</v>
      </c>
      <c r="I36" s="113" t="n">
        <f aca="false">I35</f>
        <v>3722.02</v>
      </c>
      <c r="J36" s="106" t="n">
        <f aca="false">IF(J34&gt;J35,J34,J35)</f>
        <v>46083</v>
      </c>
      <c r="K36" s="112" t="n">
        <f aca="false">IF(J34&gt;J35,K34,K35)</f>
        <v>3388.73</v>
      </c>
      <c r="L36" s="104"/>
    </row>
    <row r="37" customFormat="false" ht="16.5" hidden="false" customHeight="true" outlineLevel="0" collapsed="false">
      <c r="A37" s="32"/>
      <c r="B37" s="51"/>
      <c r="C37" s="51"/>
      <c r="D37" s="51"/>
      <c r="E37" s="51"/>
      <c r="F37" s="51"/>
      <c r="G37" s="51"/>
      <c r="H37" s="51"/>
      <c r="I37" s="51"/>
      <c r="J37" s="51"/>
      <c r="K37" s="51"/>
    </row>
    <row r="38" customFormat="false" ht="16.5" hidden="false" customHeight="true" outlineLevel="0" collapsed="false">
      <c r="A38" s="100" t="s">
        <v>169</v>
      </c>
      <c r="B38" s="51"/>
      <c r="C38" s="51"/>
      <c r="D38" s="51"/>
      <c r="E38" s="51"/>
      <c r="F38" s="51"/>
      <c r="G38" s="51"/>
      <c r="H38" s="51"/>
      <c r="I38" s="51"/>
      <c r="J38" s="51"/>
      <c r="K38" s="51"/>
    </row>
    <row r="39" customFormat="false" ht="16.5" hidden="false" customHeight="true" outlineLevel="0" collapsed="false">
      <c r="A39" s="100" t="s">
        <v>170</v>
      </c>
      <c r="B39" s="51" t="s">
        <v>115</v>
      </c>
      <c r="C39" s="51"/>
      <c r="D39" s="51" t="s">
        <v>116</v>
      </c>
      <c r="E39" s="101" t="n">
        <f aca="false">K39-(H39+I39)</f>
        <v>2118.4858754304</v>
      </c>
      <c r="F39" s="51"/>
      <c r="G39" s="102" t="n">
        <f aca="false">_xlfn.MINIFS(OPdate,OPcompte,B39,OPdevise,D39,OPcatégorie,Solde)</f>
        <v>45457</v>
      </c>
      <c r="H39" s="103" t="n">
        <f aca="false">SUMIFS(OPequiv_euro,OPcompte,B39,OPdevise,D39,OPcatégorie,Solde,OPdate,G39)</f>
        <v>0</v>
      </c>
      <c r="I39" s="103" t="n">
        <f aca="false">SUMIFS(OPequiv_euro,OPcompte,B39,OPdevise,D39,OPcatégorie,"&lt;&gt;"&amp;Spéciale,OPdate,"&gt;="&amp;G39)</f>
        <v>0</v>
      </c>
      <c r="J39" s="102" t="n">
        <f aca="false">SUMIF(AVRintitulé,$B39,AVRdate_solde)</f>
        <v>45457</v>
      </c>
      <c r="K39" s="101" t="n">
        <f aca="false">SUMIF(AVRintitulé,$B39,AVRmontant_solde_euro)</f>
        <v>2118.4858754304</v>
      </c>
      <c r="L39" s="104"/>
    </row>
    <row r="40" customFormat="false" ht="16.5" hidden="false" customHeight="true" outlineLevel="0" collapsed="false">
      <c r="A40" s="32"/>
      <c r="B40" s="51"/>
      <c r="C40" s="51"/>
      <c r="D40" s="51"/>
      <c r="E40" s="51"/>
      <c r="F40" s="51"/>
      <c r="G40" s="51"/>
      <c r="H40" s="51"/>
      <c r="I40" s="51"/>
      <c r="J40" s="51"/>
      <c r="K40" s="51"/>
    </row>
    <row r="41" customFormat="false" ht="16.5" hidden="false" customHeight="true" outlineLevel="0" collapsed="false">
      <c r="A41" s="100" t="s">
        <v>171</v>
      </c>
      <c r="B41" s="51"/>
      <c r="C41" s="51"/>
      <c r="D41" s="51"/>
      <c r="E41" s="51"/>
      <c r="F41" s="51"/>
      <c r="G41" s="51"/>
      <c r="H41" s="51"/>
      <c r="I41" s="51"/>
      <c r="J41" s="51"/>
      <c r="K41" s="51"/>
    </row>
    <row r="42" customFormat="false" ht="16.5" hidden="false" customHeight="true" outlineLevel="0" collapsed="false">
      <c r="A42" s="100" t="s">
        <v>172</v>
      </c>
      <c r="B42" s="51" t="s">
        <v>109</v>
      </c>
      <c r="C42" s="51"/>
      <c r="D42" s="51" t="s">
        <v>110</v>
      </c>
      <c r="E42" s="101" t="n">
        <f aca="false">K42-(H42+I42)</f>
        <v>100</v>
      </c>
      <c r="F42" s="51"/>
      <c r="G42" s="102" t="n">
        <f aca="false">_xlfn.MINIFS(OPdate,OPcompte,B42,OPdevise,D42,OPcatégorie,Solde)</f>
        <v>44927</v>
      </c>
      <c r="H42" s="103" t="n">
        <f aca="false">SUMIFS(OPequiv_euro,OPcompte,B42,OPdevise,D42,OPcatégorie,Solde,OPdate,G42)</f>
        <v>0</v>
      </c>
      <c r="I42" s="103" t="n">
        <f aca="false">SUMIFS(OPequiv_euro,OPcompte,B42,OPdevise,D42,OPcatégorie,"&lt;&gt;"&amp;Spéciale,OPdate,"&gt;="&amp;G42)</f>
        <v>-100</v>
      </c>
      <c r="J42" s="102" t="n">
        <f aca="false">SUMIF(AVRintitulé,$B42,AVRdate_solde)</f>
        <v>45292</v>
      </c>
      <c r="K42" s="101" t="n">
        <f aca="false">SUMIF(AVRintitulé,$B42,AVRmontant_solde_euro)</f>
        <v>0</v>
      </c>
      <c r="L42" s="104"/>
    </row>
    <row r="43" customFormat="false" ht="16.5" hidden="false" customHeight="true" outlineLevel="0" collapsed="false">
      <c r="A43" s="100" t="s">
        <v>172</v>
      </c>
      <c r="B43" s="51" t="s">
        <v>111</v>
      </c>
      <c r="C43" s="51"/>
      <c r="D43" s="51" t="s">
        <v>110</v>
      </c>
      <c r="E43" s="101" t="n">
        <f aca="false">K43-(H43+I43)</f>
        <v>170.093092</v>
      </c>
      <c r="F43" s="51"/>
      <c r="G43" s="102" t="n">
        <f aca="false">_xlfn.MINIFS(OPdate,OPcompte,B43,OPdevise,D43,OPcatégorie,Solde)</f>
        <v>45292</v>
      </c>
      <c r="H43" s="103" t="n">
        <f aca="false">SUMIFS(OPequiv_euro,OPcompte,B43,OPdevise,D43,OPcatégorie,Solde,OPdate,G43)</f>
        <v>0</v>
      </c>
      <c r="I43" s="103" t="n">
        <f aca="false">SUMIFS(OPequiv_euro,OPcompte,B43,OPdevise,D43,OPcatégorie,"&lt;&gt;"&amp;Spéciale,OPdate,"&gt;="&amp;G43)</f>
        <v>0</v>
      </c>
      <c r="J43" s="102" t="n">
        <f aca="false">SUMIF(AVRintitulé,$B43,AVRdate_solde)</f>
        <v>45292</v>
      </c>
      <c r="K43" s="101" t="n">
        <f aca="false">SUMIF(AVRintitulé,$B43,AVRmontant_solde_euro)</f>
        <v>170.093092</v>
      </c>
      <c r="L43" s="104"/>
    </row>
    <row r="44" customFormat="false" ht="16.5" hidden="false" customHeight="true" outlineLevel="0" collapsed="false">
      <c r="A44" s="100" t="s">
        <v>172</v>
      </c>
      <c r="B44" s="51" t="s">
        <v>112</v>
      </c>
      <c r="C44" s="51"/>
      <c r="D44" s="51" t="s">
        <v>110</v>
      </c>
      <c r="E44" s="101" t="n">
        <f aca="false">K44-(H44+I44)</f>
        <v>31.28358493</v>
      </c>
      <c r="F44" s="51"/>
      <c r="G44" s="102" t="n">
        <f aca="false">_xlfn.MINIFS(OPdate,OPcompte,B44,OPdevise,D44,OPcatégorie,Solde)</f>
        <v>45923</v>
      </c>
      <c r="H44" s="103" t="n">
        <f aca="false">SUMIFS(OPequiv_euro,OPcompte,B44,OPdevise,D44,OPcatégorie,Solde,OPdate,G44)</f>
        <v>0</v>
      </c>
      <c r="I44" s="103" t="n">
        <f aca="false">SUMIFS(OPequiv_euro,OPcompte,B44,OPdevise,D44,OPcatégorie,"&lt;&gt;"&amp;Spéciale,OPdate,"&gt;="&amp;G44)</f>
        <v>0</v>
      </c>
      <c r="J44" s="102" t="n">
        <f aca="false">SUMIF(AVRintitulé,$B44,AVRdate_solde)</f>
        <v>45967</v>
      </c>
      <c r="K44" s="101" t="n">
        <f aca="false">SUMIF(AVRintitulé,$B44,AVRmontant_solde_euro)</f>
        <v>31.28358493</v>
      </c>
      <c r="L44" s="104"/>
    </row>
    <row r="45" customFormat="false" ht="16.5" hidden="false" customHeight="true" outlineLevel="0" collapsed="false">
      <c r="A45" s="100" t="s">
        <v>172</v>
      </c>
      <c r="B45" s="51" t="s">
        <v>113</v>
      </c>
      <c r="C45" s="51"/>
      <c r="D45" s="51" t="s">
        <v>114</v>
      </c>
      <c r="E45" s="101" t="n">
        <f aca="false">K45-(H45+I45)</f>
        <v>0</v>
      </c>
      <c r="F45" s="51"/>
      <c r="G45" s="102" t="n">
        <f aca="false">_xlfn.MINIFS(OPdate,OPcompte,B45,OPdevise,D45,OPcatégorie,Solde)</f>
        <v>0</v>
      </c>
      <c r="H45" s="103" t="n">
        <f aca="false">SUMIFS(OPequiv_euro,OPcompte,B45,OPdevise,D45,OPcatégorie,Solde,OPdate,G45)</f>
        <v>0</v>
      </c>
      <c r="I45" s="103" t="n">
        <f aca="false">SUMIFS(OPequiv_euro,OPcompte,B45,OPdevise,D45,OPcatégorie,"&lt;&gt;"&amp;Spéciale,OPdate,"&gt;="&amp;G45)</f>
        <v>0</v>
      </c>
      <c r="J45" s="102" t="n">
        <f aca="false">SUMIF(AVRintitulé,$B45,AVRdate_solde)</f>
        <v>0</v>
      </c>
      <c r="K45" s="101" t="n">
        <f aca="false">SUMIF(AVRintitulé,$B45,AVRmontant_solde_euro)</f>
        <v>0</v>
      </c>
      <c r="L45" s="104"/>
    </row>
    <row r="46" customFormat="false" ht="16.5" hidden="false" customHeight="true" outlineLevel="0" collapsed="false">
      <c r="A46" s="32"/>
      <c r="B46" s="51"/>
      <c r="C46" s="51"/>
      <c r="D46" s="51"/>
      <c r="E46" s="51"/>
      <c r="F46" s="51"/>
      <c r="G46" s="51"/>
      <c r="H46" s="51"/>
      <c r="I46" s="51"/>
      <c r="J46" s="51"/>
      <c r="K46" s="51"/>
    </row>
    <row r="47" customFormat="false" ht="16.5" hidden="false" customHeight="true" outlineLevel="0" collapsed="false">
      <c r="A47" s="100" t="s">
        <v>173</v>
      </c>
      <c r="B47" s="51"/>
      <c r="C47" s="51"/>
      <c r="D47" s="51"/>
      <c r="E47" s="51"/>
      <c r="F47" s="51"/>
      <c r="G47" s="51"/>
      <c r="H47" s="51"/>
      <c r="I47" s="51"/>
      <c r="J47" s="51"/>
      <c r="K47" s="51"/>
    </row>
    <row r="48" customFormat="false" ht="16.5" hidden="false" customHeight="true" outlineLevel="0" collapsed="false">
      <c r="A48" s="100" t="s">
        <v>174</v>
      </c>
      <c r="B48" s="51" t="s">
        <v>104</v>
      </c>
      <c r="C48" s="51"/>
      <c r="D48" s="51" t="s">
        <v>94</v>
      </c>
      <c r="E48" s="101" t="n">
        <f aca="false">K48-(H48+I48)</f>
        <v>0</v>
      </c>
      <c r="F48" s="51"/>
      <c r="G48" s="102" t="n">
        <f aca="false">_xlfn.MINIFS(OPdate,OPcompte,B48,OPdevise,D48,OPcatégorie,Solde)</f>
        <v>0</v>
      </c>
      <c r="H48" s="103" t="n">
        <f aca="false">SUMIFS(OPequiv_euro,OPcompte,B48,OPdevise,D48,OPcatégorie,Solde,OPdate,G48)</f>
        <v>0</v>
      </c>
      <c r="I48" s="103" t="n">
        <f aca="false">SUMIFS(OPequiv_euro,OPcompte,B48,OPdevise,D48,OPcatégorie,"&lt;&gt;"&amp;Spéciale,OPdate,"&gt;="&amp;G48)</f>
        <v>0</v>
      </c>
      <c r="J48" s="102" t="n">
        <f aca="false">SUMIF(AVRintitulé,$B48,AVRdate_solde)</f>
        <v>0</v>
      </c>
      <c r="K48" s="101" t="n">
        <f aca="false">SUMIF(AVRintitulé,$B48,AVRmontant_solde_euro)</f>
        <v>0</v>
      </c>
      <c r="L48" s="104"/>
    </row>
    <row r="49" customFormat="false" ht="16.5" hidden="false" customHeight="true" outlineLevel="0" collapsed="false">
      <c r="A49" s="100" t="s">
        <v>174</v>
      </c>
      <c r="B49" s="51" t="s">
        <v>105</v>
      </c>
      <c r="C49" s="51"/>
      <c r="D49" s="51" t="s">
        <v>106</v>
      </c>
      <c r="E49" s="101" t="n">
        <f aca="false">K49-(H49+I49)</f>
        <v>0</v>
      </c>
      <c r="F49" s="51"/>
      <c r="G49" s="102" t="n">
        <f aca="false">_xlfn.MINIFS(OPdate,OPcompte,B49,OPdevise,D49,OPcatégorie,Solde)</f>
        <v>0</v>
      </c>
      <c r="H49" s="103" t="n">
        <f aca="false">SUMIFS(OPequiv_euro,OPcompte,B49,OPdevise,D49,OPcatégorie,Solde,OPdate,G49)</f>
        <v>0</v>
      </c>
      <c r="I49" s="103" t="n">
        <f aca="false">SUMIFS(OPequiv_euro,OPcompte,B49,OPdevise,D49,OPcatégorie,"&lt;&gt;"&amp;Spéciale,OPdate,"&gt;="&amp;G49)</f>
        <v>0</v>
      </c>
      <c r="J49" s="102" t="n">
        <f aca="false">SUMIF(AVRintitulé,$B49,AVRdate_solde)</f>
        <v>0</v>
      </c>
      <c r="K49" s="101" t="n">
        <f aca="false">SUMIF(AVRintitulé,$B49,AVRmontant_solde_euro)</f>
        <v>0</v>
      </c>
      <c r="L49" s="104"/>
    </row>
    <row r="50" customFormat="false" ht="16.5" hidden="false" customHeight="true" outlineLevel="0" collapsed="false">
      <c r="A50" s="100" t="s">
        <v>174</v>
      </c>
      <c r="B50" s="51" t="s">
        <v>107</v>
      </c>
      <c r="C50" s="51"/>
      <c r="D50" s="51" t="s">
        <v>94</v>
      </c>
      <c r="E50" s="101" t="n">
        <f aca="false">K50-(H50+I50)</f>
        <v>2387.873965</v>
      </c>
      <c r="F50" s="51"/>
      <c r="G50" s="102" t="n">
        <f aca="false">_xlfn.MINIFS(OPdate,OPcompte,B50,OPdevise,D50,OPcatégorie,Solde)</f>
        <v>45621</v>
      </c>
      <c r="H50" s="103" t="n">
        <f aca="false">SUMIFS(OPequiv_euro,OPcompte,B50,OPdevise,D50,OPcatégorie,Solde,OPdate,G50)</f>
        <v>0</v>
      </c>
      <c r="I50" s="103" t="n">
        <f aca="false">SUMIFS(OPequiv_euro,OPcompte,B50,OPdevise,D50,OPcatégorie,"&lt;&gt;"&amp;Spéciale,OPdate,"&gt;="&amp;G50)</f>
        <v>-1966.84</v>
      </c>
      <c r="J50" s="102" t="n">
        <f aca="false">SUMIF(AVRintitulé,$B50,AVRdate_solde)</f>
        <v>46050</v>
      </c>
      <c r="K50" s="101" t="n">
        <f aca="false">SUMIF(AVRintitulé,$B50,AVRmontant_solde_euro)</f>
        <v>421.033965</v>
      </c>
      <c r="L50" s="104"/>
    </row>
    <row r="51" customFormat="false" ht="16.5" hidden="false" customHeight="true" outlineLevel="0" collapsed="false">
      <c r="A51" s="32"/>
      <c r="B51" s="51"/>
      <c r="C51" s="51"/>
      <c r="D51" s="51"/>
      <c r="E51" s="51"/>
      <c r="F51" s="51"/>
      <c r="G51" s="51"/>
      <c r="H51" s="51"/>
      <c r="I51" s="51"/>
      <c r="J51" s="51"/>
      <c r="K51" s="51"/>
    </row>
    <row r="52" customFormat="false" ht="16.5" hidden="false" customHeight="true" outlineLevel="0" collapsed="false">
      <c r="A52" s="100" t="s">
        <v>4</v>
      </c>
      <c r="B52" s="114"/>
      <c r="C52" s="115"/>
      <c r="D52" s="116"/>
      <c r="E52" s="115"/>
      <c r="F52" s="115"/>
      <c r="G52" s="117"/>
      <c r="H52" s="115"/>
      <c r="I52" s="115"/>
      <c r="J52" s="115"/>
      <c r="K52" s="115"/>
    </row>
    <row r="53" customFormat="false" ht="16.5" hidden="false" customHeight="true" outlineLevel="0" collapsed="false">
      <c r="A53" s="68" t="s">
        <v>72</v>
      </c>
      <c r="B53" s="68"/>
      <c r="C53" s="68"/>
      <c r="D53" s="70" t="s">
        <v>89</v>
      </c>
      <c r="E53" s="118" t="n">
        <f aca="false">SUM(E54:E57)</f>
        <v>1455.0077973604</v>
      </c>
      <c r="F53" s="119" t="n">
        <f aca="false">E53/(H53+I53)</f>
        <v>0.345438765774654</v>
      </c>
      <c r="G53" s="120" t="n">
        <f aca="false">MIN(G54:G57)</f>
        <v>44927</v>
      </c>
      <c r="H53" s="121" t="n">
        <f aca="false">SUM(H54:H57)</f>
        <v>3064.932805</v>
      </c>
      <c r="I53" s="121" t="n">
        <f aca="false">SUM(I54:I57)</f>
        <v>1147.12427</v>
      </c>
      <c r="J53" s="122"/>
      <c r="K53" s="118" t="n">
        <f aca="false">SUM(K54:K57)</f>
        <v>5667.0648723604</v>
      </c>
    </row>
    <row r="54" customFormat="false" ht="16.5" hidden="false" customHeight="true" outlineLevel="0" collapsed="false">
      <c r="A54" s="32" t="s">
        <v>175</v>
      </c>
      <c r="B54" s="32"/>
      <c r="C54" s="32"/>
      <c r="D54" s="22" t="s">
        <v>89</v>
      </c>
      <c r="E54" s="123" t="n">
        <f aca="false">K54-(H54+I54)</f>
        <v>-3352.72872</v>
      </c>
      <c r="F54" s="124" t="n">
        <f aca="false">E54/(H54+I54)</f>
        <v>-0.533967778091027</v>
      </c>
      <c r="G54" s="125" t="n">
        <f aca="false">MIN(_xlfn.MINIFS(G:G,A:A,"portefeuilles",C:C,"Retenu",G:G,"&gt;0"))</f>
        <v>46050</v>
      </c>
      <c r="H54" s="126" t="n">
        <f aca="false">SUMPRODUCT((PVLsection="portefeuilles")*(PVLtitre="Retenu")*PVLmontant_init*IFERROR(INDEX(COTcours,MATCH(PVLdevise,COTcode,0)),1))</f>
        <v>3064.932805</v>
      </c>
      <c r="I54" s="126" t="n">
        <f aca="false">SUMPRODUCT((PVLsection="portefeuilles")*(PVLtitre="Retenu")*PVLsigma*IFERROR(INDEX(COTcours,MATCH(PVLdevise,COTcode,0)),1))</f>
        <v>3213.96427</v>
      </c>
      <c r="J54" s="125" t="n">
        <f aca="false">_xlfn.MAXIFS(J:J,A:A,"portefeuilles",C:C,"Retenu")</f>
        <v>46083</v>
      </c>
      <c r="K54" s="123" t="n">
        <f aca="false">SUMPRODUCT((PVLsection="portefeuilles")*(PVLtitre="Retenu")*PVLmontant*IFERROR(INDEX(COTcours,MATCH(PVLdevise,COTcode,0)),1))</f>
        <v>2926.168355</v>
      </c>
    </row>
    <row r="55" customFormat="false" ht="16.5" hidden="false" customHeight="true" outlineLevel="0" collapsed="false">
      <c r="A55" s="32" t="s">
        <v>176</v>
      </c>
      <c r="B55" s="32"/>
      <c r="C55" s="32"/>
      <c r="D55" s="22" t="s">
        <v>89</v>
      </c>
      <c r="E55" s="123" t="n">
        <f aca="false">K55-(H55+I55)</f>
        <v>2118.4858754304</v>
      </c>
      <c r="F55" s="124" t="e">
        <f aca="false">E55/(H55+I55)</f>
        <v>#DIV/0!</v>
      </c>
      <c r="G55" s="125" t="n">
        <f aca="false">MIN(_xlfn.MINIFS(G:G,A:A,"métaux",G:G,"&gt;0"))</f>
        <v>45457</v>
      </c>
      <c r="H55" s="126" t="n">
        <f aca="false">SUMIFS(PVLmontant_init,PVLsection,"métaux")</f>
        <v>0</v>
      </c>
      <c r="I55" s="126" t="n">
        <f aca="false">SUMIFS(PVLsigma,PVLsection,"métaux")</f>
        <v>0</v>
      </c>
      <c r="J55" s="125" t="n">
        <f aca="false">_xlfn.MAXIFS(J:J,A:A,"métaux")</f>
        <v>45457</v>
      </c>
      <c r="K55" s="123" t="n">
        <f aca="false">SUMIFS(PVLmontant,PVLsection,"métaux")</f>
        <v>2118.4858754304</v>
      </c>
    </row>
    <row r="56" customFormat="false" ht="16.5" hidden="false" customHeight="true" outlineLevel="0" collapsed="false">
      <c r="A56" s="32" t="s">
        <v>177</v>
      </c>
      <c r="B56" s="32"/>
      <c r="C56" s="32"/>
      <c r="D56" s="22" t="s">
        <v>89</v>
      </c>
      <c r="E56" s="123" t="n">
        <f aca="false">K56-(H56+I56)</f>
        <v>301.37667693</v>
      </c>
      <c r="F56" s="124" t="n">
        <f aca="false">E56/(H56+I56)</f>
        <v>-3.0137667693</v>
      </c>
      <c r="G56" s="125" t="n">
        <f aca="false">MIN(_xlfn.MINIFS(G:G,A:A,"crypto",G:G,"&gt;0"))</f>
        <v>44927</v>
      </c>
      <c r="H56" s="126" t="n">
        <f aca="false">SUMIFS(PVLmontant_init,PVLsection,"crypto")</f>
        <v>0</v>
      </c>
      <c r="I56" s="126" t="n">
        <f aca="false">SUMIFS(PVLsigma,PVLsection,"crypto")</f>
        <v>-100</v>
      </c>
      <c r="J56" s="125" t="n">
        <f aca="false">_xlfn.MAXIFS(J:J,A:A,"crypto")</f>
        <v>45967</v>
      </c>
      <c r="K56" s="123" t="n">
        <f aca="false">SUMIFS(PVLmontant,PVLsection,"crypto")</f>
        <v>201.37667693</v>
      </c>
    </row>
    <row r="57" customFormat="false" ht="16.5" hidden="false" customHeight="true" outlineLevel="0" collapsed="false">
      <c r="A57" s="32" t="s">
        <v>178</v>
      </c>
      <c r="B57" s="32"/>
      <c r="C57" s="32"/>
      <c r="D57" s="22" t="s">
        <v>89</v>
      </c>
      <c r="E57" s="123" t="n">
        <f aca="false">K57-(H57+I57)</f>
        <v>2387.873965</v>
      </c>
      <c r="F57" s="124" t="n">
        <f aca="false">E57/(H57+I57)</f>
        <v>-1.21406620009762</v>
      </c>
      <c r="G57" s="125" t="n">
        <f aca="false">MIN(_xlfn.MINIFS(G:G,A:A,"devises",G:G,"&gt;0"))</f>
        <v>45621</v>
      </c>
      <c r="H57" s="126" t="n">
        <f aca="false">SUMIFS(PVLmontant_init,PVLsection,"devises")</f>
        <v>0</v>
      </c>
      <c r="I57" s="126" t="n">
        <f aca="false">SUMIFS(PVLsigma,PVLsection,"devises")</f>
        <v>-1966.84</v>
      </c>
      <c r="J57" s="125" t="n">
        <f aca="false">_xlfn.MAXIFS(J:J,A:A,"devises")</f>
        <v>46050</v>
      </c>
      <c r="K57" s="123" t="n">
        <f aca="false">SUMIFS(PVLmontant,PVLsection,"devises")</f>
        <v>421.033965</v>
      </c>
    </row>
    <row r="58" customFormat="false" ht="17.25" hidden="false" customHeight="true" outlineLevel="0" collapsed="false"/>
    <row r="59" customFormat="false" ht="17.25" hidden="false" customHeight="true" outlineLevel="0" collapsed="false"/>
    <row r="1048502" customFormat="false" ht="12.75" hidden="false" customHeight="true" outlineLevel="0" collapsed="false"/>
    <row r="1048503" customFormat="false" ht="12.75" hidden="false" customHeight="true" outlineLevel="0" collapsed="false"/>
    <row r="1048504" customFormat="false" ht="12.75" hidden="false" customHeight="true" outlineLevel="0" collapsed="false"/>
    <row r="1048505" customFormat="false" ht="12.75" hidden="false" customHeight="true" outlineLevel="0" collapsed="false"/>
    <row r="1048506" customFormat="false" ht="12.75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false" zeroHeight="false" outlineLevelRow="0" outlineLevelCol="0"/>
  <cols>
    <col collapsed="false" customWidth="true" hidden="false" outlineLevel="0" max="1" min="1" style="127" width="12.39"/>
    <col collapsed="false" customWidth="true" hidden="false" outlineLevel="0" max="2" min="2" style="43" width="34.31"/>
    <col collapsed="false" customWidth="true" hidden="false" outlineLevel="0" max="3" min="3" style="43" width="17"/>
    <col collapsed="false" customWidth="true" hidden="false" outlineLevel="0" max="4" min="4" style="43" width="10.33"/>
    <col collapsed="false" customWidth="true" hidden="false" outlineLevel="0" max="5" min="5" style="43" width="12.61"/>
    <col collapsed="false" customWidth="true" hidden="false" outlineLevel="0" max="6" min="6" style="43" width="8.13"/>
    <col collapsed="false" customWidth="true" hidden="false" outlineLevel="0" max="7" min="7" style="43" width="26.88"/>
    <col collapsed="false" customWidth="true" hidden="false" outlineLevel="0" max="8" min="8" style="43" width="24.9"/>
    <col collapsed="false" customWidth="true" hidden="false" outlineLevel="0" max="9" min="9" style="43" width="41.5"/>
    <col collapsed="false" customWidth="true" hidden="false" outlineLevel="0" max="10" min="10" style="43" width="29.83"/>
    <col collapsed="false" customWidth="true" hidden="false" outlineLevel="0" max="11" min="11" style="43" width="22.83"/>
    <col collapsed="false" customWidth="false" hidden="false" outlineLevel="0" max="16379" min="12" style="43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6" t="s">
        <v>179</v>
      </c>
      <c r="B1" s="5"/>
      <c r="C1" s="5"/>
      <c r="D1" s="5"/>
      <c r="E1" s="128"/>
      <c r="F1" s="10" t="s">
        <v>180</v>
      </c>
      <c r="G1" s="5"/>
      <c r="H1" s="5"/>
      <c r="I1" s="5"/>
    </row>
    <row r="2" customFormat="false" ht="16.5" hidden="false" customHeight="true" outlineLevel="0" collapsed="false">
      <c r="A2" s="129" t="n">
        <f aca="true">TODAY()</f>
        <v>46210</v>
      </c>
      <c r="B2" s="48" t="str">
        <f aca="false">Contrôles!K$49</f>
        <v>✓</v>
      </c>
      <c r="C2" s="130"/>
      <c r="D2" s="5"/>
      <c r="E2" s="128"/>
      <c r="F2" s="131" t="s">
        <v>181</v>
      </c>
      <c r="G2" s="10" t="str">
        <f aca="false">"Opérations : "&amp;COUNTIF(OPdate,"&lt;"&amp;DATE(année_courante,12,31))</f>
        <v>Opérations : 70</v>
      </c>
      <c r="H2" s="5"/>
      <c r="I2" s="5"/>
    </row>
    <row r="3" customFormat="false" ht="37.5" hidden="false" customHeight="true" outlineLevel="0" collapsed="false">
      <c r="A3" s="48" t="s">
        <v>85</v>
      </c>
      <c r="B3" s="48" t="s">
        <v>182</v>
      </c>
      <c r="C3" s="48" t="s">
        <v>86</v>
      </c>
      <c r="D3" s="48" t="s">
        <v>82</v>
      </c>
      <c r="E3" s="48" t="s">
        <v>183</v>
      </c>
      <c r="F3" s="50" t="s">
        <v>184</v>
      </c>
      <c r="G3" s="48" t="s">
        <v>185</v>
      </c>
      <c r="H3" s="48" t="s">
        <v>69</v>
      </c>
      <c r="I3" s="46" t="s">
        <v>186</v>
      </c>
    </row>
    <row r="4" customFormat="false" ht="14.25" hidden="false" customHeight="true" outlineLevel="0" collapsed="false">
      <c r="A4" s="132" t="s">
        <v>4</v>
      </c>
      <c r="B4" s="133"/>
      <c r="C4" s="134"/>
      <c r="D4" s="135"/>
      <c r="E4" s="134"/>
      <c r="F4" s="136"/>
      <c r="G4" s="137"/>
      <c r="H4" s="137"/>
      <c r="I4" s="133"/>
    </row>
    <row r="5" customFormat="false" ht="16.5" hidden="false" customHeight="true" outlineLevel="0" collapsed="false">
      <c r="A5" s="132" t="n">
        <v>44927</v>
      </c>
      <c r="B5" s="137" t="s">
        <v>187</v>
      </c>
      <c r="C5" s="138" t="n">
        <v>503110</v>
      </c>
      <c r="D5" s="135" t="s">
        <v>110</v>
      </c>
      <c r="E5" s="134"/>
      <c r="F5" s="136"/>
      <c r="G5" s="137" t="s">
        <v>188</v>
      </c>
      <c r="H5" s="137" t="s">
        <v>109</v>
      </c>
      <c r="I5" s="137" t="s">
        <v>189</v>
      </c>
    </row>
    <row r="6" customFormat="false" ht="16.5" hidden="false" customHeight="true" outlineLevel="0" collapsed="false">
      <c r="A6" s="132" t="n">
        <v>44927</v>
      </c>
      <c r="B6" s="137" t="s">
        <v>187</v>
      </c>
      <c r="C6" s="134" t="n">
        <v>5000</v>
      </c>
      <c r="D6" s="135" t="s">
        <v>89</v>
      </c>
      <c r="E6" s="134"/>
      <c r="F6" s="136"/>
      <c r="G6" s="137" t="s">
        <v>188</v>
      </c>
      <c r="H6" s="137" t="s">
        <v>97</v>
      </c>
      <c r="I6" s="137"/>
    </row>
    <row r="7" customFormat="false" ht="16.5" hidden="false" customHeight="true" outlineLevel="0" collapsed="false">
      <c r="A7" s="132" t="n">
        <v>44968</v>
      </c>
      <c r="B7" s="137" t="s">
        <v>190</v>
      </c>
      <c r="C7" s="138" t="n">
        <v>-280000</v>
      </c>
      <c r="D7" s="135" t="s">
        <v>110</v>
      </c>
      <c r="E7" s="134" t="n">
        <v>-50</v>
      </c>
      <c r="F7" s="136" t="s">
        <v>191</v>
      </c>
      <c r="G7" s="137" t="s">
        <v>136</v>
      </c>
      <c r="H7" s="137" t="s">
        <v>109</v>
      </c>
      <c r="I7" s="137"/>
    </row>
    <row r="8" customFormat="false" ht="16.5" hidden="false" customHeight="true" outlineLevel="0" collapsed="false">
      <c r="A8" s="132" t="n">
        <v>44968</v>
      </c>
      <c r="B8" s="137" t="s">
        <v>192</v>
      </c>
      <c r="C8" s="138" t="n">
        <v>-584</v>
      </c>
      <c r="D8" s="135" t="s">
        <v>110</v>
      </c>
      <c r="E8" s="134"/>
      <c r="F8" s="136"/>
      <c r="G8" s="137" t="s">
        <v>142</v>
      </c>
      <c r="H8" s="137" t="s">
        <v>109</v>
      </c>
      <c r="I8" s="137"/>
    </row>
    <row r="9" customFormat="false" ht="16.5" hidden="false" customHeight="true" outlineLevel="0" collapsed="false">
      <c r="A9" s="132" t="n">
        <v>44983</v>
      </c>
      <c r="B9" s="137" t="s">
        <v>192</v>
      </c>
      <c r="C9" s="138" t="n">
        <v>280000</v>
      </c>
      <c r="D9" s="135" t="s">
        <v>110</v>
      </c>
      <c r="E9" s="134" t="n">
        <v>50</v>
      </c>
      <c r="F9" s="136" t="s">
        <v>191</v>
      </c>
      <c r="G9" s="137" t="s">
        <v>136</v>
      </c>
      <c r="H9" s="137" t="s">
        <v>111</v>
      </c>
      <c r="I9" s="137"/>
    </row>
    <row r="10" customFormat="false" ht="16.5" hidden="false" customHeight="true" outlineLevel="0" collapsed="false">
      <c r="A10" s="132" t="n">
        <v>44983</v>
      </c>
      <c r="B10" s="137" t="s">
        <v>192</v>
      </c>
      <c r="C10" s="138" t="n">
        <v>-1200</v>
      </c>
      <c r="D10" s="135" t="s">
        <v>110</v>
      </c>
      <c r="E10" s="134"/>
      <c r="F10" s="136"/>
      <c r="G10" s="137" t="s">
        <v>142</v>
      </c>
      <c r="H10" s="137" t="s">
        <v>111</v>
      </c>
      <c r="I10" s="137"/>
    </row>
    <row r="11" customFormat="false" ht="16.5" hidden="false" customHeight="true" outlineLevel="0" collapsed="false">
      <c r="A11" s="132" t="n">
        <v>45000</v>
      </c>
      <c r="B11" s="137" t="s">
        <v>193</v>
      </c>
      <c r="C11" s="138" t="n">
        <v>-218292</v>
      </c>
      <c r="D11" s="135" t="s">
        <v>110</v>
      </c>
      <c r="E11" s="134" t="n">
        <v>-50</v>
      </c>
      <c r="F11" s="136" t="s">
        <v>194</v>
      </c>
      <c r="G11" s="137" t="s">
        <v>134</v>
      </c>
      <c r="H11" s="137" t="s">
        <v>109</v>
      </c>
      <c r="I11" s="137"/>
    </row>
    <row r="12" customFormat="false" ht="16.5" hidden="false" customHeight="true" outlineLevel="0" collapsed="false">
      <c r="A12" s="132" t="n">
        <v>45000</v>
      </c>
      <c r="B12" s="137" t="s">
        <v>192</v>
      </c>
      <c r="C12" s="138" t="n">
        <v>-4234</v>
      </c>
      <c r="D12" s="135" t="s">
        <v>110</v>
      </c>
      <c r="E12" s="134"/>
      <c r="F12" s="136"/>
      <c r="G12" s="137" t="s">
        <v>142</v>
      </c>
      <c r="H12" s="137" t="s">
        <v>109</v>
      </c>
      <c r="I12" s="137"/>
    </row>
    <row r="13" customFormat="false" ht="16.5" hidden="false" customHeight="true" outlineLevel="0" collapsed="false">
      <c r="A13" s="132" t="n">
        <v>45000</v>
      </c>
      <c r="B13" s="137" t="s">
        <v>192</v>
      </c>
      <c r="C13" s="134" t="n">
        <v>50</v>
      </c>
      <c r="D13" s="135" t="s">
        <v>89</v>
      </c>
      <c r="E13" s="134" t="n">
        <v>50</v>
      </c>
      <c r="F13" s="136" t="s">
        <v>194</v>
      </c>
      <c r="G13" s="137" t="s">
        <v>134</v>
      </c>
      <c r="H13" s="137" t="s">
        <v>95</v>
      </c>
      <c r="I13" s="137"/>
    </row>
    <row r="14" customFormat="false" ht="16.5" hidden="false" customHeight="true" outlineLevel="0" collapsed="false">
      <c r="A14" s="132" t="n">
        <v>45048</v>
      </c>
      <c r="B14" s="137" t="s">
        <v>195</v>
      </c>
      <c r="C14" s="139" t="n">
        <v>14.09344</v>
      </c>
      <c r="D14" s="135" t="s">
        <v>116</v>
      </c>
      <c r="E14" s="134" t="n">
        <v>990</v>
      </c>
      <c r="F14" s="136" t="s">
        <v>196</v>
      </c>
      <c r="G14" s="137" t="s">
        <v>134</v>
      </c>
      <c r="H14" s="137" t="s">
        <v>115</v>
      </c>
      <c r="I14" s="137"/>
    </row>
    <row r="15" customFormat="false" ht="16.5" hidden="false" customHeight="true" outlineLevel="0" collapsed="false">
      <c r="A15" s="132" t="n">
        <v>45048</v>
      </c>
      <c r="B15" s="137" t="s">
        <v>197</v>
      </c>
      <c r="C15" s="134" t="n">
        <v>-39.6</v>
      </c>
      <c r="D15" s="135" t="s">
        <v>89</v>
      </c>
      <c r="E15" s="134"/>
      <c r="F15" s="136"/>
      <c r="G15" s="137" t="s">
        <v>198</v>
      </c>
      <c r="H15" s="137" t="s">
        <v>115</v>
      </c>
      <c r="I15" s="137" t="s">
        <v>199</v>
      </c>
    </row>
    <row r="16" customFormat="false" ht="16.5" hidden="false" customHeight="true" outlineLevel="0" collapsed="false">
      <c r="A16" s="132" t="n">
        <v>45048</v>
      </c>
      <c r="B16" s="137" t="s">
        <v>200</v>
      </c>
      <c r="C16" s="134" t="n">
        <v>-990</v>
      </c>
      <c r="D16" s="135" t="s">
        <v>89</v>
      </c>
      <c r="E16" s="134" t="n">
        <v>-990</v>
      </c>
      <c r="F16" s="136" t="s">
        <v>196</v>
      </c>
      <c r="G16" s="137" t="s">
        <v>134</v>
      </c>
      <c r="H16" s="137" t="s">
        <v>97</v>
      </c>
      <c r="I16" s="137"/>
    </row>
    <row r="17" customFormat="false" ht="16.5" hidden="false" customHeight="true" outlineLevel="0" collapsed="false">
      <c r="A17" s="132" t="n">
        <v>45292</v>
      </c>
      <c r="B17" s="137" t="s">
        <v>187</v>
      </c>
      <c r="C17" s="138" t="n">
        <v>0</v>
      </c>
      <c r="D17" s="135" t="s">
        <v>110</v>
      </c>
      <c r="E17" s="134"/>
      <c r="F17" s="136"/>
      <c r="G17" s="137" t="s">
        <v>188</v>
      </c>
      <c r="H17" s="137" t="s">
        <v>109</v>
      </c>
      <c r="I17" s="137"/>
    </row>
    <row r="18" customFormat="false" ht="16.5" hidden="false" customHeight="true" outlineLevel="0" collapsed="false">
      <c r="A18" s="132" t="n">
        <v>45292</v>
      </c>
      <c r="B18" s="137" t="s">
        <v>187</v>
      </c>
      <c r="C18" s="138" t="n">
        <v>278800</v>
      </c>
      <c r="D18" s="135" t="s">
        <v>110</v>
      </c>
      <c r="E18" s="134"/>
      <c r="F18" s="136"/>
      <c r="G18" s="137" t="s">
        <v>188</v>
      </c>
      <c r="H18" s="137" t="s">
        <v>111</v>
      </c>
      <c r="I18" s="137"/>
    </row>
    <row r="19" customFormat="false" ht="16.5" hidden="false" customHeight="true" outlineLevel="0" collapsed="false">
      <c r="A19" s="132" t="n">
        <v>45457</v>
      </c>
      <c r="B19" s="137" t="s">
        <v>187</v>
      </c>
      <c r="C19" s="139" t="n">
        <v>14.09344</v>
      </c>
      <c r="D19" s="135" t="s">
        <v>116</v>
      </c>
      <c r="E19" s="134"/>
      <c r="F19" s="136"/>
      <c r="G19" s="137" t="s">
        <v>188</v>
      </c>
      <c r="H19" s="137" t="s">
        <v>115</v>
      </c>
      <c r="I19" s="137"/>
    </row>
    <row r="20" customFormat="false" ht="16.5" hidden="false" customHeight="true" outlineLevel="0" collapsed="false">
      <c r="A20" s="132" t="n">
        <v>45621</v>
      </c>
      <c r="B20" s="137" t="s">
        <v>187</v>
      </c>
      <c r="C20" s="140" t="n">
        <v>2500</v>
      </c>
      <c r="D20" s="135" t="s">
        <v>94</v>
      </c>
      <c r="E20" s="134"/>
      <c r="F20" s="136"/>
      <c r="G20" s="137" t="s">
        <v>188</v>
      </c>
      <c r="H20" s="137" t="s">
        <v>107</v>
      </c>
      <c r="I20" s="137"/>
    </row>
    <row r="21" customFormat="false" ht="16.5" hidden="false" customHeight="true" outlineLevel="0" collapsed="false">
      <c r="A21" s="132" t="n">
        <v>45622</v>
      </c>
      <c r="B21" s="137" t="s">
        <v>201</v>
      </c>
      <c r="C21" s="140" t="n">
        <v>10</v>
      </c>
      <c r="D21" s="135" t="s">
        <v>94</v>
      </c>
      <c r="E21" s="134" t="n">
        <v>9.6</v>
      </c>
      <c r="F21" s="136"/>
      <c r="G21" s="137" t="s">
        <v>143</v>
      </c>
      <c r="H21" s="137" t="s">
        <v>93</v>
      </c>
      <c r="I21" s="137"/>
    </row>
    <row r="22" customFormat="false" ht="16.5" hidden="false" customHeight="true" outlineLevel="0" collapsed="false">
      <c r="A22" s="132" t="n">
        <v>45657</v>
      </c>
      <c r="B22" s="137" t="s">
        <v>187</v>
      </c>
      <c r="C22" s="134" t="n">
        <v>50</v>
      </c>
      <c r="D22" s="135" t="s">
        <v>89</v>
      </c>
      <c r="E22" s="134"/>
      <c r="F22" s="136"/>
      <c r="G22" s="137" t="s">
        <v>188</v>
      </c>
      <c r="H22" s="137" t="s">
        <v>95</v>
      </c>
      <c r="I22" s="137"/>
    </row>
    <row r="23" customFormat="false" ht="16.5" hidden="false" customHeight="true" outlineLevel="0" collapsed="false">
      <c r="A23" s="132" t="n">
        <v>45657</v>
      </c>
      <c r="B23" s="137" t="s">
        <v>187</v>
      </c>
      <c r="C23" s="134" t="n">
        <v>10965</v>
      </c>
      <c r="D23" s="135" t="s">
        <v>89</v>
      </c>
      <c r="E23" s="134"/>
      <c r="F23" s="136"/>
      <c r="G23" s="137" t="s">
        <v>188</v>
      </c>
      <c r="H23" s="137" t="s">
        <v>108</v>
      </c>
      <c r="I23" s="137"/>
    </row>
    <row r="24" customFormat="false" ht="16.5" hidden="false" customHeight="true" outlineLevel="0" collapsed="false">
      <c r="A24" s="132" t="n">
        <v>45657</v>
      </c>
      <c r="B24" s="137" t="s">
        <v>187</v>
      </c>
      <c r="C24" s="134" t="n">
        <v>2500</v>
      </c>
      <c r="D24" s="135" t="s">
        <v>89</v>
      </c>
      <c r="E24" s="134"/>
      <c r="F24" s="136"/>
      <c r="G24" s="137" t="s">
        <v>188</v>
      </c>
      <c r="H24" s="137" t="s">
        <v>98</v>
      </c>
      <c r="I24" s="137"/>
    </row>
    <row r="25" customFormat="false" ht="16.5" hidden="false" customHeight="true" outlineLevel="0" collapsed="false">
      <c r="A25" s="132" t="n">
        <v>45661</v>
      </c>
      <c r="B25" s="137" t="s">
        <v>202</v>
      </c>
      <c r="C25" s="134" t="n">
        <v>-1000</v>
      </c>
      <c r="D25" s="135" t="s">
        <v>89</v>
      </c>
      <c r="E25" s="134"/>
      <c r="F25" s="136"/>
      <c r="G25" s="137" t="s">
        <v>31</v>
      </c>
      <c r="H25" s="137" t="s">
        <v>98</v>
      </c>
      <c r="I25" s="137"/>
    </row>
    <row r="26" customFormat="false" ht="16.5" hidden="false" customHeight="true" outlineLevel="0" collapsed="false">
      <c r="A26" s="132" t="n">
        <v>45663</v>
      </c>
      <c r="B26" s="137" t="s">
        <v>200</v>
      </c>
      <c r="C26" s="134" t="n">
        <v>500</v>
      </c>
      <c r="D26" s="135" t="s">
        <v>89</v>
      </c>
      <c r="E26" s="134"/>
      <c r="F26" s="136" t="s">
        <v>203</v>
      </c>
      <c r="G26" s="137" t="s">
        <v>136</v>
      </c>
      <c r="H26" s="137" t="s">
        <v>97</v>
      </c>
      <c r="I26" s="137"/>
    </row>
    <row r="27" customFormat="false" ht="16.5" hidden="false" customHeight="true" outlineLevel="0" collapsed="false">
      <c r="A27" s="132" t="n">
        <v>45663</v>
      </c>
      <c r="B27" s="137"/>
      <c r="C27" s="134" t="n">
        <v>-500</v>
      </c>
      <c r="D27" s="135" t="s">
        <v>89</v>
      </c>
      <c r="E27" s="134"/>
      <c r="F27" s="136" t="s">
        <v>203</v>
      </c>
      <c r="G27" s="137" t="s">
        <v>136</v>
      </c>
      <c r="H27" s="137" t="s">
        <v>108</v>
      </c>
      <c r="I27" s="137"/>
    </row>
    <row r="28" customFormat="false" ht="16.5" hidden="false" customHeight="true" outlineLevel="0" collapsed="false">
      <c r="A28" s="132" t="n">
        <v>45679</v>
      </c>
      <c r="B28" s="137" t="s">
        <v>204</v>
      </c>
      <c r="C28" s="134" t="n">
        <v>-180</v>
      </c>
      <c r="D28" s="135" t="s">
        <v>89</v>
      </c>
      <c r="E28" s="134"/>
      <c r="F28" s="136"/>
      <c r="G28" s="137" t="s">
        <v>31</v>
      </c>
      <c r="H28" s="137" t="s">
        <v>98</v>
      </c>
      <c r="I28" s="137"/>
    </row>
    <row r="29" customFormat="false" ht="16.5" hidden="false" customHeight="true" outlineLevel="0" collapsed="false">
      <c r="A29" s="132" t="n">
        <v>45705</v>
      </c>
      <c r="B29" s="137" t="s">
        <v>205</v>
      </c>
      <c r="C29" s="134" t="n">
        <v>-300</v>
      </c>
      <c r="D29" s="135" t="s">
        <v>89</v>
      </c>
      <c r="E29" s="134"/>
      <c r="F29" s="136" t="s">
        <v>206</v>
      </c>
      <c r="G29" s="137" t="s">
        <v>136</v>
      </c>
      <c r="H29" s="137" t="s">
        <v>97</v>
      </c>
      <c r="I29" s="137"/>
    </row>
    <row r="30" customFormat="false" ht="16.5" hidden="false" customHeight="true" outlineLevel="0" collapsed="false">
      <c r="A30" s="132" t="n">
        <v>45705</v>
      </c>
      <c r="B30" s="137" t="s">
        <v>205</v>
      </c>
      <c r="C30" s="134" t="n">
        <v>300</v>
      </c>
      <c r="D30" s="135" t="s">
        <v>89</v>
      </c>
      <c r="E30" s="134"/>
      <c r="F30" s="136" t="s">
        <v>206</v>
      </c>
      <c r="G30" s="137" t="s">
        <v>136</v>
      </c>
      <c r="H30" s="137" t="s">
        <v>98</v>
      </c>
      <c r="I30" s="137"/>
    </row>
    <row r="31" customFormat="false" ht="16.5" hidden="false" customHeight="true" outlineLevel="0" collapsed="false">
      <c r="A31" s="132" t="n">
        <v>45715</v>
      </c>
      <c r="B31" s="137" t="s">
        <v>200</v>
      </c>
      <c r="C31" s="134" t="n">
        <v>-500</v>
      </c>
      <c r="D31" s="135" t="s">
        <v>89</v>
      </c>
      <c r="E31" s="134" t="n">
        <v>-500</v>
      </c>
      <c r="F31" s="136" t="s">
        <v>207</v>
      </c>
      <c r="G31" s="137" t="s">
        <v>134</v>
      </c>
      <c r="H31" s="137" t="s">
        <v>97</v>
      </c>
      <c r="I31" s="137"/>
    </row>
    <row r="32" customFormat="false" ht="16.5" hidden="false" customHeight="true" outlineLevel="0" collapsed="false">
      <c r="A32" s="132" t="n">
        <v>45715</v>
      </c>
      <c r="B32" s="137" t="s">
        <v>208</v>
      </c>
      <c r="C32" s="140" t="n">
        <v>520.1</v>
      </c>
      <c r="D32" s="135" t="s">
        <v>94</v>
      </c>
      <c r="E32" s="134" t="n">
        <v>500</v>
      </c>
      <c r="F32" s="136" t="s">
        <v>207</v>
      </c>
      <c r="G32" s="137" t="s">
        <v>134</v>
      </c>
      <c r="H32" s="137" t="s">
        <v>107</v>
      </c>
      <c r="I32" s="137"/>
    </row>
    <row r="33" customFormat="false" ht="16.5" hidden="false" customHeight="true" outlineLevel="0" collapsed="false">
      <c r="A33" s="132" t="n">
        <v>45715</v>
      </c>
      <c r="B33" s="137" t="s">
        <v>209</v>
      </c>
      <c r="C33" s="140" t="n">
        <v>60</v>
      </c>
      <c r="D33" s="135" t="s">
        <v>94</v>
      </c>
      <c r="E33" s="134" t="n">
        <v>57.25</v>
      </c>
      <c r="F33" s="136" t="s">
        <v>210</v>
      </c>
      <c r="G33" s="137" t="s">
        <v>137</v>
      </c>
      <c r="H33" s="137" t="s">
        <v>93</v>
      </c>
      <c r="I33" s="137"/>
    </row>
    <row r="34" customFormat="false" ht="16.5" hidden="false" customHeight="true" outlineLevel="0" collapsed="false">
      <c r="A34" s="132" t="n">
        <v>45715</v>
      </c>
      <c r="B34" s="137" t="s">
        <v>209</v>
      </c>
      <c r="C34" s="140" t="n">
        <v>-60</v>
      </c>
      <c r="D34" s="135" t="s">
        <v>94</v>
      </c>
      <c r="E34" s="134" t="n">
        <v>-57.25</v>
      </c>
      <c r="F34" s="136" t="s">
        <v>210</v>
      </c>
      <c r="G34" s="137" t="s">
        <v>137</v>
      </c>
      <c r="H34" s="137" t="s">
        <v>107</v>
      </c>
      <c r="I34" s="137"/>
    </row>
    <row r="35" customFormat="false" ht="16.5" hidden="false" customHeight="true" outlineLevel="0" collapsed="false">
      <c r="A35" s="132" t="n">
        <v>45716</v>
      </c>
      <c r="B35" s="137" t="s">
        <v>211</v>
      </c>
      <c r="C35" s="140" t="n">
        <v>-29.97</v>
      </c>
      <c r="D35" s="135" t="s">
        <v>94</v>
      </c>
      <c r="E35" s="134" t="n">
        <v>-28.85</v>
      </c>
      <c r="F35" s="136" t="s">
        <v>212</v>
      </c>
      <c r="G35" s="137" t="s">
        <v>138</v>
      </c>
      <c r="H35" s="137" t="s">
        <v>93</v>
      </c>
      <c r="I35" s="137"/>
    </row>
    <row r="36" customFormat="false" ht="16.5" hidden="false" customHeight="true" outlineLevel="0" collapsed="false">
      <c r="A36" s="132" t="n">
        <v>45716</v>
      </c>
      <c r="B36" s="137" t="s">
        <v>211</v>
      </c>
      <c r="C36" s="140" t="n">
        <v>29.97</v>
      </c>
      <c r="D36" s="135" t="s">
        <v>94</v>
      </c>
      <c r="E36" s="134" t="n">
        <v>28.85</v>
      </c>
      <c r="F36" s="136" t="s">
        <v>212</v>
      </c>
      <c r="G36" s="137" t="s">
        <v>138</v>
      </c>
      <c r="H36" s="137" t="s">
        <v>107</v>
      </c>
      <c r="I36" s="137"/>
    </row>
    <row r="37" customFormat="false" ht="16.5" hidden="false" customHeight="true" outlineLevel="0" collapsed="false">
      <c r="A37" s="132" t="n">
        <v>45716</v>
      </c>
      <c r="B37" s="137" t="s">
        <v>213</v>
      </c>
      <c r="C37" s="140" t="n">
        <v>0.15</v>
      </c>
      <c r="D37" s="135" t="s">
        <v>94</v>
      </c>
      <c r="E37" s="134"/>
      <c r="F37" s="136"/>
      <c r="G37" s="137" t="s">
        <v>140</v>
      </c>
      <c r="H37" s="137" t="s">
        <v>107</v>
      </c>
      <c r="I37" s="137"/>
    </row>
    <row r="38" customFormat="false" ht="16.5" hidden="false" customHeight="true" outlineLevel="0" collapsed="false">
      <c r="A38" s="132" t="n">
        <v>45715</v>
      </c>
      <c r="B38" s="137" t="s">
        <v>214</v>
      </c>
      <c r="C38" s="140" t="n">
        <v>-0.29</v>
      </c>
      <c r="D38" s="135" t="s">
        <v>94</v>
      </c>
      <c r="E38" s="134"/>
      <c r="F38" s="136"/>
      <c r="G38" s="137" t="s">
        <v>142</v>
      </c>
      <c r="H38" s="137" t="s">
        <v>107</v>
      </c>
      <c r="I38" s="137"/>
    </row>
    <row r="39" customFormat="false" ht="16.5" hidden="false" customHeight="true" outlineLevel="0" collapsed="false">
      <c r="A39" s="132" t="n">
        <v>45763</v>
      </c>
      <c r="B39" s="137"/>
      <c r="C39" s="134" t="n">
        <v>-33</v>
      </c>
      <c r="D39" s="135" t="s">
        <v>89</v>
      </c>
      <c r="E39" s="134"/>
      <c r="F39" s="136"/>
      <c r="G39" s="137" t="s">
        <v>145</v>
      </c>
      <c r="H39" s="137" t="s">
        <v>98</v>
      </c>
      <c r="I39" s="137"/>
    </row>
    <row r="40" customFormat="false" ht="16.5" hidden="false" customHeight="true" outlineLevel="0" collapsed="false">
      <c r="A40" s="132" t="n">
        <v>45783</v>
      </c>
      <c r="B40" s="137" t="s">
        <v>215</v>
      </c>
      <c r="C40" s="140" t="n">
        <v>200</v>
      </c>
      <c r="D40" s="135" t="s">
        <v>94</v>
      </c>
      <c r="E40" s="134" t="n">
        <v>176</v>
      </c>
      <c r="F40" s="136"/>
      <c r="G40" s="137" t="s">
        <v>137</v>
      </c>
      <c r="H40" s="137" t="s">
        <v>93</v>
      </c>
      <c r="I40" s="137"/>
    </row>
    <row r="41" customFormat="false" ht="16.5" hidden="false" customHeight="true" outlineLevel="0" collapsed="false">
      <c r="A41" s="132" t="n">
        <v>45783</v>
      </c>
      <c r="B41" s="137" t="s">
        <v>215</v>
      </c>
      <c r="C41" s="140" t="n">
        <v>-200</v>
      </c>
      <c r="D41" s="135" t="s">
        <v>94</v>
      </c>
      <c r="E41" s="134" t="n">
        <v>-176</v>
      </c>
      <c r="F41" s="136"/>
      <c r="G41" s="137" t="s">
        <v>137</v>
      </c>
      <c r="H41" s="137" t="s">
        <v>107</v>
      </c>
      <c r="I41" s="137"/>
    </row>
    <row r="42" customFormat="false" ht="16.5" hidden="false" customHeight="true" outlineLevel="0" collapsed="false">
      <c r="A42" s="132" t="n">
        <v>45809</v>
      </c>
      <c r="B42" s="137" t="s">
        <v>216</v>
      </c>
      <c r="C42" s="140" t="n">
        <v>0.17</v>
      </c>
      <c r="D42" s="135" t="s">
        <v>94</v>
      </c>
      <c r="E42" s="134"/>
      <c r="F42" s="136"/>
      <c r="G42" s="137" t="s">
        <v>141</v>
      </c>
      <c r="H42" s="137" t="s">
        <v>107</v>
      </c>
      <c r="I42" s="137"/>
    </row>
    <row r="43" customFormat="false" ht="16.5" hidden="false" customHeight="true" outlineLevel="0" collapsed="false">
      <c r="A43" s="132" t="n">
        <v>45809</v>
      </c>
      <c r="B43" s="137"/>
      <c r="C43" s="140" t="n">
        <v>0.79</v>
      </c>
      <c r="D43" s="135" t="s">
        <v>94</v>
      </c>
      <c r="E43" s="134"/>
      <c r="F43" s="136"/>
      <c r="G43" s="137" t="s">
        <v>140</v>
      </c>
      <c r="H43" s="137" t="s">
        <v>107</v>
      </c>
      <c r="I43" s="137"/>
    </row>
    <row r="44" customFormat="false" ht="16.5" hidden="false" customHeight="true" outlineLevel="0" collapsed="false">
      <c r="A44" s="132" t="n">
        <v>45822</v>
      </c>
      <c r="B44" s="137"/>
      <c r="C44" s="134" t="n">
        <v>-90</v>
      </c>
      <c r="D44" s="135" t="s">
        <v>89</v>
      </c>
      <c r="E44" s="134"/>
      <c r="F44" s="136"/>
      <c r="G44" s="137" t="s">
        <v>124</v>
      </c>
      <c r="H44" s="137" t="s">
        <v>98</v>
      </c>
      <c r="I44" s="137"/>
    </row>
    <row r="45" customFormat="false" ht="16.5" hidden="false" customHeight="true" outlineLevel="0" collapsed="false">
      <c r="A45" s="132" t="n">
        <v>45923</v>
      </c>
      <c r="B45" s="137" t="s">
        <v>187</v>
      </c>
      <c r="C45" s="138" t="n">
        <v>51277</v>
      </c>
      <c r="D45" s="135" t="s">
        <v>110</v>
      </c>
      <c r="E45" s="134"/>
      <c r="F45" s="136"/>
      <c r="G45" s="137" t="s">
        <v>188</v>
      </c>
      <c r="H45" s="137" t="s">
        <v>112</v>
      </c>
      <c r="I45" s="137"/>
    </row>
    <row r="46" customFormat="false" ht="16.5" hidden="false" customHeight="true" outlineLevel="0" collapsed="false">
      <c r="A46" s="132" t="n">
        <v>45924</v>
      </c>
      <c r="B46" s="137" t="s">
        <v>200</v>
      </c>
      <c r="C46" s="134" t="n">
        <v>-900</v>
      </c>
      <c r="D46" s="135" t="s">
        <v>89</v>
      </c>
      <c r="E46" s="134" t="n">
        <v>-900</v>
      </c>
      <c r="F46" s="136" t="s">
        <v>217</v>
      </c>
      <c r="G46" s="137" t="s">
        <v>134</v>
      </c>
      <c r="H46" s="137" t="s">
        <v>97</v>
      </c>
      <c r="I46" s="137"/>
    </row>
    <row r="47" customFormat="false" ht="16.5" hidden="false" customHeight="true" outlineLevel="0" collapsed="false">
      <c r="A47" s="132" t="n">
        <v>45924</v>
      </c>
      <c r="B47" s="137" t="s">
        <v>218</v>
      </c>
      <c r="C47" s="140" t="n">
        <v>1050.06</v>
      </c>
      <c r="D47" s="135" t="s">
        <v>94</v>
      </c>
      <c r="E47" s="134" t="n">
        <v>900</v>
      </c>
      <c r="F47" s="136" t="s">
        <v>217</v>
      </c>
      <c r="G47" s="137" t="s">
        <v>134</v>
      </c>
      <c r="H47" s="137" t="s">
        <v>107</v>
      </c>
      <c r="I47" s="137"/>
    </row>
    <row r="48" customFormat="false" ht="16.5" hidden="false" customHeight="true" outlineLevel="0" collapsed="false">
      <c r="A48" s="132" t="n">
        <v>45924</v>
      </c>
      <c r="B48" s="137" t="s">
        <v>219</v>
      </c>
      <c r="C48" s="140" t="n">
        <v>-0.76</v>
      </c>
      <c r="D48" s="135" t="s">
        <v>94</v>
      </c>
      <c r="E48" s="134"/>
      <c r="F48" s="136" t="s">
        <v>217</v>
      </c>
      <c r="G48" s="137" t="s">
        <v>140</v>
      </c>
      <c r="H48" s="137" t="s">
        <v>107</v>
      </c>
      <c r="I48" s="137"/>
    </row>
    <row r="49" customFormat="false" ht="16.5" hidden="false" customHeight="true" outlineLevel="0" collapsed="false">
      <c r="A49" s="132" t="n">
        <v>45924</v>
      </c>
      <c r="B49" s="137" t="s">
        <v>220</v>
      </c>
      <c r="C49" s="140" t="n">
        <v>-1000</v>
      </c>
      <c r="D49" s="135" t="s">
        <v>94</v>
      </c>
      <c r="E49" s="134" t="n">
        <v>-1175.09</v>
      </c>
      <c r="F49" s="136" t="s">
        <v>221</v>
      </c>
      <c r="G49" s="137" t="s">
        <v>137</v>
      </c>
      <c r="H49" s="137" t="s">
        <v>107</v>
      </c>
      <c r="I49" s="137"/>
    </row>
    <row r="50" customFormat="false" ht="16.5" hidden="false" customHeight="true" outlineLevel="0" collapsed="false">
      <c r="A50" s="132" t="n">
        <v>45924</v>
      </c>
      <c r="B50" s="137" t="s">
        <v>222</v>
      </c>
      <c r="C50" s="140" t="n">
        <v>-10</v>
      </c>
      <c r="D50" s="135" t="s">
        <v>94</v>
      </c>
      <c r="E50" s="134"/>
      <c r="F50" s="136" t="s">
        <v>221</v>
      </c>
      <c r="G50" s="137" t="s">
        <v>142</v>
      </c>
      <c r="H50" s="137" t="s">
        <v>107</v>
      </c>
      <c r="I50" s="137"/>
    </row>
    <row r="51" customFormat="false" ht="16.5" hidden="false" customHeight="true" outlineLevel="0" collapsed="false">
      <c r="A51" s="132" t="n">
        <v>45924</v>
      </c>
      <c r="B51" s="137" t="s">
        <v>220</v>
      </c>
      <c r="C51" s="140" t="n">
        <v>1000</v>
      </c>
      <c r="D51" s="135" t="s">
        <v>94</v>
      </c>
      <c r="E51" s="134" t="n">
        <v>1175.09</v>
      </c>
      <c r="F51" s="136" t="s">
        <v>221</v>
      </c>
      <c r="G51" s="137" t="s">
        <v>137</v>
      </c>
      <c r="H51" s="137" t="s">
        <v>93</v>
      </c>
      <c r="I51" s="137"/>
    </row>
    <row r="52" customFormat="false" ht="16.5" hidden="false" customHeight="true" outlineLevel="0" collapsed="false">
      <c r="A52" s="132" t="n">
        <v>45933</v>
      </c>
      <c r="B52" s="137" t="s">
        <v>223</v>
      </c>
      <c r="C52" s="134" t="n">
        <v>-120</v>
      </c>
      <c r="D52" s="135" t="s">
        <v>89</v>
      </c>
      <c r="E52" s="134"/>
      <c r="F52" s="136"/>
      <c r="G52" s="137" t="s">
        <v>144</v>
      </c>
      <c r="H52" s="137" t="s">
        <v>98</v>
      </c>
      <c r="I52" s="137"/>
    </row>
    <row r="53" customFormat="false" ht="16.5" hidden="false" customHeight="true" outlineLevel="0" collapsed="false">
      <c r="A53" s="132" t="n">
        <v>45939</v>
      </c>
      <c r="B53" s="137" t="s">
        <v>224</v>
      </c>
      <c r="C53" s="134" t="n">
        <v>-970</v>
      </c>
      <c r="D53" s="135" t="s">
        <v>89</v>
      </c>
      <c r="E53" s="134"/>
      <c r="F53" s="136"/>
      <c r="G53" s="137" t="s">
        <v>31</v>
      </c>
      <c r="H53" s="137" t="s">
        <v>98</v>
      </c>
      <c r="I53" s="137"/>
    </row>
    <row r="54" customFormat="false" ht="16.5" hidden="false" customHeight="true" outlineLevel="0" collapsed="false">
      <c r="A54" s="132" t="n">
        <v>45940</v>
      </c>
      <c r="B54" s="137" t="s">
        <v>200</v>
      </c>
      <c r="C54" s="134" t="n">
        <v>500</v>
      </c>
      <c r="D54" s="135" t="s">
        <v>89</v>
      </c>
      <c r="E54" s="134"/>
      <c r="F54" s="136" t="s">
        <v>225</v>
      </c>
      <c r="G54" s="137" t="s">
        <v>136</v>
      </c>
      <c r="H54" s="137" t="s">
        <v>97</v>
      </c>
      <c r="I54" s="137"/>
    </row>
    <row r="55" customFormat="false" ht="16.5" hidden="false" customHeight="true" outlineLevel="0" collapsed="false">
      <c r="A55" s="132" t="n">
        <v>45940</v>
      </c>
      <c r="B55" s="137" t="s">
        <v>226</v>
      </c>
      <c r="C55" s="134" t="n">
        <v>-500</v>
      </c>
      <c r="D55" s="135" t="s">
        <v>89</v>
      </c>
      <c r="E55" s="134"/>
      <c r="F55" s="136" t="s">
        <v>225</v>
      </c>
      <c r="G55" s="137" t="s">
        <v>136</v>
      </c>
      <c r="H55" s="137" t="s">
        <v>108</v>
      </c>
      <c r="I55" s="137"/>
    </row>
    <row r="56" customFormat="false" ht="16.5" hidden="false" customHeight="true" outlineLevel="0" collapsed="false">
      <c r="A56" s="132" t="n">
        <v>45945</v>
      </c>
      <c r="B56" s="137" t="s">
        <v>200</v>
      </c>
      <c r="C56" s="134" t="n">
        <v>-300</v>
      </c>
      <c r="D56" s="135" t="s">
        <v>89</v>
      </c>
      <c r="E56" s="134"/>
      <c r="F56" s="136" t="s">
        <v>227</v>
      </c>
      <c r="G56" s="137" t="s">
        <v>136</v>
      </c>
      <c r="H56" s="137" t="s">
        <v>97</v>
      </c>
      <c r="I56" s="137"/>
    </row>
    <row r="57" customFormat="false" ht="16.5" hidden="false" customHeight="true" outlineLevel="0" collapsed="false">
      <c r="A57" s="132" t="n">
        <v>45945</v>
      </c>
      <c r="B57" s="137" t="s">
        <v>205</v>
      </c>
      <c r="C57" s="134" t="n">
        <v>300</v>
      </c>
      <c r="D57" s="135" t="s">
        <v>89</v>
      </c>
      <c r="E57" s="134"/>
      <c r="F57" s="136" t="s">
        <v>227</v>
      </c>
      <c r="G57" s="137" t="s">
        <v>136</v>
      </c>
      <c r="H57" s="137" t="s">
        <v>98</v>
      </c>
      <c r="I57" s="137"/>
    </row>
    <row r="58" customFormat="false" ht="16.5" hidden="false" customHeight="true" outlineLevel="0" collapsed="false">
      <c r="A58" s="132" t="n">
        <v>45951</v>
      </c>
      <c r="B58" s="137" t="s">
        <v>202</v>
      </c>
      <c r="C58" s="134" t="n">
        <v>-700</v>
      </c>
      <c r="D58" s="135" t="s">
        <v>89</v>
      </c>
      <c r="E58" s="134"/>
      <c r="F58" s="136"/>
      <c r="G58" s="137" t="s">
        <v>31</v>
      </c>
      <c r="H58" s="137" t="s">
        <v>98</v>
      </c>
      <c r="I58" s="137"/>
    </row>
    <row r="59" customFormat="false" ht="16.5" hidden="false" customHeight="true" outlineLevel="0" collapsed="false">
      <c r="A59" s="132" t="n">
        <v>45967</v>
      </c>
      <c r="B59" s="137" t="s">
        <v>187</v>
      </c>
      <c r="C59" s="138" t="n">
        <v>51277</v>
      </c>
      <c r="D59" s="135" t="s">
        <v>110</v>
      </c>
      <c r="E59" s="134"/>
      <c r="F59" s="136"/>
      <c r="G59" s="137" t="s">
        <v>188</v>
      </c>
      <c r="H59" s="137" t="s">
        <v>112</v>
      </c>
      <c r="I59" s="137"/>
    </row>
    <row r="60" customFormat="false" ht="16.5" hidden="false" customHeight="true" outlineLevel="0" collapsed="false">
      <c r="A60" s="132" t="n">
        <v>46014</v>
      </c>
      <c r="B60" s="137" t="s">
        <v>200</v>
      </c>
      <c r="C60" s="134" t="n">
        <v>-118.08</v>
      </c>
      <c r="D60" s="135" t="s">
        <v>89</v>
      </c>
      <c r="E60" s="134" t="n">
        <v>-118.08</v>
      </c>
      <c r="F60" s="136" t="s">
        <v>228</v>
      </c>
      <c r="G60" s="137" t="s">
        <v>134</v>
      </c>
      <c r="H60" s="137" t="s">
        <v>97</v>
      </c>
      <c r="I60" s="137"/>
    </row>
    <row r="61" customFormat="false" ht="16.5" hidden="false" customHeight="true" outlineLevel="0" collapsed="false">
      <c r="A61" s="132" t="n">
        <v>46014</v>
      </c>
      <c r="B61" s="137" t="s">
        <v>229</v>
      </c>
      <c r="C61" s="140" t="n">
        <v>10.44</v>
      </c>
      <c r="D61" s="135" t="s">
        <v>94</v>
      </c>
      <c r="E61" s="134"/>
      <c r="F61" s="136"/>
      <c r="G61" s="137" t="s">
        <v>141</v>
      </c>
      <c r="H61" s="137" t="s">
        <v>107</v>
      </c>
      <c r="I61" s="137"/>
    </row>
    <row r="62" customFormat="false" ht="16.5" hidden="false" customHeight="true" outlineLevel="0" collapsed="false">
      <c r="A62" s="132" t="n">
        <v>46048</v>
      </c>
      <c r="B62" s="137" t="s">
        <v>230</v>
      </c>
      <c r="C62" s="140" t="n">
        <v>138.95</v>
      </c>
      <c r="D62" s="135" t="s">
        <v>94</v>
      </c>
      <c r="E62" s="134" t="n">
        <v>118.08</v>
      </c>
      <c r="F62" s="136" t="s">
        <v>228</v>
      </c>
      <c r="G62" s="137" t="s">
        <v>134</v>
      </c>
      <c r="H62" s="137" t="s">
        <v>107</v>
      </c>
      <c r="I62" s="137"/>
    </row>
    <row r="63" customFormat="false" ht="16.5" hidden="false" customHeight="true" outlineLevel="0" collapsed="false">
      <c r="A63" s="132" t="n">
        <v>46048</v>
      </c>
      <c r="B63" s="137" t="s">
        <v>231</v>
      </c>
      <c r="C63" s="140" t="n">
        <v>-138.93</v>
      </c>
      <c r="D63" s="135" t="s">
        <v>94</v>
      </c>
      <c r="E63" s="134" t="n">
        <v>-117.38</v>
      </c>
      <c r="F63" s="136" t="s">
        <v>232</v>
      </c>
      <c r="G63" s="137" t="s">
        <v>137</v>
      </c>
      <c r="H63" s="137" t="s">
        <v>107</v>
      </c>
      <c r="I63" s="137"/>
    </row>
    <row r="64" customFormat="false" ht="16.5" hidden="false" customHeight="true" outlineLevel="0" collapsed="false">
      <c r="A64" s="132" t="n">
        <v>46048</v>
      </c>
      <c r="B64" s="137" t="s">
        <v>231</v>
      </c>
      <c r="C64" s="140" t="n">
        <v>138.93</v>
      </c>
      <c r="D64" s="135" t="s">
        <v>94</v>
      </c>
      <c r="E64" s="134" t="n">
        <v>117.38</v>
      </c>
      <c r="F64" s="136" t="s">
        <v>232</v>
      </c>
      <c r="G64" s="137" t="s">
        <v>137</v>
      </c>
      <c r="H64" s="137" t="s">
        <v>93</v>
      </c>
      <c r="I64" s="137"/>
    </row>
    <row r="65" customFormat="false" ht="16.5" hidden="false" customHeight="true" outlineLevel="0" collapsed="false">
      <c r="A65" s="132" t="n">
        <v>46048</v>
      </c>
      <c r="B65" s="137" t="s">
        <v>231</v>
      </c>
      <c r="C65" s="140" t="n">
        <v>-2353.06</v>
      </c>
      <c r="D65" s="135" t="s">
        <v>94</v>
      </c>
      <c r="E65" s="134" t="n">
        <v>-1988.05</v>
      </c>
      <c r="F65" s="136" t="s">
        <v>233</v>
      </c>
      <c r="G65" s="137" t="s">
        <v>137</v>
      </c>
      <c r="H65" s="137" t="s">
        <v>107</v>
      </c>
      <c r="I65" s="137"/>
    </row>
    <row r="66" customFormat="false" ht="16.5" hidden="false" customHeight="true" outlineLevel="0" collapsed="false">
      <c r="A66" s="132" t="n">
        <v>46048</v>
      </c>
      <c r="B66" s="137" t="s">
        <v>231</v>
      </c>
      <c r="C66" s="140" t="n">
        <v>2353.06</v>
      </c>
      <c r="D66" s="135" t="s">
        <v>94</v>
      </c>
      <c r="E66" s="134" t="n">
        <v>1988.05</v>
      </c>
      <c r="F66" s="136" t="s">
        <v>233</v>
      </c>
      <c r="G66" s="137" t="s">
        <v>137</v>
      </c>
      <c r="H66" s="137" t="s">
        <v>93</v>
      </c>
      <c r="I66" s="137"/>
    </row>
    <row r="67" customFormat="false" ht="16.5" hidden="false" customHeight="true" outlineLevel="0" collapsed="false">
      <c r="A67" s="132" t="n">
        <v>46050</v>
      </c>
      <c r="B67" s="137" t="s">
        <v>187</v>
      </c>
      <c r="C67" s="140" t="n">
        <v>487.59</v>
      </c>
      <c r="D67" s="135" t="s">
        <v>94</v>
      </c>
      <c r="E67" s="134"/>
      <c r="F67" s="136"/>
      <c r="G67" s="137" t="s">
        <v>188</v>
      </c>
      <c r="H67" s="137" t="s">
        <v>107</v>
      </c>
      <c r="I67" s="137"/>
    </row>
    <row r="68" customFormat="false" ht="16.5" hidden="false" customHeight="true" outlineLevel="0" collapsed="false">
      <c r="A68" s="132" t="n">
        <v>46050</v>
      </c>
      <c r="B68" s="137" t="s">
        <v>187</v>
      </c>
      <c r="C68" s="140" t="n">
        <v>3549.43</v>
      </c>
      <c r="D68" s="135" t="s">
        <v>94</v>
      </c>
      <c r="E68" s="134"/>
      <c r="F68" s="136"/>
      <c r="G68" s="137" t="s">
        <v>188</v>
      </c>
      <c r="H68" s="137" t="s">
        <v>93</v>
      </c>
      <c r="I68" s="137"/>
    </row>
    <row r="69" customFormat="false" ht="16.5" hidden="false" customHeight="true" outlineLevel="0" collapsed="false">
      <c r="A69" s="132" t="n">
        <v>46058</v>
      </c>
      <c r="B69" s="137" t="s">
        <v>187</v>
      </c>
      <c r="C69" s="134" t="n">
        <v>9965</v>
      </c>
      <c r="D69" s="135" t="s">
        <v>89</v>
      </c>
      <c r="E69" s="134"/>
      <c r="F69" s="136"/>
      <c r="G69" s="137" t="s">
        <v>188</v>
      </c>
      <c r="H69" s="137" t="s">
        <v>108</v>
      </c>
      <c r="I69" s="137"/>
    </row>
    <row r="70" customFormat="false" ht="16.5" hidden="false" customHeight="true" outlineLevel="0" collapsed="false">
      <c r="A70" s="132" t="n">
        <v>46084</v>
      </c>
      <c r="B70" s="137" t="s">
        <v>187</v>
      </c>
      <c r="C70" s="134" t="n">
        <v>7</v>
      </c>
      <c r="D70" s="135" t="s">
        <v>89</v>
      </c>
      <c r="E70" s="134"/>
      <c r="F70" s="136"/>
      <c r="G70" s="137" t="s">
        <v>188</v>
      </c>
      <c r="H70" s="137" t="s">
        <v>98</v>
      </c>
      <c r="I70" s="137"/>
    </row>
    <row r="71" customFormat="false" ht="16.5" hidden="false" customHeight="true" outlineLevel="0" collapsed="false">
      <c r="A71" s="132" t="n">
        <v>46091</v>
      </c>
      <c r="B71" s="137" t="s">
        <v>200</v>
      </c>
      <c r="C71" s="134" t="n">
        <v>-10</v>
      </c>
      <c r="D71" s="135" t="s">
        <v>89</v>
      </c>
      <c r="E71" s="134"/>
      <c r="F71" s="136" t="s">
        <v>234</v>
      </c>
      <c r="G71" s="137" t="s">
        <v>136</v>
      </c>
      <c r="H71" s="137" t="s">
        <v>97</v>
      </c>
      <c r="I71" s="137"/>
    </row>
    <row r="72" customFormat="false" ht="16.5" hidden="false" customHeight="true" outlineLevel="0" collapsed="false">
      <c r="A72" s="132" t="n">
        <v>46091</v>
      </c>
      <c r="B72" s="137" t="s">
        <v>235</v>
      </c>
      <c r="C72" s="134" t="n">
        <v>10</v>
      </c>
      <c r="D72" s="135" t="s">
        <v>89</v>
      </c>
      <c r="E72" s="134"/>
      <c r="F72" s="136" t="s">
        <v>234</v>
      </c>
      <c r="G72" s="137" t="s">
        <v>136</v>
      </c>
      <c r="H72" s="137" t="s">
        <v>100</v>
      </c>
      <c r="I72" s="137"/>
    </row>
    <row r="73" customFormat="false" ht="16.5" hidden="false" customHeight="true" outlineLevel="0" collapsed="false">
      <c r="A73" s="132" t="n">
        <v>46091</v>
      </c>
      <c r="B73" s="137" t="s">
        <v>187</v>
      </c>
      <c r="C73" s="134" t="n">
        <v>10</v>
      </c>
      <c r="D73" s="135" t="s">
        <v>89</v>
      </c>
      <c r="E73" s="134"/>
      <c r="F73" s="136"/>
      <c r="G73" s="137" t="s">
        <v>188</v>
      </c>
      <c r="H73" s="137" t="s">
        <v>100</v>
      </c>
      <c r="I73" s="137"/>
    </row>
    <row r="74" customFormat="false" ht="16.5" hidden="false" customHeight="true" outlineLevel="0" collapsed="false">
      <c r="A74" s="132" t="n">
        <v>46092</v>
      </c>
      <c r="B74" s="137" t="s">
        <v>187</v>
      </c>
      <c r="C74" s="134" t="n">
        <v>2881.92</v>
      </c>
      <c r="D74" s="135" t="s">
        <v>89</v>
      </c>
      <c r="E74" s="134"/>
      <c r="F74" s="136"/>
      <c r="G74" s="137" t="s">
        <v>188</v>
      </c>
      <c r="H74" s="137" t="s">
        <v>97</v>
      </c>
      <c r="I74" s="137"/>
    </row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27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28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tabSelected="tru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false" zeroHeight="false" outlineLevelRow="0" outlineLevelCol="0"/>
  <cols>
    <col collapsed="false" customWidth="true" hidden="false" outlineLevel="0" max="1" min="1" style="43" width="28.33"/>
    <col collapsed="false" customWidth="true" hidden="false" outlineLevel="0" max="2" min="2" style="44" width="7.67"/>
    <col collapsed="false" customWidth="true" hidden="false" outlineLevel="0" max="3" min="3" style="44" width="13.16"/>
    <col collapsed="false" customWidth="true" hidden="false" outlineLevel="0" max="4" min="4" style="44" width="11.89"/>
    <col collapsed="false" customWidth="true" hidden="false" outlineLevel="0" max="5" min="5" style="44" width="14.89"/>
    <col collapsed="false" customWidth="true" hidden="false" outlineLevel="0" max="7" min="6" style="43" width="14.89"/>
    <col collapsed="false" customWidth="true" hidden="false" outlineLevel="0" max="8" min="8" style="43" width="14.83"/>
    <col collapsed="false" customWidth="true" hidden="false" outlineLevel="0" max="9" min="9" style="44" width="9.33"/>
    <col collapsed="false" customWidth="true" hidden="false" outlineLevel="0" max="10" min="10" style="73" width="41.42"/>
    <col collapsed="false" customWidth="true" hidden="false" outlineLevel="0" max="11" min="11" style="73" width="14.98"/>
    <col collapsed="false" customWidth="true" hidden="false" outlineLevel="0" max="12" min="12" style="73" width="11"/>
    <col collapsed="false" customWidth="true" hidden="false" outlineLevel="0" max="13" min="13" style="73" width="15.51"/>
    <col collapsed="false" customWidth="false" hidden="false" outlineLevel="0" max="16368" min="16" style="73" width="19.16"/>
    <col collapsed="false" customWidth="true" hidden="false" outlineLevel="0" max="16382" min="16369" style="1" width="11.53"/>
    <col collapsed="false" customWidth="true" hidden="false" outlineLevel="0" max="16384" min="16383" style="73" width="11.53"/>
  </cols>
  <sheetData>
    <row r="1" customFormat="false" ht="16.5" hidden="false" customHeight="true" outlineLevel="0" collapsed="false">
      <c r="A1" s="141" t="str">
        <f aca="false">$K$49</f>
        <v>✓</v>
      </c>
      <c r="B1" s="10"/>
      <c r="C1" s="10"/>
      <c r="D1" s="10"/>
      <c r="E1" s="10"/>
      <c r="F1" s="12"/>
      <c r="G1" s="12"/>
      <c r="H1" s="12"/>
      <c r="I1" s="84"/>
    </row>
    <row r="2" customFormat="false" ht="28.5" hidden="false" customHeight="true" outlineLevel="0" collapsed="false">
      <c r="A2" s="50" t="s">
        <v>236</v>
      </c>
      <c r="B2" s="84" t="s">
        <v>82</v>
      </c>
      <c r="C2" s="84" t="s">
        <v>237</v>
      </c>
      <c r="D2" s="84" t="s">
        <v>238</v>
      </c>
      <c r="E2" s="84" t="s">
        <v>239</v>
      </c>
      <c r="F2" s="26" t="s">
        <v>240</v>
      </c>
      <c r="G2" s="26" t="s">
        <v>241</v>
      </c>
      <c r="H2" s="50" t="s">
        <v>147</v>
      </c>
      <c r="I2" s="50" t="s">
        <v>242</v>
      </c>
    </row>
    <row r="3" customFormat="false" ht="15" hidden="false" customHeight="true" outlineLevel="0" collapsed="false">
      <c r="A3" s="14" t="s">
        <v>4</v>
      </c>
      <c r="B3" s="54"/>
      <c r="C3" s="117"/>
      <c r="D3" s="117"/>
      <c r="E3" s="16"/>
      <c r="F3" s="16"/>
      <c r="G3" s="16"/>
      <c r="H3" s="16"/>
      <c r="I3" s="16"/>
    </row>
    <row r="4" customFormat="false" ht="15" hidden="false" customHeight="true" outlineLevel="0" collapsed="false">
      <c r="A4" s="14" t="str">
        <f aca="false">Avoirs!A5</f>
        <v>Assurance vie Alice</v>
      </c>
      <c r="B4" s="54" t="s">
        <v>89</v>
      </c>
      <c r="C4" s="117" t="n">
        <f aca="false">IF(COUNTIFS(OPcompte,$A4,OPdevise,$B4,OPcatégorie,Solde)&gt;=2,_xlfn.MINIFS(OPdate,OPcompte,$A4,OPdevise,$B4,OPcatégorie,Solde),0)</f>
        <v>0</v>
      </c>
      <c r="D4" s="117" t="n">
        <f aca="false">_xlfn.MAXIFS(OPdate,OPcompte,$A4,OPdevise,$B4,OPcatégorie,Solde)</f>
        <v>0</v>
      </c>
      <c r="E4" s="16" t="n">
        <f aca="false">IF($C4=0,0,_xlfn.XLOOKUP(1,(OPcompte=$A4)*(OPdevise=$B4)*(OPcatégorie=Solde)*(OPdate=$C4),OPmontant,0,0,1))</f>
        <v>0</v>
      </c>
      <c r="F4" s="16" t="n">
        <f aca="false">$E4+SUMIFS(OPmontant,OPcompte,$A4,OPdevise,$B4,OPdate,"&gt;"&amp;$C4,OPdate,"&lt;="&amp;$D4,OPcatégorie,"&lt;&gt;Solde",OPcatégorie,"&lt;&gt;"&amp;Spéciale)</f>
        <v>0</v>
      </c>
      <c r="G4" s="16" t="n">
        <f aca="false">_xlfn.XLOOKUP(1,(OPcompte=$A4)*(OPdevise=$B4)*(OPcatégorie=Solde)*(OPdate=$D4),OPmontant,0,0,-1)</f>
        <v>0</v>
      </c>
      <c r="H4" s="16" t="n">
        <f aca="false">IF(ABS($G4-$F4)&lt;0.015,0,ROUND($G4-$F4,2))</f>
        <v>0</v>
      </c>
      <c r="I4" s="16" t="s">
        <v>243</v>
      </c>
    </row>
    <row r="5" customFormat="false" ht="15" hidden="false" customHeight="true" outlineLevel="0" collapsed="false">
      <c r="A5" s="14" t="str">
        <f aca="false">Avoirs!A6</f>
        <v>PEE Alice</v>
      </c>
      <c r="B5" s="54" t="s">
        <v>89</v>
      </c>
      <c r="C5" s="117" t="n">
        <f aca="false">IF(COUNTIFS(OPcompte,$A5,OPdevise,$B5,OPcatégorie,Solde)&gt;=2,_xlfn.MINIFS(OPdate,OPcompte,$A5,OPdevise,$B5,OPcatégorie,Solde),0)</f>
        <v>0</v>
      </c>
      <c r="D5" s="117" t="n">
        <f aca="false">_xlfn.MAXIFS(OPdate,OPcompte,$A5,OPdevise,$B5,OPcatégorie,Solde)</f>
        <v>0</v>
      </c>
      <c r="E5" s="16" t="n">
        <f aca="false">IF($C5=0,0,_xlfn.XLOOKUP(1,(OPcompte=$A5)*(OPdevise=$B5)*(OPcatégorie=Solde)*(OPdate=$C5),OPmontant,0,0,1))</f>
        <v>0</v>
      </c>
      <c r="F5" s="16" t="n">
        <f aca="false">$E5+SUMIFS(OPmontant,OPcompte,$A5,OPdevise,$B5,OPdate,"&gt;"&amp;$C5,OPdate,"&lt;="&amp;$D5,OPcatégorie,"&lt;&gt;Solde",OPcatégorie,"&lt;&gt;"&amp;Spéciale)</f>
        <v>0</v>
      </c>
      <c r="G5" s="16" t="n">
        <f aca="false">_xlfn.XLOOKUP(1,(OPcompte=$A5)*(OPdevise=$B5)*(OPcatégorie=Solde)*(OPdate=$D5),OPmontant,0,0,-1)</f>
        <v>0</v>
      </c>
      <c r="H5" s="16" t="n">
        <f aca="false">IF(ABS($G5-$F5)&lt;0.015,0,ROUND($G5-$F5,2))</f>
        <v>0</v>
      </c>
      <c r="I5" s="16" t="s">
        <v>243</v>
      </c>
    </row>
    <row r="6" customFormat="false" ht="15" hidden="false" customHeight="true" outlineLevel="0" collapsed="false">
      <c r="A6" s="14" t="str">
        <f aca="false">Avoirs!A7</f>
        <v>Portefeuille BB Titres</v>
      </c>
      <c r="B6" s="54" t="s">
        <v>89</v>
      </c>
      <c r="C6" s="117" t="n">
        <f aca="false">IF(COUNTIFS(OPcompte,$A6,OPdevise,$B6,OPcatégorie,Solde)&gt;=2,_xlfn.MINIFS(OPdate,OPcompte,$A6,OPdevise,$B6,OPcatégorie,Solde),0)</f>
        <v>0</v>
      </c>
      <c r="D6" s="117" t="n">
        <f aca="false">_xlfn.MAXIFS(OPdate,OPcompte,$A6,OPdevise,$B6,OPcatégorie,Solde)</f>
        <v>0</v>
      </c>
      <c r="E6" s="16" t="n">
        <f aca="false">IF($C6=0,0,_xlfn.XLOOKUP(1,(OPcompte=$A6)*(OPdevise=$B6)*(OPcatégorie=Solde)*(OPdate=$C6),OPmontant,0,0,1))</f>
        <v>0</v>
      </c>
      <c r="F6" s="16" t="n">
        <f aca="false">$E6+SUMIFS(OPmontant,OPcompte,$A6,OPdevise,$B6,OPdate,"&gt;"&amp;$C6,OPdate,"&lt;="&amp;$D6,OPcatégorie,"&lt;&gt;Solde",OPcatégorie,"&lt;&gt;"&amp;Spéciale)</f>
        <v>0</v>
      </c>
      <c r="G6" s="16" t="n">
        <f aca="false">_xlfn.XLOOKUP(1,(OPcompte=$A6)*(OPdevise=$B6)*(OPcatégorie=Solde)*(OPdate=$D6),OPmontant,0,0,-1)</f>
        <v>0</v>
      </c>
      <c r="H6" s="16" t="n">
        <f aca="false">IF(ABS($G6-$F6)&lt;0.015,0,ROUND($G6-$F6,2))</f>
        <v>0</v>
      </c>
      <c r="I6" s="16" t="s">
        <v>243</v>
      </c>
    </row>
    <row r="7" customFormat="false" ht="15" hidden="false" customHeight="true" outlineLevel="0" collapsed="false">
      <c r="A7" s="14" t="str">
        <f aca="false">Avoirs!A8</f>
        <v>Portefeuille DEGIRO Titres</v>
      </c>
      <c r="B7" s="54" t="s">
        <v>89</v>
      </c>
      <c r="C7" s="117" t="n">
        <f aca="false">IF(COUNTIFS(OPcompte,$A7,OPdevise,$B7,OPcatégorie,Solde)&gt;=2,_xlfn.MINIFS(OPdate,OPcompte,$A7,OPdevise,$B7,OPcatégorie,Solde),0)</f>
        <v>0</v>
      </c>
      <c r="D7" s="117" t="n">
        <f aca="false">_xlfn.MAXIFS(OPdate,OPcompte,$A7,OPdevise,$B7,OPcatégorie,Solde)</f>
        <v>0</v>
      </c>
      <c r="E7" s="16" t="n">
        <f aca="false">IF($C7=0,0,_xlfn.XLOOKUP(1,(OPcompte=$A7)*(OPdevise=$B7)*(OPcatégorie=Solde)*(OPdate=$C7),OPmontant,0,0,1))</f>
        <v>0</v>
      </c>
      <c r="F7" s="16" t="n">
        <f aca="false">$E7+SUMIFS(OPmontant,OPcompte,$A7,OPdevise,$B7,OPdate,"&gt;"&amp;$C7,OPdate,"&lt;="&amp;$D7,OPcatégorie,"&lt;&gt;Solde",OPcatégorie,"&lt;&gt;"&amp;Spéciale)</f>
        <v>0</v>
      </c>
      <c r="G7" s="16" t="n">
        <f aca="false">_xlfn.XLOOKUP(1,(OPcompte=$A7)*(OPdevise=$B7)*(OPcatégorie=Solde)*(OPdate=$D7),OPmontant,0,0,-1)</f>
        <v>0</v>
      </c>
      <c r="H7" s="16" t="n">
        <f aca="false">IF(ABS($G7-$F7)&lt;0.015,0,ROUND($G7-$F7,2))</f>
        <v>0</v>
      </c>
      <c r="I7" s="16" t="s">
        <v>243</v>
      </c>
    </row>
    <row r="8" customFormat="false" ht="15" hidden="false" customHeight="true" outlineLevel="0" collapsed="false">
      <c r="A8" s="14" t="str">
        <f aca="false">Avoirs!A9</f>
        <v>Portefeuille eToro USD Titres</v>
      </c>
      <c r="B8" s="54" t="s">
        <v>94</v>
      </c>
      <c r="C8" s="117" t="n">
        <f aca="false">IF(COUNTIFS(OPcompte,$A8,OPdevise,$B8,OPcatégorie,Solde)&gt;=2,_xlfn.MINIFS(OPdate,OPcompte,$A8,OPdevise,$B8,OPcatégorie,Solde),0)</f>
        <v>0</v>
      </c>
      <c r="D8" s="117" t="n">
        <f aca="false">_xlfn.MAXIFS(OPdate,OPcompte,$A8,OPdevise,$B8,OPcatégorie,Solde)</f>
        <v>46050</v>
      </c>
      <c r="E8" s="142" t="n">
        <f aca="false">IF($C8=0,0,_xlfn.XLOOKUP(1,(OPcompte=$A8)*(OPdevise=$B8)*(OPcatégorie=Solde)*(OPdate=$C8),OPmontant,0,0,1))</f>
        <v>0</v>
      </c>
      <c r="F8" s="142" t="n">
        <f aca="false">$E8+SUMIFS(OPmontant,OPcompte,$A8,OPdevise,$B8,OPdate,"&gt;"&amp;$C8,OPdate,"&lt;="&amp;$D8,OPcatégorie,"&lt;&gt;Solde",OPcatégorie,"&lt;&gt;"&amp;Spéciale)</f>
        <v>3732.02</v>
      </c>
      <c r="G8" s="142" t="n">
        <f aca="false">_xlfn.XLOOKUP(1,(OPcompte=$A8)*(OPdevise=$B8)*(OPcatégorie=Solde)*(OPdate=$D8),OPmontant,0,0,-1)</f>
        <v>3549.43</v>
      </c>
      <c r="H8" s="142" t="n">
        <f aca="false">IF(ABS($G8-$F8)&lt;0.015,0,ROUND($G8-$F8,2))</f>
        <v>-182.59</v>
      </c>
      <c r="I8" s="16" t="s">
        <v>243</v>
      </c>
    </row>
    <row r="9" customFormat="false" ht="15" hidden="false" customHeight="true" outlineLevel="0" collapsed="false">
      <c r="A9" s="14" t="str">
        <f aca="false">Avoirs!A10</f>
        <v>Compte Amazon</v>
      </c>
      <c r="B9" s="54" t="s">
        <v>89</v>
      </c>
      <c r="C9" s="117" t="n">
        <f aca="false">IF(COUNTIFS(OPcompte,$A9,OPdevise,$B9,OPcatégorie,Solde)&gt;=2,_xlfn.MINIFS(OPdate,OPcompte,$A9,OPdevise,$B9,OPcatégorie,Solde),0)</f>
        <v>0</v>
      </c>
      <c r="D9" s="117" t="n">
        <f aca="false">_xlfn.MAXIFS(OPdate,OPcompte,$A9,OPdevise,$B9,OPcatégorie,Solde)</f>
        <v>45657</v>
      </c>
      <c r="E9" s="16" t="n">
        <f aca="false">IF($C9=0,0,_xlfn.XLOOKUP(1,(OPcompte=$A9)*(OPdevise=$B9)*(OPcatégorie=Solde)*(OPdate=$C9),OPmontant,0,0,1))</f>
        <v>0</v>
      </c>
      <c r="F9" s="16" t="n">
        <f aca="false">$E9+SUMIFS(OPmontant,OPcompte,$A9,OPdevise,$B9,OPdate,"&gt;"&amp;$C9,OPdate,"&lt;="&amp;$D9,OPcatégorie,"&lt;&gt;Solde",OPcatégorie,"&lt;&gt;"&amp;Spéciale)</f>
        <v>50</v>
      </c>
      <c r="G9" s="16" t="n">
        <f aca="false">_xlfn.XLOOKUP(1,(OPcompte=$A9)*(OPdevise=$B9)*(OPcatégorie=Solde)*(OPdate=$D9),OPmontant,0,0,-1)</f>
        <v>50</v>
      </c>
      <c r="H9" s="16" t="n">
        <f aca="false">IF(ABS($G9-$F9)&lt;0.015,0,ROUND($G9-$F9,2))</f>
        <v>0</v>
      </c>
      <c r="I9" s="16" t="s">
        <v>244</v>
      </c>
    </row>
    <row r="10" customFormat="false" ht="15" hidden="false" customHeight="true" outlineLevel="0" collapsed="false">
      <c r="A10" s="14" t="str">
        <f aca="false">Avoirs!A11</f>
        <v>Compte chèque BB</v>
      </c>
      <c r="B10" s="54" t="s">
        <v>89</v>
      </c>
      <c r="C10" s="117" t="n">
        <f aca="false">IF(COUNTIFS(OPcompte,$A10,OPdevise,$B10,OPcatégorie,Solde)&gt;=2,_xlfn.MINIFS(OPdate,OPcompte,$A10,OPdevise,$B10,OPcatégorie,Solde),0)</f>
        <v>0</v>
      </c>
      <c r="D10" s="117" t="n">
        <f aca="false">_xlfn.MAXIFS(OPdate,OPcompte,$A10,OPdevise,$B10,OPcatégorie,Solde)</f>
        <v>0</v>
      </c>
      <c r="E10" s="16" t="n">
        <f aca="false">IF($C10=0,0,_xlfn.XLOOKUP(1,(OPcompte=$A10)*(OPdevise=$B10)*(OPcatégorie=Solde)*(OPdate=$C10),OPmontant,0,0,1))</f>
        <v>0</v>
      </c>
      <c r="F10" s="16" t="n">
        <f aca="false">$E10+SUMIFS(OPmontant,OPcompte,$A10,OPdevise,$B10,OPdate,"&gt;"&amp;$C10,OPdate,"&lt;="&amp;$D10,OPcatégorie,"&lt;&gt;Solde",OPcatégorie,"&lt;&gt;"&amp;Spéciale)</f>
        <v>0</v>
      </c>
      <c r="G10" s="16" t="n">
        <f aca="false">_xlfn.XLOOKUP(1,(OPcompte=$A10)*(OPdevise=$B10)*(OPcatégorie=Solde)*(OPdate=$D10),OPmontant,0,0,-1)</f>
        <v>0</v>
      </c>
      <c r="H10" s="16" t="n">
        <f aca="false">IF(ABS($G10-$F10)&lt;0.015,0,ROUND($G10-$F10,2))</f>
        <v>0</v>
      </c>
      <c r="I10" s="16" t="s">
        <v>244</v>
      </c>
    </row>
    <row r="11" customFormat="false" ht="15" hidden="false" customHeight="true" outlineLevel="0" collapsed="false">
      <c r="A11" s="14" t="str">
        <f aca="false">Avoirs!A12</f>
        <v>Compte chèque commun</v>
      </c>
      <c r="B11" s="54" t="s">
        <v>89</v>
      </c>
      <c r="C11" s="117" t="n">
        <f aca="false">IF(COUNTIFS(OPcompte,$A11,OPdevise,$B11,OPcatégorie,Solde)&gt;=2,_xlfn.MINIFS(OPdate,OPcompte,$A11,OPdevise,$B11,OPcatégorie,Solde),0)</f>
        <v>44927</v>
      </c>
      <c r="D11" s="117" t="n">
        <f aca="false">_xlfn.MAXIFS(OPdate,OPcompte,$A11,OPdevise,$B11,OPcatégorie,Solde)</f>
        <v>46092</v>
      </c>
      <c r="E11" s="16" t="n">
        <f aca="false">IF($C11=0,0,_xlfn.XLOOKUP(1,(OPcompte=$A11)*(OPdevise=$B11)*(OPcatégorie=Solde)*(OPdate=$C11),OPmontant,0,0,1))</f>
        <v>5000</v>
      </c>
      <c r="F11" s="16" t="n">
        <f aca="false">$E11+SUMIFS(OPmontant,OPcompte,$A11,OPdevise,$B11,OPdate,"&gt;"&amp;$C11,OPdate,"&lt;="&amp;$D11,OPcatégorie,"&lt;&gt;Solde",OPcatégorie,"&lt;&gt;"&amp;Spéciale)</f>
        <v>2881.92</v>
      </c>
      <c r="G11" s="16" t="n">
        <f aca="false">_xlfn.XLOOKUP(1,(OPcompte=$A11)*(OPdevise=$B11)*(OPcatégorie=Solde)*(OPdate=$D11),OPmontant,0,0,-1)</f>
        <v>2881.92</v>
      </c>
      <c r="H11" s="16" t="n">
        <f aca="false">IF(ABS($G11-$F11)&lt;0.015,0,ROUND($G11-$F11,2))</f>
        <v>0</v>
      </c>
      <c r="I11" s="16" t="s">
        <v>244</v>
      </c>
    </row>
    <row r="12" customFormat="false" ht="15" hidden="false" customHeight="true" outlineLevel="0" collapsed="false">
      <c r="A12" s="14" t="str">
        <f aca="false">Avoirs!A13</f>
        <v>Espèces</v>
      </c>
      <c r="B12" s="54" t="s">
        <v>89</v>
      </c>
      <c r="C12" s="117" t="n">
        <f aca="false">IF(COUNTIFS(OPcompte,$A12,OPdevise,$B12,OPcatégorie,Solde)&gt;=2,_xlfn.MINIFS(OPdate,OPcompte,$A12,OPdevise,$B12,OPcatégorie,Solde),0)</f>
        <v>45657</v>
      </c>
      <c r="D12" s="117" t="n">
        <f aca="false">_xlfn.MAXIFS(OPdate,OPcompte,$A12,OPdevise,$B12,OPcatégorie,Solde)</f>
        <v>46084</v>
      </c>
      <c r="E12" s="16" t="n">
        <f aca="false">IF($C12=0,0,_xlfn.XLOOKUP(1,(OPcompte=$A12)*(OPdevise=$B12)*(OPcatégorie=Solde)*(OPdate=$C12),OPmontant,0,0,1))</f>
        <v>2500</v>
      </c>
      <c r="F12" s="16" t="n">
        <f aca="false">$E12+SUMIFS(OPmontant,OPcompte,$A12,OPdevise,$B12,OPdate,"&gt;"&amp;$C12,OPdate,"&lt;="&amp;$D12,OPcatégorie,"&lt;&gt;Solde",OPcatégorie,"&lt;&gt;"&amp;Spéciale)</f>
        <v>7</v>
      </c>
      <c r="G12" s="16" t="n">
        <f aca="false">_xlfn.XLOOKUP(1,(OPcompte=$A12)*(OPdevise=$B12)*(OPcatégorie=Solde)*(OPdate=$D12),OPmontant,0,0,-1)</f>
        <v>7</v>
      </c>
      <c r="H12" s="16" t="n">
        <f aca="false">IF(ABS($G12-$F12)&lt;0.015,0,ROUND($G12-$F12,2))</f>
        <v>0</v>
      </c>
      <c r="I12" s="16" t="s">
        <v>244</v>
      </c>
    </row>
    <row r="13" customFormat="false" ht="15" hidden="false" customHeight="true" outlineLevel="0" collapsed="false">
      <c r="A13" s="14" t="str">
        <f aca="false">Avoirs!A14</f>
        <v>Livret A Barnabé</v>
      </c>
      <c r="B13" s="54" t="s">
        <v>89</v>
      </c>
      <c r="C13" s="117" t="n">
        <f aca="false">IF(COUNTIFS(OPcompte,$A13,OPdevise,$B13,OPcatégorie,Solde)&gt;=2,_xlfn.MINIFS(OPdate,OPcompte,$A13,OPdevise,$B13,OPcatégorie,Solde),0)</f>
        <v>0</v>
      </c>
      <c r="D13" s="117" t="n">
        <f aca="false">_xlfn.MAXIFS(OPdate,OPcompte,$A13,OPdevise,$B13,OPcatégorie,Solde)</f>
        <v>0</v>
      </c>
      <c r="E13" s="16" t="n">
        <f aca="false">IF($C13=0,0,_xlfn.XLOOKUP(1,(OPcompte=$A13)*(OPdevise=$B13)*(OPcatégorie=Solde)*(OPdate=$C13),OPmontant,0,0,1))</f>
        <v>0</v>
      </c>
      <c r="F13" s="16" t="n">
        <f aca="false">$E13+SUMIFS(OPmontant,OPcompte,$A13,OPdevise,$B13,OPdate,"&gt;"&amp;$C13,OPdate,"&lt;="&amp;$D13,OPcatégorie,"&lt;&gt;Solde",OPcatégorie,"&lt;&gt;"&amp;Spéciale)</f>
        <v>0</v>
      </c>
      <c r="G13" s="16" t="n">
        <f aca="false">_xlfn.XLOOKUP(1,(OPcompte=$A13)*(OPdevise=$B13)*(OPcatégorie=Solde)*(OPdate=$D13),OPmontant,0,0,-1)</f>
        <v>0</v>
      </c>
      <c r="H13" s="16" t="n">
        <f aca="false">IF(ABS($G13-$F13)&lt;0.015,0,ROUND($G13-$F13,2))</f>
        <v>0</v>
      </c>
      <c r="I13" s="16" t="s">
        <v>244</v>
      </c>
    </row>
    <row r="14" customFormat="false" ht="15" hidden="false" customHeight="true" outlineLevel="0" collapsed="false">
      <c r="A14" s="14" t="str">
        <f aca="false">Avoirs!A15</f>
        <v>Compte Paypal</v>
      </c>
      <c r="B14" s="54" t="s">
        <v>89</v>
      </c>
      <c r="C14" s="117" t="n">
        <f aca="false">IF(COUNTIFS(OPcompte,$A14,OPdevise,$B14,OPcatégorie,Solde)&gt;=2,_xlfn.MINIFS(OPdate,OPcompte,$A14,OPdevise,$B14,OPcatégorie,Solde),0)</f>
        <v>0</v>
      </c>
      <c r="D14" s="117" t="n">
        <f aca="false">_xlfn.MAXIFS(OPdate,OPcompte,$A14,OPdevise,$B14,OPcatégorie,Solde)</f>
        <v>46091</v>
      </c>
      <c r="E14" s="16" t="n">
        <f aca="false">IF($C14=0,0,_xlfn.XLOOKUP(1,(OPcompte=$A14)*(OPdevise=$B14)*(OPcatégorie=Solde)*(OPdate=$C14),OPmontant,0,0,1))</f>
        <v>0</v>
      </c>
      <c r="F14" s="16" t="n">
        <f aca="false">$E14+SUMIFS(OPmontant,OPcompte,$A14,OPdevise,$B14,OPdate,"&gt;"&amp;$C14,OPdate,"&lt;="&amp;$D14,OPcatégorie,"&lt;&gt;Solde",OPcatégorie,"&lt;&gt;"&amp;Spéciale)</f>
        <v>10</v>
      </c>
      <c r="G14" s="16" t="n">
        <f aca="false">_xlfn.XLOOKUP(1,(OPcompte=$A14)*(OPdevise=$B14)*(OPcatégorie=Solde)*(OPdate=$D14),OPmontant,0,0,-1)</f>
        <v>10</v>
      </c>
      <c r="H14" s="16" t="n">
        <f aca="false">IF(ABS($G14-$F14)&lt;0.015,0,ROUND($G14-$F14,2))</f>
        <v>0</v>
      </c>
      <c r="I14" s="16" t="s">
        <v>244</v>
      </c>
    </row>
    <row r="15" customFormat="false" ht="15" hidden="false" customHeight="true" outlineLevel="0" collapsed="false">
      <c r="A15" s="14" t="str">
        <f aca="false">Avoirs!A16</f>
        <v>Compte Wise EUR</v>
      </c>
      <c r="B15" s="54" t="s">
        <v>89</v>
      </c>
      <c r="C15" s="117" t="n">
        <f aca="false">IF(COUNTIFS(OPcompte,$A15,OPdevise,$B15,OPcatégorie,Solde)&gt;=2,_xlfn.MINIFS(OPdate,OPcompte,$A15,OPdevise,$B15,OPcatégorie,Solde),0)</f>
        <v>0</v>
      </c>
      <c r="D15" s="117" t="n">
        <f aca="false">_xlfn.MAXIFS(OPdate,OPcompte,$A15,OPdevise,$B15,OPcatégorie,Solde)</f>
        <v>0</v>
      </c>
      <c r="E15" s="16" t="n">
        <f aca="false">IF($C15=0,0,_xlfn.XLOOKUP(1,(OPcompte=$A15)*(OPdevise=$B15)*(OPcatégorie=Solde)*(OPdate=$C15),OPmontant,0,0,1))</f>
        <v>0</v>
      </c>
      <c r="F15" s="16" t="n">
        <f aca="false">$E15+SUMIFS(OPmontant,OPcompte,$A15,OPdevise,$B15,OPdate,"&gt;"&amp;$C15,OPdate,"&lt;="&amp;$D15,OPcatégorie,"&lt;&gt;Solde",OPcatégorie,"&lt;&gt;"&amp;Spéciale)</f>
        <v>0</v>
      </c>
      <c r="G15" s="16" t="n">
        <f aca="false">_xlfn.XLOOKUP(1,(OPcompte=$A15)*(OPdevise=$B15)*(OPcatégorie=Solde)*(OPdate=$D15),OPmontant,0,0,-1)</f>
        <v>0</v>
      </c>
      <c r="H15" s="16" t="n">
        <f aca="false">IF(ABS($G15-$F15)&lt;0.015,0,ROUND($G15-$F15,2))</f>
        <v>0</v>
      </c>
      <c r="I15" s="16" t="s">
        <v>244</v>
      </c>
    </row>
    <row r="16" customFormat="false" ht="15" hidden="false" customHeight="true" outlineLevel="0" collapsed="false">
      <c r="A16" s="14" t="str">
        <f aca="false">Avoirs!A17</f>
        <v>Portefeuille DEGIRO Réserve</v>
      </c>
      <c r="B16" s="54" t="s">
        <v>89</v>
      </c>
      <c r="C16" s="117" t="n">
        <f aca="false">IF(COUNTIFS(OPcompte,$A16,OPdevise,$B16,OPcatégorie,Solde)&gt;=2,_xlfn.MINIFS(OPdate,OPcompte,$A16,OPdevise,$B16,OPcatégorie,Solde),0)</f>
        <v>0</v>
      </c>
      <c r="D16" s="117" t="n">
        <f aca="false">_xlfn.MAXIFS(OPdate,OPcompte,$A16,OPdevise,$B16,OPcatégorie,Solde)</f>
        <v>0</v>
      </c>
      <c r="E16" s="16" t="n">
        <f aca="false">IF($C16=0,0,_xlfn.XLOOKUP(1,(OPcompte=$A16)*(OPdevise=$B16)*(OPcatégorie=Solde)*(OPdate=$C16),OPmontant,0,0,1))</f>
        <v>0</v>
      </c>
      <c r="F16" s="16" t="n">
        <f aca="false">$E16+SUMIFS(OPmontant,OPcompte,$A16,OPdevise,$B16,OPdate,"&gt;"&amp;$C16,OPdate,"&lt;="&amp;$D16,OPcatégorie,"&lt;&gt;Solde",OPcatégorie,"&lt;&gt;"&amp;Spéciale)</f>
        <v>0</v>
      </c>
      <c r="G16" s="16" t="n">
        <f aca="false">_xlfn.XLOOKUP(1,(OPcompte=$A16)*(OPdevise=$B16)*(OPcatégorie=Solde)*(OPdate=$D16),OPmontant,0,0,-1)</f>
        <v>0</v>
      </c>
      <c r="H16" s="16" t="n">
        <f aca="false">IF(ABS($G16-$F16)&lt;0.015,0,ROUND($G16-$F16,2))</f>
        <v>0</v>
      </c>
      <c r="I16" s="16" t="s">
        <v>244</v>
      </c>
    </row>
    <row r="17" customFormat="false" ht="15" hidden="false" customHeight="true" outlineLevel="0" collapsed="false">
      <c r="A17" s="14" t="str">
        <f aca="false">Avoirs!A18</f>
        <v>Portefeuille BB Réserve</v>
      </c>
      <c r="B17" s="54" t="s">
        <v>89</v>
      </c>
      <c r="C17" s="117" t="n">
        <f aca="false">IF(COUNTIFS(OPcompte,$A17,OPdevise,$B17,OPcatégorie,Solde)&gt;=2,_xlfn.MINIFS(OPdate,OPcompte,$A17,OPdevise,$B17,OPcatégorie,Solde),0)</f>
        <v>0</v>
      </c>
      <c r="D17" s="117" t="n">
        <f aca="false">_xlfn.MAXIFS(OPdate,OPcompte,$A17,OPdevise,$B17,OPcatégorie,Solde)</f>
        <v>0</v>
      </c>
      <c r="E17" s="16" t="n">
        <f aca="false">IF($C17=0,0,_xlfn.XLOOKUP(1,(OPcompte=$A17)*(OPdevise=$B17)*(OPcatégorie=Solde)*(OPdate=$C17),OPmontant,0,0,1))</f>
        <v>0</v>
      </c>
      <c r="F17" s="16" t="n">
        <f aca="false">$E17+SUMIFS(OPmontant,OPcompte,$A17,OPdevise,$B17,OPdate,"&gt;"&amp;$C17,OPdate,"&lt;="&amp;$D17,OPcatégorie,"&lt;&gt;Solde",OPcatégorie,"&lt;&gt;"&amp;Spéciale)</f>
        <v>0</v>
      </c>
      <c r="G17" s="16" t="n">
        <f aca="false">_xlfn.XLOOKUP(1,(OPcompte=$A17)*(OPdevise=$B17)*(OPcatégorie=Solde)*(OPdate=$D17),OPmontant,0,0,-1)</f>
        <v>0</v>
      </c>
      <c r="H17" s="16" t="n">
        <f aca="false">IF(ABS($G17-$F17)&lt;0.015,0,ROUND($G17-$F17,2))</f>
        <v>0</v>
      </c>
      <c r="I17" s="16" t="s">
        <v>244</v>
      </c>
    </row>
    <row r="18" customFormat="false" ht="15" hidden="false" customHeight="true" outlineLevel="0" collapsed="false">
      <c r="A18" s="14" t="str">
        <f aca="false">Avoirs!A19</f>
        <v>Compte Wise USD</v>
      </c>
      <c r="B18" s="54" t="s">
        <v>94</v>
      </c>
      <c r="C18" s="117" t="n">
        <f aca="false">IF(COUNTIFS(OPcompte,$A18,OPdevise,$B18,OPcatégorie,Solde)&gt;=2,_xlfn.MINIFS(OPdate,OPcompte,$A18,OPdevise,$B18,OPcatégorie,Solde),0)</f>
        <v>0</v>
      </c>
      <c r="D18" s="117" t="n">
        <f aca="false">_xlfn.MAXIFS(OPdate,OPcompte,$A18,OPdevise,$B18,OPcatégorie,Solde)</f>
        <v>0</v>
      </c>
      <c r="E18" s="142" t="n">
        <f aca="false">IF($C18=0,0,_xlfn.XLOOKUP(1,(OPcompte=$A18)*(OPdevise=$B18)*(OPcatégorie=Solde)*(OPdate=$C18),OPmontant,0,0,1))</f>
        <v>0</v>
      </c>
      <c r="F18" s="142" t="n">
        <f aca="false">$E18+SUMIFS(OPmontant,OPcompte,$A18,OPdevise,$B18,OPdate,"&gt;"&amp;$C18,OPdate,"&lt;="&amp;$D18,OPcatégorie,"&lt;&gt;Solde",OPcatégorie,"&lt;&gt;"&amp;Spéciale)</f>
        <v>0</v>
      </c>
      <c r="G18" s="142" t="n">
        <f aca="false">_xlfn.XLOOKUP(1,(OPcompte=$A18)*(OPdevise=$B18)*(OPcatégorie=Solde)*(OPdate=$D18),OPmontant,0,0,-1)</f>
        <v>0</v>
      </c>
      <c r="H18" s="142" t="n">
        <f aca="false">IF(ABS($G18-$F18)&lt;0.015,0,ROUND($G18-$F18,2))</f>
        <v>0</v>
      </c>
      <c r="I18" s="16" t="s">
        <v>244</v>
      </c>
    </row>
    <row r="19" customFormat="false" ht="15" hidden="false" customHeight="true" outlineLevel="0" collapsed="false">
      <c r="A19" s="14" t="str">
        <f aca="false">Avoirs!A20</f>
        <v>Compte Wise SGD</v>
      </c>
      <c r="B19" s="54" t="s">
        <v>106</v>
      </c>
      <c r="C19" s="117" t="n">
        <f aca="false">IF(COUNTIFS(OPcompte,$A19,OPdevise,$B19,OPcatégorie,Solde)&gt;=2,_xlfn.MINIFS(OPdate,OPcompte,$A19,OPdevise,$B19,OPcatégorie,Solde),0)</f>
        <v>0</v>
      </c>
      <c r="D19" s="117" t="n">
        <f aca="false">_xlfn.MAXIFS(OPdate,OPcompte,$A19,OPdevise,$B19,OPcatégorie,Solde)</f>
        <v>0</v>
      </c>
      <c r="E19" s="143" t="n">
        <f aca="false">IF($C19=0,0,_xlfn.XLOOKUP(1,(OPcompte=$A19)*(OPdevise=$B19)*(OPcatégorie=Solde)*(OPdate=$C19),OPmontant,0,0,1))</f>
        <v>0</v>
      </c>
      <c r="F19" s="143" t="n">
        <f aca="false">$E19+SUMIFS(OPmontant,OPcompte,$A19,OPdevise,$B19,OPdate,"&gt;"&amp;$C19,OPdate,"&lt;="&amp;$D19,OPcatégorie,"&lt;&gt;Solde",OPcatégorie,"&lt;&gt;"&amp;Spéciale)</f>
        <v>0</v>
      </c>
      <c r="G19" s="143" t="n">
        <f aca="false">_xlfn.XLOOKUP(1,(OPcompte=$A19)*(OPdevise=$B19)*(OPcatégorie=Solde)*(OPdate=$D19),OPmontant,0,0,-1)</f>
        <v>0</v>
      </c>
      <c r="H19" s="143" t="n">
        <f aca="false">IF(ABS($G19-$F19)&lt;0.015,0,ROUND($G19-$F19,2))</f>
        <v>0</v>
      </c>
      <c r="I19" s="16" t="s">
        <v>244</v>
      </c>
    </row>
    <row r="20" customFormat="false" ht="15" hidden="false" customHeight="true" outlineLevel="0" collapsed="false">
      <c r="A20" s="14" t="str">
        <f aca="false">Avoirs!A21</f>
        <v>Portefeuille eToro USD Réserve</v>
      </c>
      <c r="B20" s="54" t="s">
        <v>94</v>
      </c>
      <c r="C20" s="117" t="n">
        <f aca="false">IF(COUNTIFS(OPcompte,$A20,OPdevise,$B20,OPcatégorie,Solde)&gt;=2,_xlfn.MINIFS(OPdate,OPcompte,$A20,OPdevise,$B20,OPcatégorie,Solde),0)</f>
        <v>45621</v>
      </c>
      <c r="D20" s="117" t="n">
        <f aca="false">_xlfn.MAXIFS(OPdate,OPcompte,$A20,OPdevise,$B20,OPcatégorie,Solde)</f>
        <v>46050</v>
      </c>
      <c r="E20" s="142" t="n">
        <f aca="false">IF($C20=0,0,_xlfn.XLOOKUP(1,(OPcompte=$A20)*(OPdevise=$B20)*(OPcatégorie=Solde)*(OPdate=$C20),OPmontant,0,0,1))</f>
        <v>2500</v>
      </c>
      <c r="F20" s="142" t="n">
        <f aca="false">$E20+SUMIFS(OPmontant,OPcompte,$A20,OPdevise,$B20,OPdate,"&gt;"&amp;$C20,OPdate,"&lt;="&amp;$D20,OPcatégorie,"&lt;&gt;Solde",OPcatégorie,"&lt;&gt;"&amp;Spéciale)</f>
        <v>487.59</v>
      </c>
      <c r="G20" s="142" t="n">
        <f aca="false">_xlfn.XLOOKUP(1,(OPcompte=$A20)*(OPdevise=$B20)*(OPcatégorie=Solde)*(OPdate=$D20),OPmontant,0,0,-1)</f>
        <v>487.59</v>
      </c>
      <c r="H20" s="142" t="n">
        <f aca="false">IF(ABS($G20-$F20)&lt;0.015,0,ROUND($G20-$F20,2))</f>
        <v>0</v>
      </c>
      <c r="I20" s="16" t="s">
        <v>244</v>
      </c>
    </row>
    <row r="21" customFormat="false" ht="15" hidden="false" customHeight="true" outlineLevel="0" collapsed="false">
      <c r="A21" s="14" t="str">
        <f aca="false">Avoirs!A22</f>
        <v>Créance Francine</v>
      </c>
      <c r="B21" s="54" t="s">
        <v>89</v>
      </c>
      <c r="C21" s="117" t="n">
        <f aca="false">IF(COUNTIFS(OPcompte,$A21,OPdevise,$B21,OPcatégorie,Solde)&gt;=2,_xlfn.MINIFS(OPdate,OPcompte,$A21,OPdevise,$B21,OPcatégorie,Solde),0)</f>
        <v>45657</v>
      </c>
      <c r="D21" s="117" t="n">
        <f aca="false">_xlfn.MAXIFS(OPdate,OPcompte,$A21,OPdevise,$B21,OPcatégorie,Solde)</f>
        <v>46058</v>
      </c>
      <c r="E21" s="16" t="n">
        <f aca="false">IF($C21=0,0,_xlfn.XLOOKUP(1,(OPcompte=$A21)*(OPdevise=$B21)*(OPcatégorie=Solde)*(OPdate=$C21),OPmontant,0,0,1))</f>
        <v>10965</v>
      </c>
      <c r="F21" s="16" t="n">
        <f aca="false">$E21+SUMIFS(OPmontant,OPcompte,$A21,OPdevise,$B21,OPdate,"&gt;"&amp;$C21,OPdate,"&lt;="&amp;$D21,OPcatégorie,"&lt;&gt;Solde",OPcatégorie,"&lt;&gt;"&amp;Spéciale)</f>
        <v>9965</v>
      </c>
      <c r="G21" s="16" t="n">
        <f aca="false">_xlfn.XLOOKUP(1,(OPcompte=$A21)*(OPdevise=$B21)*(OPcatégorie=Solde)*(OPdate=$D21),OPmontant,0,0,-1)</f>
        <v>9965</v>
      </c>
      <c r="H21" s="16" t="n">
        <f aca="false">IF(ABS($G21-$F21)&lt;0.015,0,ROUND($G21-$F21,2))</f>
        <v>0</v>
      </c>
      <c r="I21" s="16" t="s">
        <v>244</v>
      </c>
    </row>
    <row r="22" customFormat="false" ht="15" hidden="false" customHeight="true" outlineLevel="0" collapsed="false">
      <c r="A22" s="14" t="str">
        <f aca="false">Avoirs!A23</f>
        <v>BlueWallet BTC</v>
      </c>
      <c r="B22" s="54" t="s">
        <v>110</v>
      </c>
      <c r="C22" s="117" t="n">
        <f aca="false">IF(COUNTIFS(OPcompte,$A22,OPdevise,$B22,OPcatégorie,Solde)&gt;=2,_xlfn.MINIFS(OPdate,OPcompte,$A22,OPdevise,$B22,OPcatégorie,Solde),0)</f>
        <v>44927</v>
      </c>
      <c r="D22" s="117" t="n">
        <f aca="false">_xlfn.MAXIFS(OPdate,OPcompte,$A22,OPdevise,$B22,OPcatégorie,Solde)</f>
        <v>45292</v>
      </c>
      <c r="E22" s="144" t="n">
        <f aca="false">IF($C22=0,0,_xlfn.XLOOKUP(1,(OPcompte=$A22)*(OPdevise=$B22)*(OPcatégorie=Solde)*(OPdate=$C22),OPmontant,0,0,1))</f>
        <v>503110</v>
      </c>
      <c r="F22" s="144" t="n">
        <f aca="false">$E22+SUMIFS(OPmontant,OPcompte,$A22,OPdevise,$B22,OPdate,"&gt;"&amp;$C22,OPdate,"&lt;="&amp;$D22,OPcatégorie,"&lt;&gt;Solde",OPcatégorie,"&lt;&gt;"&amp;Spéciale)</f>
        <v>0</v>
      </c>
      <c r="G22" s="144" t="n">
        <f aca="false">_xlfn.XLOOKUP(1,(OPcompte=$A22)*(OPdevise=$B22)*(OPcatégorie=Solde)*(OPdate=$D22),OPmontant,0,0,-1)</f>
        <v>0</v>
      </c>
      <c r="H22" s="144" t="n">
        <f aca="false">IF(ABS($G22-$F22)&lt;0.015,0,ROUND($G22-$F22,2))</f>
        <v>0</v>
      </c>
      <c r="I22" s="16" t="s">
        <v>244</v>
      </c>
    </row>
    <row r="23" customFormat="false" ht="15" hidden="false" customHeight="true" outlineLevel="0" collapsed="false">
      <c r="A23" s="14" t="str">
        <f aca="false">Avoirs!A24</f>
        <v>Phoenix Lightning BTC</v>
      </c>
      <c r="B23" s="54" t="s">
        <v>110</v>
      </c>
      <c r="C23" s="117" t="n">
        <f aca="false">IF(COUNTIFS(OPcompte,$A23,OPdevise,$B23,OPcatégorie,Solde)&gt;=2,_xlfn.MINIFS(OPdate,OPcompte,$A23,OPdevise,$B23,OPcatégorie,Solde),0)</f>
        <v>0</v>
      </c>
      <c r="D23" s="117" t="n">
        <f aca="false">_xlfn.MAXIFS(OPdate,OPcompte,$A23,OPdevise,$B23,OPcatégorie,Solde)</f>
        <v>45292</v>
      </c>
      <c r="E23" s="144" t="n">
        <f aca="false">IF($C23=0,0,_xlfn.XLOOKUP(1,(OPcompte=$A23)*(OPdevise=$B23)*(OPcatégorie=Solde)*(OPdate=$C23),OPmontant,0,0,1))</f>
        <v>0</v>
      </c>
      <c r="F23" s="144" t="n">
        <f aca="false">$E23+SUMIFS(OPmontant,OPcompte,$A23,OPdevise,$B23,OPdate,"&gt;"&amp;$C23,OPdate,"&lt;="&amp;$D23,OPcatégorie,"&lt;&gt;Solde",OPcatégorie,"&lt;&gt;"&amp;Spéciale)</f>
        <v>278800</v>
      </c>
      <c r="G23" s="144" t="n">
        <f aca="false">_xlfn.XLOOKUP(1,(OPcompte=$A23)*(OPdevise=$B23)*(OPcatégorie=Solde)*(OPdate=$D23),OPmontant,0,0,-1)</f>
        <v>278800</v>
      </c>
      <c r="H23" s="144" t="n">
        <f aca="false">IF(ABS($G23-$F23)&lt;0.015,0,ROUND($G23-$F23,2))</f>
        <v>0</v>
      </c>
      <c r="I23" s="16" t="s">
        <v>244</v>
      </c>
    </row>
    <row r="24" customFormat="false" ht="15" hidden="false" customHeight="true" outlineLevel="0" collapsed="false">
      <c r="A24" s="14" t="str">
        <f aca="false">Avoirs!A25</f>
        <v>Compte Kraken BTC</v>
      </c>
      <c r="B24" s="54" t="s">
        <v>110</v>
      </c>
      <c r="C24" s="117" t="n">
        <f aca="false">IF(COUNTIFS(OPcompte,$A24,OPdevise,$B24,OPcatégorie,Solde)&gt;=2,_xlfn.MINIFS(OPdate,OPcompte,$A24,OPdevise,$B24,OPcatégorie,Solde),0)</f>
        <v>45923</v>
      </c>
      <c r="D24" s="117" t="n">
        <f aca="false">_xlfn.MAXIFS(OPdate,OPcompte,$A24,OPdevise,$B24,OPcatégorie,Solde)</f>
        <v>45967</v>
      </c>
      <c r="E24" s="144" t="n">
        <f aca="false">IF($C24=0,0,_xlfn.XLOOKUP(1,(OPcompte=$A24)*(OPdevise=$B24)*(OPcatégorie=Solde)*(OPdate=$C24),OPmontant,0,0,1))</f>
        <v>51277</v>
      </c>
      <c r="F24" s="144" t="n">
        <f aca="false">$E24+SUMIFS(OPmontant,OPcompte,$A24,OPdevise,$B24,OPdate,"&gt;"&amp;$C24,OPdate,"&lt;="&amp;$D24,OPcatégorie,"&lt;&gt;Solde",OPcatégorie,"&lt;&gt;"&amp;Spéciale)</f>
        <v>51277</v>
      </c>
      <c r="G24" s="144" t="n">
        <f aca="false">_xlfn.XLOOKUP(1,(OPcompte=$A24)*(OPdevise=$B24)*(OPcatégorie=Solde)*(OPdate=$D24),OPmontant,0,0,-1)</f>
        <v>51277</v>
      </c>
      <c r="H24" s="144" t="n">
        <f aca="false">IF(ABS($G24-$F24)&lt;0.015,0,ROUND($G24-$F24,2))</f>
        <v>0</v>
      </c>
      <c r="I24" s="16" t="s">
        <v>244</v>
      </c>
    </row>
    <row r="25" customFormat="false" ht="15" hidden="false" customHeight="true" outlineLevel="0" collapsed="false">
      <c r="A25" s="14" t="str">
        <f aca="false">Avoirs!A26</f>
        <v>Cake Wallet XMR</v>
      </c>
      <c r="B25" s="54" t="s">
        <v>114</v>
      </c>
      <c r="C25" s="117" t="n">
        <f aca="false">IF(COUNTIFS(OPcompte,$A25,OPdevise,$B25,OPcatégorie,Solde)&gt;=2,_xlfn.MINIFS(OPdate,OPcompte,$A25,OPdevise,$B25,OPcatégorie,Solde),0)</f>
        <v>0</v>
      </c>
      <c r="D25" s="117" t="n">
        <f aca="false">_xlfn.MAXIFS(OPdate,OPcompte,$A25,OPdevise,$B25,OPcatégorie,Solde)</f>
        <v>0</v>
      </c>
      <c r="E25" s="145" t="n">
        <f aca="false">IF($C25=0,0,_xlfn.XLOOKUP(1,(OPcompte=$A25)*(OPdevise=$B25)*(OPcatégorie=Solde)*(OPdate=$C25),OPmontant,0,0,1))</f>
        <v>0</v>
      </c>
      <c r="F25" s="145" t="n">
        <f aca="false">$E25+SUMIFS(OPmontant,OPcompte,$A25,OPdevise,$B25,OPdate,"&gt;"&amp;$C25,OPdate,"&lt;="&amp;$D25,OPcatégorie,"&lt;&gt;Solde",OPcatégorie,"&lt;&gt;"&amp;Spéciale)</f>
        <v>0</v>
      </c>
      <c r="G25" s="145" t="n">
        <f aca="false">_xlfn.XLOOKUP(1,(OPcompte=$A25)*(OPdevise=$B25)*(OPcatégorie=Solde)*(OPdate=$D25),OPmontant,0,0,-1)</f>
        <v>0</v>
      </c>
      <c r="H25" s="145" t="n">
        <f aca="false">IF(ABS($G25-$F25)&lt;0.015,0,ROUND($G25-$F25,2))</f>
        <v>0</v>
      </c>
      <c r="I25" s="16" t="s">
        <v>244</v>
      </c>
    </row>
    <row r="26" customFormat="false" ht="16.5" hidden="false" customHeight="true" outlineLevel="0" collapsed="false">
      <c r="A26" s="146" t="s">
        <v>4</v>
      </c>
      <c r="B26" s="147"/>
      <c r="C26" s="147"/>
      <c r="D26" s="147"/>
      <c r="E26" s="147"/>
      <c r="F26" s="148"/>
      <c r="G26" s="149"/>
      <c r="H26" s="149"/>
      <c r="I26" s="147"/>
    </row>
    <row r="27" customFormat="false" ht="17.25" hidden="false" customHeight="true" outlineLevel="0" collapsed="false">
      <c r="A27" s="68"/>
      <c r="B27" s="70"/>
      <c r="C27" s="70"/>
      <c r="D27" s="70"/>
      <c r="E27" s="70"/>
      <c r="F27" s="150"/>
      <c r="G27" s="68"/>
      <c r="H27" s="68"/>
      <c r="I27" s="68"/>
    </row>
    <row r="29" customFormat="false" ht="18.75" hidden="false" customHeight="true" outlineLevel="0" collapsed="false">
      <c r="J29" s="83" t="s">
        <v>245</v>
      </c>
      <c r="K29" s="83"/>
      <c r="L29" s="83"/>
      <c r="M29" s="83"/>
    </row>
    <row r="30" customFormat="false" ht="19.5" hidden="false" customHeight="true" outlineLevel="0" collapsed="false">
      <c r="J30" s="26" t="s">
        <v>246</v>
      </c>
      <c r="K30" s="26" t="s">
        <v>247</v>
      </c>
      <c r="L30" s="26" t="s">
        <v>248</v>
      </c>
      <c r="M30" s="85" t="s">
        <v>89</v>
      </c>
    </row>
    <row r="31" customFormat="false" ht="16.5" hidden="false" customHeight="true" outlineLevel="0" collapsed="false">
      <c r="J31" s="14" t="s">
        <v>4</v>
      </c>
      <c r="K31" s="54"/>
      <c r="L31" s="151"/>
      <c r="M31" s="103"/>
    </row>
    <row r="32" customFormat="false" ht="16.5" hidden="false" customHeight="true" outlineLevel="0" collapsed="false">
      <c r="J32" s="32" t="s">
        <v>249</v>
      </c>
      <c r="K32" s="147" t="str">
        <f aca="false">IF(L32=0,"✓","✗")</f>
        <v>✓</v>
      </c>
      <c r="L32" s="151" t="n">
        <f aca="false">COUNTIFS(CTRL1controle,"Oui")-COUNTIFS(CTRL1controle,"Oui",CTRL1ecart,0)</f>
        <v>0</v>
      </c>
      <c r="M32" s="152" t="n">
        <f aca="false">COUNTIFS(CTRL1devise,M$30,CTRL1controle,"Oui")-COUNTIFS(CTRL1devise,M$30,CTRL1controle,"Oui",CTRL1ecart,0)</f>
        <v>0</v>
      </c>
    </row>
    <row r="33" customFormat="false" ht="16.5" hidden="false" customHeight="true" outlineLevel="0" collapsed="false">
      <c r="J33" s="32" t="s">
        <v>250</v>
      </c>
      <c r="K33" s="147" t="str">
        <f aca="false">IF(ABS(L33)&lt;1,"✓","✗")</f>
        <v>✓</v>
      </c>
      <c r="L33" s="90" t="n">
        <f aca="false">ABS(Budget!G$38)+ABS(Budget!I$39-Budget!G$39)+ABS(Budget!C$14)</f>
        <v>0</v>
      </c>
      <c r="M33" s="103" t="n">
        <f aca="false">ROUND(SUMPRODUCT(SUMIFS(OPmontant,OPdevise,M$30,OPcatégorie,CATnom,OPdate,"&gt;"&amp;Budget!$C$2-365))-SUMIFS(OPmontant,OPdevise,M$30,OPcatégorie,"&lt;&gt;"&amp;Spéciale,OPdate,"&gt;"&amp;Budget!$C$2-365),2)</f>
        <v>0</v>
      </c>
    </row>
    <row r="34" customFormat="false" ht="16.5" hidden="false" customHeight="true" outlineLevel="0" collapsed="false">
      <c r="J34" s="32" t="s">
        <v>64</v>
      </c>
      <c r="K34" s="147" t="str">
        <f aca="false">IF(L34&gt;0,"⚠","✓")</f>
        <v>✓</v>
      </c>
      <c r="L34" s="34" t="n">
        <f aca="false">SUM(L35:L37)</f>
        <v>0</v>
      </c>
      <c r="M34" s="90"/>
    </row>
    <row r="35" customFormat="false" ht="16.5" hidden="false" customHeight="true" outlineLevel="0" collapsed="false">
      <c r="J35" s="153" t="s">
        <v>251</v>
      </c>
      <c r="K35" s="147"/>
      <c r="L35" s="34" t="n">
        <f aca="false">COUNTIF(OPdate,"&lt;"&amp;DATE(2020,1,1))+COUNTIF(OPdate,"&gt;"&amp;DATE(année_courante,12,31))</f>
        <v>0</v>
      </c>
      <c r="M35" s="152"/>
    </row>
    <row r="36" customFormat="false" ht="16.5" hidden="false" customHeight="true" outlineLevel="0" collapsed="false">
      <c r="J36" s="153" t="s">
        <v>252</v>
      </c>
      <c r="K36" s="147"/>
      <c r="L36" s="34" t="n">
        <f aca="false">Patrimoine!D54</f>
        <v>0</v>
      </c>
      <c r="M36" s="152"/>
    </row>
    <row r="37" customFormat="false" ht="16.5" hidden="false" customHeight="true" outlineLevel="0" collapsed="false">
      <c r="J37" s="153" t="s">
        <v>253</v>
      </c>
      <c r="K37" s="147"/>
      <c r="L37" s="34" t="n">
        <f aca="false">IF(Cotations!B27="⚠",1,0)</f>
        <v>0</v>
      </c>
      <c r="M37" s="101"/>
    </row>
    <row r="38" customFormat="false" ht="16.5" hidden="false" customHeight="true" outlineLevel="0" collapsed="false">
      <c r="J38" s="32" t="s">
        <v>254</v>
      </c>
      <c r="K38" s="147" t="str">
        <f aca="false">IF(L38=0,"✓","⚠")</f>
        <v>✓</v>
      </c>
      <c r="L38" s="151" t="n">
        <f aca="false">COUNTIFS(OPréf,"-")</f>
        <v>0</v>
      </c>
      <c r="M38" s="103" t="n">
        <f aca="false">COUNTIFS(OPréf,"-",OPdevise,M$30)</f>
        <v>0</v>
      </c>
    </row>
    <row r="39" customFormat="false" ht="16.5" hidden="false" customHeight="true" outlineLevel="0" collapsed="false">
      <c r="J39" s="146" t="s">
        <v>255</v>
      </c>
      <c r="K39" s="147" t="str">
        <f aca="false">IF(L39=0,"✓","⚠")</f>
        <v>✓</v>
      </c>
      <c r="L39" s="151" t="n">
        <f aca="false">3-COUNTIFS(L40:L42,0)</f>
        <v>0</v>
      </c>
      <c r="M39" s="103" t="n">
        <f aca="false">COUNTA($J40:$J42)-COUNTIFS(M40:M42,0)</f>
        <v>1</v>
      </c>
    </row>
    <row r="40" customFormat="false" ht="16.5" hidden="false" customHeight="true" outlineLevel="0" collapsed="false">
      <c r="J40" s="154" t="s">
        <v>256</v>
      </c>
      <c r="K40" s="54"/>
      <c r="L40" s="90" t="n">
        <f aca="false">ROUND(SUMIFS(OPequiv_euro,OPcatégorie,"@Virement"),0)</f>
        <v>0</v>
      </c>
      <c r="M40" s="103" t="n">
        <f aca="false">SUMIFS(OPequiv_euro,OPdevise,M$30,OPcatégorie,"@Virement")</f>
        <v>0</v>
      </c>
    </row>
    <row r="41" customFormat="false" ht="16.5" hidden="false" customHeight="true" outlineLevel="0" collapsed="false">
      <c r="J41" s="154" t="s">
        <v>257</v>
      </c>
      <c r="K41" s="54"/>
      <c r="L41" s="90" t="n">
        <f aca="false">ROUND(SUMIFS(OPequiv_euro,OPcatégorie,"*titres"),0)</f>
        <v>0</v>
      </c>
      <c r="M41" s="103" t="n">
        <f aca="false">SUMIFS(OPequiv_euro,OPdevise,M$30,OPcatégorie,"*titres")</f>
        <v>0</v>
      </c>
    </row>
    <row r="42" customFormat="false" ht="16.5" hidden="false" customHeight="true" outlineLevel="0" collapsed="false">
      <c r="J42" s="154" t="s">
        <v>258</v>
      </c>
      <c r="K42" s="54"/>
      <c r="L42" s="90" t="n">
        <f aca="false">SUMIFS(OPequiv_euro,OPcatégorie,"@Change") + SUMIFS(OPequiv_euro,OPcatégorie,"@Achat métaux")</f>
        <v>0</v>
      </c>
      <c r="M42" s="103" t="n">
        <f aca="false">SUMIFS(OPequiv_euro,OPdevise,M$30,OPcatégorie,"@Change")+SUMIFS(OPequiv_euro,OPdevise,M$30,OPcatégorie,"@Achat métaux")</f>
        <v>-2458.08</v>
      </c>
    </row>
    <row r="43" customFormat="false" ht="16.5" hidden="false" customHeight="true" outlineLevel="0" collapsed="false">
      <c r="J43" s="155" t="s">
        <v>259</v>
      </c>
      <c r="K43" s="54"/>
      <c r="L43" s="90" t="n">
        <f aca="false">L40+L41+L42</f>
        <v>0</v>
      </c>
      <c r="M43" s="90" t="n">
        <f aca="false">M40+M41+M42</f>
        <v>-2458.08</v>
      </c>
    </row>
    <row r="44" customFormat="false" ht="16.5" hidden="false" customHeight="true" outlineLevel="0" collapsed="false">
      <c r="J44" s="146" t="s">
        <v>260</v>
      </c>
      <c r="K44" s="147" t="str">
        <f aca="false">IF(L44=0,"✓","✗")</f>
        <v>✓</v>
      </c>
      <c r="L44" s="151" t="n">
        <f aca="false">SUMPRODUCT((COUNTIF(AVRintitulé,OPcompte)=0)*(OPcompte&lt;&gt;""))</f>
        <v>0</v>
      </c>
      <c r="M44" s="90"/>
    </row>
    <row r="45" customFormat="false" ht="16.5" hidden="false" customHeight="true" outlineLevel="0" collapsed="false">
      <c r="J45" s="146" t="s">
        <v>261</v>
      </c>
      <c r="K45" s="147" t="str">
        <f aca="false">IF(L45&gt;0,"✗","✓")</f>
        <v>✓</v>
      </c>
      <c r="L45" s="151" t="n">
        <f aca="false">SUM(L46:L47)</f>
        <v>0</v>
      </c>
      <c r="M45" s="90"/>
    </row>
    <row r="46" customFormat="false" ht="16.5" hidden="false" customHeight="true" outlineLevel="0" collapsed="false">
      <c r="J46" s="154" t="s">
        <v>262</v>
      </c>
      <c r="K46" s="147"/>
      <c r="L46" s="151" t="n">
        <f aca="false">IF(Avoirs!L1="✗",1,0)</f>
        <v>0</v>
      </c>
      <c r="M46" s="90"/>
    </row>
    <row r="47" customFormat="false" ht="16.5" hidden="false" customHeight="true" outlineLevel="0" collapsed="false">
      <c r="J47" s="154" t="s">
        <v>263</v>
      </c>
      <c r="K47" s="147"/>
      <c r="L47" s="151" t="n">
        <f aca="false">IF(Plus_value!B3="✗",1,0)</f>
        <v>0</v>
      </c>
      <c r="M47" s="90"/>
    </row>
    <row r="48" customFormat="false" ht="16.5" hidden="false" customHeight="true" outlineLevel="0" collapsed="false">
      <c r="J48" s="14" t="s">
        <v>4</v>
      </c>
      <c r="K48" s="54"/>
      <c r="L48" s="151"/>
      <c r="M48" s="90"/>
    </row>
    <row r="49" customFormat="false" ht="17.25" hidden="false" customHeight="true" outlineLevel="0" collapsed="false">
      <c r="J49" s="68" t="s">
        <v>264</v>
      </c>
      <c r="K49" s="70" t="str">
        <f aca="false">IF(ISNUMBER(FIND("✗",IFERROR(K32,"⚠")&amp;IFERROR(K33,"⚠")&amp;IFERROR(K34,"⚠")&amp;IFERROR(K38,"⚠")&amp;IFERROR(K39,"⚠")&amp;IFERROR(K44,"⚠")&amp;IFERROR(K45,"⚠"))),"✗",IF(ISNUMBER(FIND("⚠",IFERROR(K32,"⚠")&amp;IFERROR(K33,"⚠")&amp;IFERROR(K34,"⚠")&amp;IFERROR(K38,"⚠")&amp;IFERROR(K39,"⚠")&amp;IFERROR(K44,"⚠")&amp;IFERROR(K45,"⚠"))),"⚠","✓"))</f>
        <v>✓</v>
      </c>
      <c r="L49" s="156"/>
      <c r="M49" s="68"/>
    </row>
    <row r="1048541" customFormat="false" ht="12.75" hidden="false" customHeight="true" outlineLevel="0" collapsed="false"/>
    <row r="1048542" customFormat="false" ht="12.75" hidden="false" customHeight="true" outlineLevel="0" collapsed="false"/>
    <row r="1048543" customFormat="false" ht="12.75" hidden="false" customHeight="true" outlineLevel="0" collapsed="false"/>
    <row r="1048544" customFormat="false" ht="12.75" hidden="false" customHeight="true" outlineLevel="0" collapsed="false"/>
    <row r="1048545" customFormat="false" ht="12.75" hidden="false" customHeight="true" outlineLevel="0" collapsed="false"/>
    <row r="1048546" customFormat="false" ht="12.75" hidden="false" customHeight="true" outlineLevel="0" collapsed="false"/>
    <row r="1048547" customFormat="false" ht="12.75" hidden="false" customHeight="true" outlineLevel="0" collapsed="false"/>
    <row r="1048548" customFormat="false" ht="12.75" hidden="false" customHeight="true" outlineLevel="0" collapsed="false"/>
    <row r="1048549" customFormat="false" ht="12.75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29:M29"/>
  </mergeCells>
  <conditionalFormatting sqref="L33 L40:L43">
    <cfRule type="cellIs" priority="2" operator="notEqual" aboveAverage="0" equalAverage="0" bottom="0" percent="0" rank="0" text="" dxfId="0">
      <formula>0</formula>
    </cfRule>
  </conditionalFormatting>
  <conditionalFormatting sqref="L31:L32 L34:L39 L44:L48">
    <cfRule type="cellIs" priority="3" operator="notEqual" aboveAverage="0" equalAverage="0" bottom="0" percent="0" rank="0" text="" dxfId="0">
      <formula>0</formula>
    </cfRule>
  </conditionalFormatting>
  <conditionalFormatting sqref="K3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33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38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K39">
    <cfRule type="expression" priority="14" aboveAverage="0" equalAverage="0" bottom="0" percent="0" rank="0" text="" dxfId="1">
      <formula>NOT(ISERROR(FIND("✗",INDIRECT("RC",0))))</formula>
    </cfRule>
    <cfRule type="expression" priority="15" aboveAverage="0" equalAverage="0" bottom="0" percent="0" rank="0" text="" dxfId="2">
      <formula>NOT(ISERROR(FIND("⚠",INDIRECT("RC",0))))</formula>
    </cfRule>
  </conditionalFormatting>
  <conditionalFormatting sqref="K49">
    <cfRule type="expression" priority="16" aboveAverage="0" equalAverage="0" bottom="0" percent="0" rank="0" text="" dxfId="1">
      <formula>NOT(ISERROR(FIND("✗",INDIRECT("RC",0))))</formula>
    </cfRule>
    <cfRule type="expression" priority="17" aboveAverage="0" equalAverage="0" bottom="0" percent="0" rank="0" text="" dxfId="2">
      <formula>NOT(ISERROR(FIND("⚠",INDIRECT("RC",0))))</formula>
    </cfRule>
  </conditionalFormatting>
  <conditionalFormatting sqref="K34">
    <cfRule type="expression" priority="18" aboveAverage="0" equalAverage="0" bottom="0" percent="0" rank="0" text="" dxfId="1">
      <formula>NOT(ISERROR(FIND("✗",INDIRECT("RC",0))))</formula>
    </cfRule>
    <cfRule type="expression" priority="19" aboveAverage="0" equalAverage="0" bottom="0" percent="0" rank="0" text="" dxfId="2">
      <formula>NOT(ISERROR(FIND("⚠",INDIRECT("RC",0))))</formula>
    </cfRule>
  </conditionalFormatting>
  <conditionalFormatting sqref="K44">
    <cfRule type="expression" priority="20" aboveAverage="0" equalAverage="0" bottom="0" percent="0" rank="0" text="" dxfId="1">
      <formula>NOT(ISERROR(FIND("✗",INDIRECT("RC",0))))</formula>
    </cfRule>
    <cfRule type="expression" priority="21" aboveAverage="0" equalAverage="0" bottom="0" percent="0" rank="0" text="" dxfId="2">
      <formula>NOT(ISERROR(FIND("⚠",INDIRECT("RC",0))))</formula>
    </cfRule>
  </conditionalFormatting>
  <conditionalFormatting sqref="K45">
    <cfRule type="expression" priority="22" aboveAverage="0" equalAverage="0" bottom="0" percent="0" rank="0" text="" dxfId="1">
      <formula>NOT(ISERROR(FIND("✗",INDIRECT("RC",0))))</formula>
    </cfRule>
    <cfRule type="expression" priority="23" aboveAverage="0" equalAverage="0" bottom="0" percent="0" rank="0" text="" dxfId="2">
      <formula>NOT(ISERROR(FIND("⚠",INDIRECT("RC",0))))</formula>
    </cfRule>
  </conditionalFormatting>
  <conditionalFormatting sqref="M33">
    <cfRule type="expression" priority="24" aboveAverage="0" equalAverage="0" bottom="0" percent="0" rank="0" text="" dxfId="6">
      <formula>$M$30="EUR"</formula>
    </cfRule>
    <cfRule type="expression" priority="25" aboveAverage="0" equalAverage="0" bottom="0" percent="0" rank="0" text="" dxfId="7">
      <formula>$M$30="USD"</formula>
    </cfRule>
    <cfRule type="expression" priority="26" aboveAverage="0" equalAverage="0" bottom="0" percent="0" rank="0" text="" dxfId="8">
      <formula>$M$30="SGD"</formula>
    </cfRule>
    <cfRule type="expression" priority="27" aboveAverage="0" equalAverage="0" bottom="0" percent="0" rank="0" text="" dxfId="9">
      <formula>$M$30="XAU"</formula>
    </cfRule>
    <cfRule type="expression" priority="28" aboveAverage="0" equalAverage="0" bottom="0" percent="0" rank="0" text="" dxfId="10">
      <formula>$M$30="OrPr"</formula>
    </cfRule>
    <cfRule type="expression" priority="29" aboveAverage="0" equalAverage="0" bottom="0" percent="0" rank="0" text="" dxfId="11">
      <formula>$M$30="BTC"</formula>
    </cfRule>
    <cfRule type="expression" priority="30" aboveAverage="0" equalAverage="0" bottom="0" percent="0" rank="0" text="" dxfId="12">
      <formula>$M$30="SAT"</formula>
    </cfRule>
    <cfRule type="expression" priority="31" aboveAverage="0" equalAverage="0" bottom="0" percent="0" rank="0" text="" dxfId="13">
      <formula>$M$30="XMR"</formula>
    </cfRule>
  </conditionalFormatting>
  <dataValidations count="2">
    <dataValidation allowBlank="false" errorStyle="stop" operator="between" showDropDown="false" showErrorMessage="false" showInputMessage="false" sqref="M26:M29" type="none">
      <formula1>0</formula1>
      <formula2>0</formula2>
    </dataValidation>
    <dataValidation allowBlank="true" errorStyle="stop" operator="equal" showDropDown="false" showErrorMessage="true" showInputMessage="false" sqref="M30" type="list">
      <formula1>Cotations!$E$4:$E$11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false" zeroHeight="false" outlineLevelRow="0" outlineLevelCol="0"/>
  <cols>
    <col collapsed="false" customWidth="true" hidden="false" outlineLevel="0" max="1" min="1" style="73" width="45.77"/>
    <col collapsed="false" customWidth="true" hidden="false" outlineLevel="0" max="3" min="2" style="73" width="9"/>
    <col collapsed="false" customWidth="true" hidden="false" outlineLevel="0" max="4" min="4" style="73" width="10.66"/>
    <col collapsed="false" customWidth="true" hidden="false" outlineLevel="0" max="5" min="5" style="95" width="9"/>
    <col collapsed="false" customWidth="true" hidden="false" outlineLevel="0" max="6" min="6" style="73" width="14.47"/>
    <col collapsed="false" customWidth="true" hidden="false" outlineLevel="0" max="7" min="7" style="73" width="13.44"/>
    <col collapsed="false" customWidth="true" hidden="false" outlineLevel="0" max="8" min="8" style="73" width="27.36"/>
    <col collapsed="false" customWidth="true" hidden="false" outlineLevel="0" max="9" min="9" style="43" width="9.83"/>
    <col collapsed="false" customWidth="true" hidden="false" outlineLevel="0" max="10" min="10" style="43" width="9.52"/>
    <col collapsed="false" customWidth="true" hidden="false" outlineLevel="0" max="11" min="11" style="43" width="3.5"/>
    <col collapsed="false" customWidth="true" hidden="false" outlineLevel="0" max="12" min="12" style="43" width="16.15"/>
    <col collapsed="false" customWidth="false" hidden="false" outlineLevel="0" max="16383" min="13" style="43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84" t="str">
        <f aca="false">Contrôles!$K$49</f>
        <v>✓</v>
      </c>
      <c r="B1" s="84"/>
      <c r="C1" s="84"/>
      <c r="D1" s="84"/>
      <c r="E1" s="84"/>
      <c r="F1" s="84" t="str">
        <f aca="false">année_courante</f>
        <v>2026</v>
      </c>
      <c r="G1" s="84"/>
      <c r="H1" s="12"/>
    </row>
    <row r="2" customFormat="false" ht="21" hidden="false" customHeight="true" outlineLevel="0" collapsed="false">
      <c r="A2" s="26" t="s">
        <v>265</v>
      </c>
      <c r="B2" s="26" t="s">
        <v>266</v>
      </c>
      <c r="C2" s="26" t="s">
        <v>267</v>
      </c>
      <c r="D2" s="26" t="s">
        <v>268</v>
      </c>
      <c r="E2" s="50" t="s">
        <v>269</v>
      </c>
      <c r="F2" s="50" t="s">
        <v>270</v>
      </c>
      <c r="G2" s="50" t="s">
        <v>85</v>
      </c>
      <c r="H2" s="50" t="s">
        <v>271</v>
      </c>
    </row>
    <row r="3" customFormat="false" ht="14.25" hidden="false" customHeight="true" outlineLevel="0" collapsed="false">
      <c r="A3" s="157" t="s">
        <v>4</v>
      </c>
      <c r="B3" s="158"/>
      <c r="C3" s="158"/>
      <c r="D3" s="158"/>
      <c r="E3" s="54"/>
      <c r="F3" s="16"/>
      <c r="G3" s="16"/>
      <c r="H3" s="16"/>
    </row>
    <row r="4" customFormat="false" ht="16.5" hidden="false" customHeight="true" outlineLevel="0" collapsed="false">
      <c r="A4" s="157" t="s">
        <v>17</v>
      </c>
      <c r="B4" s="158" t="s">
        <v>272</v>
      </c>
      <c r="C4" s="158" t="s">
        <v>273</v>
      </c>
      <c r="D4" s="158" t="n">
        <v>2</v>
      </c>
      <c r="E4" s="54" t="s">
        <v>89</v>
      </c>
      <c r="F4" s="134" t="n">
        <v>1</v>
      </c>
      <c r="G4" s="134"/>
      <c r="H4" s="159"/>
    </row>
    <row r="5" customFormat="false" ht="16.5" hidden="false" customHeight="true" outlineLevel="0" collapsed="false">
      <c r="A5" s="157" t="s">
        <v>20</v>
      </c>
      <c r="B5" s="158" t="s">
        <v>272</v>
      </c>
      <c r="C5" s="158" t="s">
        <v>273</v>
      </c>
      <c r="D5" s="158" t="n">
        <v>2</v>
      </c>
      <c r="E5" s="54" t="s">
        <v>94</v>
      </c>
      <c r="F5" s="134" t="n">
        <v>0.8635</v>
      </c>
      <c r="G5" s="160" t="s">
        <v>274</v>
      </c>
      <c r="H5" s="161" t="n">
        <f aca="false">1/F5</f>
        <v>1.15807759119861</v>
      </c>
    </row>
    <row r="6" customFormat="false" ht="16.5" hidden="false" customHeight="true" outlineLevel="0" collapsed="false">
      <c r="A6" s="157" t="s">
        <v>19</v>
      </c>
      <c r="B6" s="158" t="s">
        <v>272</v>
      </c>
      <c r="C6" s="158" t="s">
        <v>273</v>
      </c>
      <c r="D6" s="158" t="n">
        <v>2</v>
      </c>
      <c r="E6" s="54" t="s">
        <v>106</v>
      </c>
      <c r="F6" s="134" t="n">
        <v>0.6776</v>
      </c>
      <c r="G6" s="160" t="s">
        <v>274</v>
      </c>
      <c r="H6" s="162" t="n">
        <f aca="false">1/F6</f>
        <v>1.47579693034239</v>
      </c>
    </row>
    <row r="7" customFormat="false" ht="16.5" hidden="false" customHeight="true" outlineLevel="0" collapsed="false">
      <c r="A7" s="157" t="s">
        <v>275</v>
      </c>
      <c r="B7" s="158" t="s">
        <v>272</v>
      </c>
      <c r="C7" s="158" t="s">
        <v>276</v>
      </c>
      <c r="D7" s="158" t="n">
        <v>2</v>
      </c>
      <c r="E7" s="54" t="s">
        <v>277</v>
      </c>
      <c r="F7" s="134" t="n">
        <v>144.12</v>
      </c>
      <c r="G7" s="160" t="s">
        <v>274</v>
      </c>
      <c r="H7" s="163" t="n">
        <f aca="false">1/F7</f>
        <v>0.00693866222592284</v>
      </c>
    </row>
    <row r="8" customFormat="false" ht="16.5" hidden="false" customHeight="true" outlineLevel="0" collapsed="false">
      <c r="A8" s="157" t="s">
        <v>278</v>
      </c>
      <c r="B8" s="158" t="s">
        <v>279</v>
      </c>
      <c r="C8" s="158" t="s">
        <v>276</v>
      </c>
      <c r="D8" s="158" t="n">
        <v>2</v>
      </c>
      <c r="E8" s="54" t="s">
        <v>116</v>
      </c>
      <c r="F8" s="164" t="n">
        <f aca="false">F$7*1.043</f>
        <v>150.31716</v>
      </c>
      <c r="G8" s="160"/>
      <c r="H8" s="165" t="n">
        <f aca="false">1/F8</f>
        <v>0.00665260040836322</v>
      </c>
    </row>
    <row r="9" customFormat="false" ht="16.5" hidden="false" customHeight="true" outlineLevel="0" collapsed="false">
      <c r="A9" s="157" t="s">
        <v>18</v>
      </c>
      <c r="B9" s="158" t="s">
        <v>272</v>
      </c>
      <c r="C9" s="158" t="s">
        <v>172</v>
      </c>
      <c r="D9" s="158" t="n">
        <v>2</v>
      </c>
      <c r="E9" s="54" t="s">
        <v>280</v>
      </c>
      <c r="F9" s="134" t="n">
        <v>61009</v>
      </c>
      <c r="G9" s="160" t="s">
        <v>274</v>
      </c>
      <c r="H9" s="166" t="n">
        <f aca="false">1/F9</f>
        <v>1.6391024275107E-005</v>
      </c>
    </row>
    <row r="10" customFormat="false" ht="16.5" hidden="false" customHeight="true" outlineLevel="0" collapsed="false">
      <c r="A10" s="157" t="s">
        <v>281</v>
      </c>
      <c r="B10" s="158" t="s">
        <v>279</v>
      </c>
      <c r="C10" s="158" t="s">
        <v>172</v>
      </c>
      <c r="D10" s="158" t="n">
        <v>2</v>
      </c>
      <c r="E10" s="54" t="s">
        <v>110</v>
      </c>
      <c r="F10" s="164" t="n">
        <f aca="false">F$9/100000000</f>
        <v>0.00061009</v>
      </c>
      <c r="G10" s="160"/>
      <c r="H10" s="167" t="n">
        <f aca="false">1/F10</f>
        <v>1639.1024275107</v>
      </c>
    </row>
    <row r="11" customFormat="false" ht="16.5" hidden="false" customHeight="true" outlineLevel="0" collapsed="false">
      <c r="A11" s="157" t="s">
        <v>21</v>
      </c>
      <c r="B11" s="158" t="s">
        <v>272</v>
      </c>
      <c r="C11" s="158" t="s">
        <v>172</v>
      </c>
      <c r="D11" s="158" t="n">
        <v>2</v>
      </c>
      <c r="E11" s="54" t="s">
        <v>114</v>
      </c>
      <c r="F11" s="164" t="n">
        <v>305.02</v>
      </c>
      <c r="G11" s="160" t="s">
        <v>274</v>
      </c>
      <c r="H11" s="168" t="n">
        <f aca="false">1/F11</f>
        <v>0.00327847354271851</v>
      </c>
    </row>
    <row r="12" customFormat="false" ht="16.5" hidden="false" customHeight="true" outlineLevel="0" collapsed="false">
      <c r="A12" s="157" t="s">
        <v>4</v>
      </c>
      <c r="B12" s="158"/>
      <c r="C12" s="158"/>
      <c r="D12" s="158"/>
      <c r="E12" s="54"/>
      <c r="F12" s="16"/>
      <c r="G12" s="16"/>
      <c r="H12" s="16"/>
    </row>
    <row r="13" customFormat="false" ht="15" hidden="false" customHeight="true" outlineLevel="0" collapsed="false">
      <c r="A13" s="68" t="s">
        <v>282</v>
      </c>
      <c r="B13" s="6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13" s="68"/>
      <c r="D13" s="68"/>
      <c r="E13" s="68"/>
      <c r="F13" s="68"/>
      <c r="G13" s="68"/>
      <c r="H13" s="68"/>
    </row>
    <row r="14" customFormat="false" ht="18" hidden="false" customHeight="true" outlineLevel="0" collapsed="false">
      <c r="F14" s="169"/>
      <c r="G14" s="169"/>
    </row>
    <row r="15" customFormat="false" ht="18" hidden="false" customHeight="true" outlineLevel="0" collapsed="false">
      <c r="F15" s="169"/>
      <c r="G15" s="169"/>
    </row>
    <row r="16" customFormat="false" ht="18" hidden="false" customHeight="true" outlineLevel="0" collapsed="false">
      <c r="F16" s="169"/>
      <c r="G16" s="169"/>
    </row>
    <row r="17" customFormat="false" ht="18" hidden="false" customHeight="true" outlineLevel="0" collapsed="false">
      <c r="F17" s="169"/>
      <c r="G17" s="169"/>
    </row>
    <row r="18" customFormat="false" ht="18" hidden="false" customHeight="true" outlineLevel="0" collapsed="false">
      <c r="F18" s="169"/>
      <c r="G18" s="169"/>
    </row>
    <row r="1048563" customFormat="false" ht="12.75" hidden="false" customHeight="true" outlineLevel="0" collapsed="false"/>
    <row r="1048564" customFormat="false" ht="12.75" hidden="false" customHeight="true" outlineLevel="0" collapsed="false"/>
    <row r="1048565" customFormat="false" ht="12.75" hidden="false" customHeight="true" outlineLevel="0" collapsed="false"/>
    <row r="1048566" customFormat="false" ht="12.75" hidden="false" customHeight="true" outlineLevel="0" collapsed="false"/>
    <row r="1048567" customFormat="false" ht="12.75" hidden="false" customHeight="true" outlineLevel="0" collapsed="false"/>
    <row r="1048568" customFormat="false" ht="12.75" hidden="false" customHeight="true" outlineLevel="0" collapsed="false"/>
    <row r="1048569" customFormat="false" ht="12.75" hidden="false" customHeight="true" outlineLevel="0" collapsed="false"/>
    <row r="1048570" customFormat="false" ht="12.75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1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2026-07-07T18:29:19Z</dcterms:modified>
  <cp:revision>1014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