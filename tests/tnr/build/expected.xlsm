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Avoirs!$H$4:$H$9</definedName>
    <definedName function="false" hidden="false" name="AVRdate_solde" vbProcedure="false">Avoirs!$J$4:$J$9</definedName>
    <definedName function="false" hidden="false" name="AVRdevise" vbProcedure="false">Avoirs!$E$4:$E$9</definedName>
    <definedName function="false" hidden="false" name="AVRdomiciliation" vbProcedure="false">Avoirs!$C$4:$C$9</definedName>
    <definedName function="false" hidden="false" name="AVRintitulé" vbProcedure="false">Avoirs!$A$4:$A$9</definedName>
    <definedName function="false" hidden="false" name="AVRmontant_anter" vbProcedure="false">Avoirs!$I$4:$I$9</definedName>
    <definedName function="false" hidden="false" name="AVRmontant_solde" vbProcedure="false">Avoirs!$K$4:$K$9</definedName>
    <definedName function="false" hidden="false" name="AVRmontant_solde_euro" vbProcedure="false">Avoirs!$L$4:$L$9</definedName>
    <definedName function="false" hidden="false" name="AVRpropriete" vbProcedure="false">Avoirs!$G$4:$G$9</definedName>
    <definedName function="false" hidden="false" name="AVRsous_type" vbProcedure="false">Avoirs!$D$4:$D$9</definedName>
    <definedName function="false" hidden="false" name="AVRtitulaire" vbProcedure="false">Avoirs!$F$4:$F$9</definedName>
    <definedName function="false" hidden="false" name="AVRtype" vbProcedure="false">Avoirs!$B$4:$B$9</definedName>
    <definedName function="false" hidden="false" name="CATaffectation" vbProcedure="false">Budget!$I$16:$I$25</definedName>
    <definedName function="false" hidden="false" name="CATaffectation_pct" vbProcedure="false">Budget!$H$16:$H$25</definedName>
    <definedName function="false" hidden="false" name="CATmontant" vbProcedure="false">Budget!$F$16:$F$25</definedName>
    <definedName function="false" hidden="false" name="CATnom" vbProcedure="false">Budget!$E$16:$E$25</definedName>
    <definedName function="false" hidden="false" name="CATposte" vbProcedure="false">Budget!$J$16:$J$25</definedName>
    <definedName function="false" hidden="false" name="CATtotal_euro" vbProcedure="false">Budget!$G$16:$G$25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Cotations!$E$3:$E$10</definedName>
    <definedName function="false" hidden="false" name="COTcours" vbProcedure="false">Cotations!$F$3:$F$10</definedName>
    <definedName function="false" hidden="false" name="COTcours2" vbProcedure="false">Cotations!$H$3:$H$10</definedName>
    <definedName function="false" hidden="false" name="COTdate" vbProcedure="false">Cotations!$G$3:$G$10</definedName>
    <definedName function="false" hidden="false" name="COTdecimales" vbProcedure="false">Cotations!$D$3:$D$10</definedName>
    <definedName function="false" hidden="false" name="COTfamille" vbProcedure="false">Cotations!$C$3:$C$10</definedName>
    <definedName function="false" hidden="false" name="COTlabel" vbProcedure="false">Cotations!$A$3:$A$10</definedName>
    <definedName function="false" hidden="false" name="COTnature" vbProcedure="false">Cotations!$B$3:$B$10</definedName>
    <definedName function="false" hidden="false" name="cours_BTC" vbProcedure="false">Cotations!$F$8</definedName>
    <definedName function="false" hidden="false" name="cours_OrPr" vbProcedure="false">Cotations!$F$7</definedName>
    <definedName function="false" hidden="false" name="cours_SAT" vbProcedure="false">Cotations!$F$9</definedName>
    <definedName function="false" hidden="false" name="cours_USD" vbProcedure="false">Cotations!$F$5</definedName>
    <definedName function="false" hidden="false" name="cours_XAU" vbProcedure="false">Cotations!$F$6</definedName>
    <definedName function="false" hidden="false" name="CTRL1compte" vbProcedure="false">Contrôles!$A$3:$A$7</definedName>
    <definedName function="false" hidden="false" name="CTRL1controle" vbProcedure="false">Contrôles!$I$3:$I$7</definedName>
    <definedName function="false" hidden="false" name="CTRL1date_ancrage" vbProcedure="false">Contrôles!$C$3:$C$7</definedName>
    <definedName function="false" hidden="false" name="CTRL1date_releve" vbProcedure="false">Contrôles!$D$3:$D$7</definedName>
    <definedName function="false" hidden="false" name="CTRL1devise" vbProcedure="false">Contrôles!$B$3:$B$7</definedName>
    <definedName function="false" hidden="false" name="CTRL1ecart" vbProcedure="false">Contrôles!$H$3:$H$7</definedName>
    <definedName function="false" hidden="false" name="CTRL1montant_ancrage" vbProcedure="false">Contrôles!$E$3:$E$7</definedName>
    <definedName function="false" hidden="false" name="CTRL1montant_releve" vbProcedure="false">Contrôles!$G$3:$G$7</definedName>
    <definedName function="false" hidden="false" name="CTRL1solde_calc" vbProcedure="false">Contrôles!$F$3:$F$7</definedName>
    <definedName function="false" hidden="false" name="CTRL2affichage" vbProcedure="false">Contrôles!$K$12:$K$29</definedName>
    <definedName function="false" hidden="false" name="CTRL2drill" vbProcedure="false">Contrôles!$M$12:$M$29</definedName>
    <definedName function="false" hidden="false" name="CTRL2general" vbProcedure="false">Contrôles!$L$12:$L$29</definedName>
    <definedName function="false" hidden="false" name="CTRL2type" vbProcedure="false">Contrôles!$J$12:$J$29</definedName>
    <definedName function="false" hidden="false" name="CTRL2_fonds_en_transit" vbProcedure="false">Contrôles!$L$24</definedName>
    <definedName function="false" hidden="false" name="CTRL2_synthese" vbProcedure="false">Contrôles!$K$30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Budget!$C$4:$C$7</definedName>
    <definedName function="false" hidden="false" name="POSTESnom" vbProcedure="false">Budget!$A$4:$A$7</definedName>
    <definedName function="false" hidden="false" name="POSTEStype" vbProcedure="false">Budget!$B$4:$B$7</definedName>
    <definedName function="false" hidden="false" name="PVLcompte" vbProcedure="false">Plus_value!$B$5:$B$27</definedName>
    <definedName function="false" hidden="false" name="PVLdate" vbProcedure="false">Plus_value!$J$5:$J$27</definedName>
    <definedName function="false" hidden="false" name="PVLdate_init" vbProcedure="false">Plus_value!$G$5:$G$27</definedName>
    <definedName function="false" hidden="false" name="PVLdevise" vbProcedure="false">Plus_value!$D$5:$D$27</definedName>
    <definedName function="false" hidden="false" name="PVLmontant" vbProcedure="false">Plus_value!$K$5:$K$27</definedName>
    <definedName function="false" hidden="false" name="PVLmontant_init" vbProcedure="false">Plus_value!$H$5:$H$27</definedName>
    <definedName function="false" hidden="false" name="PVLpct" vbProcedure="false">Plus_value!$F$5:$F$27</definedName>
    <definedName function="false" hidden="false" name="PVLpvl" vbProcedure="false">Plus_value!$E$5:$E$27</definedName>
    <definedName function="false" hidden="false" name="PVLsection" vbProcedure="false">Plus_value!$A$5:$A$27</definedName>
    <definedName function="false" hidden="false" name="PVLsigma" vbProcedure="false">Plus_value!$I$5:$I$27</definedName>
    <definedName function="false" hidden="false" name="PVLtitre" vbProcedure="false">Plus_value!$C$5:$C$27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<sst xmlns="http://schemas.openxmlformats.org/spreadsheetml/2006/main" count="399" uniqueCount="199">
  <si>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</si>
  <si>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</si>
  <si>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</si>
  <si>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</si>
  <si>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</si>
  <si>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</si>
  <si>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</si>
  <si>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</si>
  <si>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</si>
  <si>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</si>
  <si>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</si>
  <si>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</si>
  <si>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</si>
  <si>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</si>
  <si>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</si>
  <si>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</si>
  <si>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</si>
  <si>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</si>
  <si>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</si>
  <si>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</si>
  <si>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</si>
  <si>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</si>
  <si>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</si>
  <si>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</si>
  <si>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</si>
  <si>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</si>
  <si>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</si>
  <si>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</si>
  <si>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</si>
  <si>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</si>
  <si>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</si>
  <si>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</si>
  <si>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</si>
  <si>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</si>
  <si>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</si>
  <si>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</si>
  <si>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</si>
  <si>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</si>
  <si>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</si>
  <si>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</si>
  <si>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</si>
  <si>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</si>
  <si>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</si>
  <si>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</si>
  <si>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</si>
  <si>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</si>
  <si>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</si>
  <si>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</si>
  <si>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</si>
  <si>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</si>
  <si>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</si>
  <si>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</si>
  <si>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</si>
  <si>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</si>
  <si>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</si>
  <si>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</si>
  <si>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</si>
  <si>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</si>
  <si>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</si>
  <si>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</si>
  <si>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</si>
  <si>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</si>
  <si>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</si>
  <si>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</si>
  <si>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</si>
  <si>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</si>
  <si>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</si>
  <si>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Portefeuille eToro USD Titres</t>
  </si>
  <si>
    <t xml:space="preserve">USD</t>
  </si>
  <si>
    <t xml:space="preserve">Portefeuille eToro USD Réserve</t>
  </si>
  <si>
    <t xml:space="preserve">Compte Kraken BTC</t>
  </si>
  <si>
    <t xml:space="preserve">SAT</t>
  </si>
  <si>
    <t xml:space="preserve">Pièces or</t>
  </si>
  <si>
    <t xml:space="preserve">OrPr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</si>
  <si>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</si>
  <si>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</si>
  <si>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</si>
  <si>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</si>
  <si>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Banque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</si>
  <si>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</si>
  <si>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</si>
  <si>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</si>
  <si>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</si>
  <si>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</si>
  <si>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</si>
  <si>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</si>
  <si>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</si>
  <si>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</si>
  <si>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</si>
  <si>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</si>
  <si>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</si>
  <si>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</si>
  <si>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</si>
  <si>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</si>
  <si>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</si>
  <si>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Frais bancaires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</si>
  <si>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</si>
  <si>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</si>
  <si>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</si>
  <si>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</si>
  <si>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</si>
  <si>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</si>
  <si>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</si>
  <si>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</si>
  <si>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</si>
  <si>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</si>
  <si>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</si>
  <si>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</si>
  <si>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</si>
  <si>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</si>
  <si>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</si>
  <si>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</si>
  <si>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portefeuilles</t>
  </si>
  <si>
    <t xml:space="preserve">**AI.PA**</t>
  </si>
  <si>
    <t xml:space="preserve">**SPX500**</t>
  </si>
  <si>
    <t xml:space="preserve">**BTC/USD**</t>
  </si>
  <si>
    <t xml:space="preserve">**COMT**</t>
  </si>
  <si>
    <t xml:space="preserve">**KWEB**</t>
  </si>
  <si>
    <t xml:space="preserve">#Solde Opérations</t>
  </si>
  <si>
    <t xml:space="preserve">Les métaux</t>
  </si>
  <si>
    <t xml:space="preserve">métaux</t>
  </si>
  <si>
    <t xml:space="preserve">Les cryptos</t>
  </si>
  <si>
    <t xml:space="preserve">crypto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</si>
  <si>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</si>
  <si>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</si>
  <si>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</si>
  <si>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</si>
  <si>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</si>
  <si>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</si>
  <si>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</si>
  <si>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</si>
  <si>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</si>
  <si>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</si>
  <si>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</si>
  <si>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</si>
  <si>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</si>
  <si>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</si>
  <si>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Relevé compte</t>
  </si>
  <si>
    <t xml:space="preserve">#Solde</t>
  </si>
  <si>
    <t xml:space="preserve">Position ouverte SPX500/USD</t>
  </si>
  <si>
    <t xml:space="preserve">V7</t>
  </si>
  <si>
    <t xml:space="preserve">Bénéfice/Perte du trade SPX500/USD</t>
  </si>
  <si>
    <t xml:space="preserve">t8</t>
  </si>
  <si>
    <t xml:space="preserve">Position ouverte KWEB/USD</t>
  </si>
  <si>
    <t xml:space="preserve">t9</t>
  </si>
  <si>
    <t xml:space="preserve">Position ouverte BTC/USD</t>
  </si>
  <si>
    <t xml:space="preserve">t10</t>
  </si>
  <si>
    <t xml:space="preserve">Position ouverte COMT/USD</t>
  </si>
  <si>
    <t xml:space="preserve">t14</t>
  </si>
  <si>
    <t xml:space="preserve">t15</t>
  </si>
  <si>
    <t xml:space="preserve">Frais de compte mensuels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</si>
  <si>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</si>
  <si>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</si>
  <si>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</si>
  <si>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</si>
  <si>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</si>
  <si>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</si>
  <si>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</si>
  <si>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</si>
  <si>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</si>
  <si>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</si>
  <si>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</si>
  <si>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</si>
  <si>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</si>
  <si>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</si>
  <si>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</si>
  <si>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</si>
  <si>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</si>
  <si>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</si>
  <si>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</si>
  <si>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</si>
  <si>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</si>
  <si>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</si>
  <si>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</si>
  <si>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</si>
  <si>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</si>
  <si>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</si>
  <si>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</si>
  <si>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</si>
  <si>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</si>
  <si>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</si>
  <si>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</si>
  <si>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</si>
  <si>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</si>
  <si>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</si>
  <si>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</si>
  <si>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</si>
  <si>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</si>
  <si>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Dollar US</t>
  </si>
  <si>
    <t xml:space="preserve">18/06/2026</t>
  </si>
  <si>
    <t xml:space="preserve">Gramme d'or Spot</t>
  </si>
  <si>
    <t xml:space="preserve">metal</t>
  </si>
  <si>
    <t xml:space="preserve">XAU</t>
  </si>
  <si>
    <t xml:space="preserve">Gramme d'or Premium (pièces)</t>
  </si>
  <si>
    <t xml:space="preserve">dérivée</t>
  </si>
  <si>
    <t xml:space="preserve">Bitcoin</t>
  </si>
  <si>
    <t xml:space="preserve">BTC</t>
  </si>
  <si>
    <t xml:space="preserve">Satoshi (1 / 100 000 000 Bitcoin)</t>
  </si>
  <si>
    <t xml:space="preserve">Alarme cotations</t>
  </si>
</sst>
</file>

<file path=xl/styles.xml><?xml version="1.0" encoding="utf-8"?>
<styleSheet xmlns="http://schemas.openxmlformats.org/spreadsheetml/2006/main">
  <numFmts count="39">
    <numFmt numFmtId="164" formatCode="General"/>
    <numFmt numFmtId="165" formatCode="#,##0.00\ [$€-40C];\-#,##0.00\ [$€-40C]"/>
    <numFmt numFmtId="166" formatCode="#,##0.00\ [$USD]"/>
    <numFmt numFmtId="167" formatCode="#,##0.00\ [$XAU]"/>
    <numFmt numFmtId="168" formatCode="#,##0.00\ [$OrPr]"/>
    <numFmt numFmtId="169" formatCode="#,##0.00\ [$BTC]"/>
    <numFmt numFmtId="170" formatCode="#,##0.00\ [$SAT]"/>
    <numFmt numFmtId="171" formatCode="#,##0;\-#,##0"/>
    <numFmt numFmtId="172" formatCode="#,##0.00;\-#,##0.00"/>
    <numFmt numFmtId="173" formatCode="#,##0.00000;\-#,##0.00000"/>
    <numFmt numFmtId="174" formatCode="#,##0.000000000"/>
    <numFmt numFmtId="175" formatCode="mmm\-yy"/>
    <numFmt numFmtId="176" formatCode="@"/>
    <numFmt numFmtId="177" formatCode="dd/mm/yy"/>
    <numFmt numFmtId="178" formatCode="#,##0.00\ [$€-40C];[RED]\-#,##0.00\ [$€-40C]"/>
    <numFmt numFmtId="179" formatCode="0\ %"/>
    <numFmt numFmtId="180" formatCode="0"/>
    <numFmt numFmtId="181" formatCode="#,##0%"/>
    <numFmt numFmtId="182" formatCode="#,##0.00\ [$USD];[RED]\-#,##0.00\ [$USD]"/>
    <numFmt numFmtId="183" formatCode="[$€-40C]\ #,##0.00"/>
    <numFmt numFmtId="184" formatCode="d\ mmm\ yyyy"/>
    <numFmt numFmtId="185" formatCode="\ #,##0\ [$€-40C]"/>
    <numFmt numFmtId="186" formatCode="\ #,##0.00\ [$€-40C]"/>
    <numFmt numFmtId="187" formatCode="@&quot; ▼&quot;"/>
    <numFmt numFmtId="188" formatCode="#,##0.00000\ [$€-40C];\-#,##0.00000\ [$€-40C]"/>
    <numFmt numFmtId="189" formatCode="#,##0"/>
    <numFmt numFmtId="190" formatCode="0.00\ %"/>
    <numFmt numFmtId="191" formatCode="[$-40C]dd/mm/yy"/>
    <numFmt numFmtId="192" formatCode="dd/mm/yyyy"/>
    <numFmt numFmtId="193" formatCode="0.00000"/>
    <numFmt numFmtId="194" formatCode="#,##0.00"/>
    <numFmt numFmtId="195" formatCode="\ 0.00\ [$€-40C]"/>
    <numFmt numFmtId="196" formatCode="#,##0.00\ [$€-40C];\-#,##0.00\ [$€-40C]"/>
    <numFmt numFmtId="197" formatCode="#,##0.00\ [$€-40C];[RED]\-#,##0.00\ [$€-40C]"/>
    <numFmt numFmtId="198" formatCode="#,##0.000000000\ [$USD]"/>
    <numFmt numFmtId="199" formatCode="#,##0.000000000\ [$XAU]"/>
    <numFmt numFmtId="200" formatCode="#,##0.000000000\ [$OrPr]"/>
    <numFmt numFmtId="201" formatCode="#,##0.000000000\ [$BTC]"/>
    <numFmt numFmtId="202" formatCode="#,##0.000000000\ [$SAT]"/>
  </numFmts>
  <fonts count="23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FF"/>
      <name val="Arial"/>
      <family val="0"/>
      <charset val="1"/>
    </font>
    <font>
      <sz val="11"/>
      <color rgb="FF0432FF"/>
      <name val="Arial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5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5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66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2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8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8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5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5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6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6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6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6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1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2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1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1" fontId="20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6" fontId="2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2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4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5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9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8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9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1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2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4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BTC_body" xfId="41"/>
    <cellStyle name="Drill_BTC_pied" xfId="42"/>
    <cellStyle name="Drill_dec0" xfId="43"/>
    <cellStyle name="Drill_dec2" xfId="44"/>
    <cellStyle name="Drill_dec5" xfId="45"/>
    <cellStyle name="Drill_EUR" xfId="46"/>
    <cellStyle name="Drill_OrPr_body" xfId="47"/>
    <cellStyle name="Drill_OrPr_pied" xfId="48"/>
    <cellStyle name="Drill_SAT_body" xfId="49"/>
    <cellStyle name="Drill_SAT_pied" xfId="50"/>
    <cellStyle name="Drill_USD_body" xfId="51"/>
    <cellStyle name="Drill_USD_pied" xfId="52"/>
    <cellStyle name="Drill_XAU_body" xfId="53"/>
    <cellStyle name="Drill_XAU_pied" xfId="54"/>
    <cellStyle name="Input" xfId="55"/>
    <cellStyle name="Résultat2" xfId="56"/>
  </cellStyles>
  <dxfs count="2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strike val="0"/>
        <outline val="0"/>
        <shadow val="0"/>
        <color rgb="FF000000"/>
        <sz val="10"/>
      </font>
      <numFmt numFmtId="165" formatCode="#,##0.00\ [$€-40C];\-#,##0.00\ [$€-40C]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7" formatCode="#,##0.00\ [$XAU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8" formatCode="#,##0.00\ [$Or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9" formatCode="#,##0.00\ [$BTC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0" formatCode="#,##0.00\ [$SAT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7" formatCode="#,##0.00\ [$XAU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8" formatCode="#,##0.00\ [$Or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9" formatCode="#,##0.00\ [$BTC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0" formatCode="#,##0.00\ [$SAT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Contrôles!K$30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4</v>
      </c>
      <c r="D4" s="11" t="n">
        <f aca="false">Avoirs!L2</f>
        <v>3345.06</v>
      </c>
      <c r="E4" s="12"/>
      <c r="F4" s="12"/>
      <c r="G4" s="11" t="n">
        <f aca="false">Plus_value!E3</f>
        <v>-681.010615</v>
      </c>
      <c r="H4" s="13" t="n">
        <f aca="false">Plus_value!F28</f>
        <v>-0.169150141164521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1</v>
      </c>
      <c r="D7" s="16" t="n">
        <f aca="false">SUMIF(AVRtype,$B7,AVRmontant_solde_euro)</f>
        <v>0</v>
      </c>
      <c r="E7" s="17" t="n">
        <f aca="false">D7/D$14</f>
        <v>0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1</v>
      </c>
      <c r="D8" s="16" t="n">
        <f aca="false">SUMIF(AVRtype,$B8,AVRmontant_solde_euro)</f>
        <v>3282.042965</v>
      </c>
      <c r="E8" s="17" t="n">
        <f aca="false">D8/D$14</f>
        <v>0.981161164523208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n">
        <f aca="false">D9/D$14</f>
        <v>0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1</v>
      </c>
      <c r="D10" s="16" t="n">
        <f aca="false">SUMIF(AVRtype,$B10,AVRmontant_solde_euro)</f>
        <v>63.01823</v>
      </c>
      <c r="E10" s="17" t="n">
        <f aca="false">D10/D$14</f>
        <v>0.018839192720011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1</v>
      </c>
      <c r="D11" s="16" t="n">
        <f aca="false">SUMIF(AVRtype,$B11,AVRmontant_solde_euro)</f>
        <v>0</v>
      </c>
      <c r="E11" s="17" t="n">
        <f aca="false">D11/D$14</f>
        <v>0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n">
        <f aca="false">D12/D$14</f>
        <v>0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n">
        <f aca="false">D13/D$14</f>
        <v>0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4</v>
      </c>
      <c r="D14" s="24" t="n">
        <f aca="false">ROUND(SUM(D7:D13),2)</f>
        <v>3345.06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n">
        <f aca="false">D16/D$21</f>
        <v>0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n">
        <f aca="false">D17/D$21</f>
        <v>0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n">
        <f aca="false">D18/D$21</f>
        <v>0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n">
        <f aca="false">D19/D$21</f>
        <v>0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4</v>
      </c>
      <c r="D20" s="16" t="n">
        <f aca="false">SUMIF(AVRsous_type,B20,AVRmontant_solde_euro)</f>
        <v>3345.061195</v>
      </c>
      <c r="E20" s="17" t="n">
        <f aca="false">D20/D$21</f>
        <v>1.00000035724322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4</v>
      </c>
      <c r="D21" s="24" t="n">
        <f aca="false">ROUND(SUM(D16:D20),2)</f>
        <v>3345.06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4</v>
      </c>
      <c r="D23" s="16" t="n">
        <f aca="false">SUMIF(AVRdomiciliation,$B23,AVRmontant_solde_euro)</f>
        <v>3345.061195</v>
      </c>
      <c r="E23" s="17" t="n">
        <f aca="false">D23/D$24</f>
        <v>1.00000035724322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4</v>
      </c>
      <c r="D24" s="24" t="n">
        <f aca="false">ROUND(SUM(D23),2)</f>
        <v>3345.06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4</v>
      </c>
      <c r="D26" s="16" t="n">
        <f aca="false">SUMIF(AVRtitulaire,$B26,AVRmontant_solde_euro)</f>
        <v>3345.061195</v>
      </c>
      <c r="E26" s="17" t="n">
        <f aca="false">D26/D$27</f>
        <v>1.00000035724322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4</v>
      </c>
      <c r="D27" s="24" t="n">
        <f aca="false">ROUND(SUM(D26),2)</f>
        <v>3345.06</v>
      </c>
      <c r="E27" s="17"/>
      <c r="F27" s="18"/>
      <c r="G27" s="18"/>
      <c r="H27" s="18"/>
      <c r="I27" s="18"/>
    </row>
    <row r="28" customFormat="false" ht="15.7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75" hidden="false" customHeight="true" outlineLevel="0" collapsed="false">
      <c r="B29" s="22" t="s">
        <v>21</v>
      </c>
      <c r="C29" s="15" t="n">
        <f aca="false">COUNTIF(AVRpropriete,$B29)</f>
        <v>4</v>
      </c>
      <c r="D29" s="16" t="n">
        <f aca="false">SUMIF(AVRpropriete,B29,AVRmontant_solde_euro)</f>
        <v>3345.061195</v>
      </c>
      <c r="E29" s="17" t="n">
        <f aca="false">D29/D$31</f>
        <v>1.00000035724322</v>
      </c>
      <c r="F29" s="18"/>
      <c r="G29" s="19"/>
      <c r="H29" s="18"/>
      <c r="I29" s="18"/>
    </row>
    <row r="30" customFormat="false" ht="15.7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n">
        <f aca="false">D30/D$31</f>
        <v>0</v>
      </c>
      <c r="F30" s="18"/>
      <c r="G30" s="19" t="s">
        <v>23</v>
      </c>
      <c r="H30" s="18"/>
      <c r="I30" s="18"/>
    </row>
    <row r="31" customFormat="false" ht="15.75" hidden="false" customHeight="true" outlineLevel="0" collapsed="false">
      <c r="B31" s="23" t="s">
        <v>3</v>
      </c>
      <c r="C31" s="15" t="n">
        <f aca="false">SUM(C29:C30)</f>
        <v>4</v>
      </c>
      <c r="D31" s="24" t="n">
        <f aca="false">ROUND(SUM(D29:D30),2)</f>
        <v>3345.06</v>
      </c>
      <c r="E31" s="17"/>
      <c r="F31" s="18"/>
      <c r="G31" s="18"/>
      <c r="H31" s="18"/>
      <c r="I31" s="18"/>
    </row>
    <row r="32" customFormat="false" ht="15.7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75" hidden="false" customHeight="true" outlineLevel="0" collapsed="false">
      <c r="J42" s="32"/>
      <c r="K42" s="35" t="s">
        <v>28</v>
      </c>
      <c r="L42" s="34" t="s">
        <v>30</v>
      </c>
    </row>
    <row r="43" customFormat="false" ht="15.75" hidden="false" customHeight="true" outlineLevel="0" collapsed="false">
      <c r="J43" s="32"/>
      <c r="K43" s="36" t="s">
        <v>28</v>
      </c>
      <c r="L43" s="34" t="s">
        <v>31</v>
      </c>
    </row>
    <row r="44" customFormat="false" ht="15.75" hidden="false" customHeight="true" outlineLevel="0" collapsed="false">
      <c r="J44" s="14"/>
      <c r="K44" s="37" t="s">
        <v>28</v>
      </c>
      <c r="L44" s="38" t="s">
        <v>32</v>
      </c>
    </row>
    <row r="45" customFormat="false" ht="15.75" hidden="false" customHeight="true" outlineLevel="0" collapsed="false">
      <c r="J45" s="14"/>
      <c r="K45" s="39" t="s">
        <v>33</v>
      </c>
      <c r="L45" s="38" t="s">
        <v>34</v>
      </c>
    </row>
    <row r="46" customFormat="false" ht="15.75" hidden="false" customHeight="true" outlineLevel="0" collapsed="false">
      <c r="J46" s="14"/>
      <c r="K46" s="40" t="s">
        <v>33</v>
      </c>
      <c r="L46" s="38" t="s">
        <v>35</v>
      </c>
    </row>
    <row r="47" customFormat="false" ht="15.75" hidden="false" customHeight="true" outlineLevel="0" collapsed="false">
      <c r="J47" s="14"/>
      <c r="K47" s="41" t="s">
        <v>28</v>
      </c>
      <c r="L47" s="38" t="s">
        <v>36</v>
      </c>
    </row>
    <row r="48" customFormat="false" ht="15.75" hidden="false" customHeight="true" outlineLevel="0" collapsed="false">
      <c r="J48" s="14"/>
      <c r="K48" s="42"/>
      <c r="L48" s="38"/>
    </row>
    <row r="49" customFormat="false" ht="15.75" hidden="false" customHeight="true" outlineLevel="0" collapsed="false">
      <c r="J49" s="14"/>
      <c r="K49" s="38" t="s">
        <v>37</v>
      </c>
      <c r="L49" s="38"/>
    </row>
    <row r="50" customFormat="false" ht="15.75" hidden="false" customHeight="true" outlineLevel="0" collapsed="false">
      <c r="J50" s="14"/>
      <c r="K50" s="42"/>
      <c r="L50" s="38"/>
    </row>
    <row r="51" customFormat="false" ht="15.75" hidden="false" customHeight="true" outlineLevel="0" collapsed="false">
      <c r="J51" s="14"/>
      <c r="K51" s="42" t="s">
        <v>3</v>
      </c>
      <c r="L51" s="38" t="s">
        <v>38</v>
      </c>
    </row>
    <row r="52" customFormat="false" ht="15.75" hidden="false" customHeight="true" outlineLevel="0" collapsed="false">
      <c r="J52" s="14"/>
      <c r="K52" s="42" t="s">
        <v>39</v>
      </c>
      <c r="L52" s="38" t="s">
        <v>40</v>
      </c>
    </row>
    <row r="53" customFormat="false" ht="15.75" hidden="false" customHeight="true" outlineLevel="0" collapsed="false">
      <c r="J53" s="14"/>
      <c r="K53" s="42" t="s">
        <v>41</v>
      </c>
      <c r="L53" s="38" t="s">
        <v>42</v>
      </c>
    </row>
    <row r="54" customFormat="false" ht="15.75" hidden="false" customHeight="true" outlineLevel="0" collapsed="false">
      <c r="J54" s="14"/>
      <c r="K54" s="42" t="s">
        <v>43</v>
      </c>
      <c r="L54" s="38" t="s">
        <v>42</v>
      </c>
    </row>
    <row r="55" customFormat="false" ht="15.75" hidden="false" customHeight="true" outlineLevel="0" collapsed="false">
      <c r="J55" s="14"/>
      <c r="K55" s="42" t="s">
        <v>44</v>
      </c>
      <c r="L55" s="38" t="s">
        <v>45</v>
      </c>
    </row>
    <row r="56" customFormat="false" ht="15.75" hidden="false" customHeight="true" outlineLevel="0" collapsed="false">
      <c r="J56" s="14"/>
      <c r="K56" s="42" t="s">
        <v>46</v>
      </c>
      <c r="L56" s="38" t="s">
        <v>47</v>
      </c>
    </row>
    <row r="57" customFormat="false" ht="15.75" hidden="false" customHeight="true" outlineLevel="0" collapsed="false">
      <c r="J57" s="14"/>
      <c r="K57" s="42" t="s">
        <v>48</v>
      </c>
      <c r="L57" s="38" t="s">
        <v>47</v>
      </c>
    </row>
    <row r="58" customFormat="false" ht="15.75" hidden="false" customHeight="true" outlineLevel="0" collapsed="false">
      <c r="J58" s="14"/>
      <c r="K58" s="42" t="s">
        <v>49</v>
      </c>
      <c r="L58" s="38" t="s">
        <v>50</v>
      </c>
    </row>
    <row r="59" customFormat="false" ht="15.75" hidden="false" customHeight="true" outlineLevel="0" collapsed="false">
      <c r="J59" s="14"/>
      <c r="K59" s="42" t="s">
        <v>51</v>
      </c>
      <c r="L59" s="38" t="s">
        <v>50</v>
      </c>
    </row>
    <row r="60" customFormat="false" ht="15.75" hidden="false" customHeight="true" outlineLevel="0" collapsed="false">
      <c r="J60" s="14"/>
      <c r="K60" s="42"/>
      <c r="L60" s="42"/>
    </row>
    <row r="61" customFormat="false" ht="15.75" hidden="false" customHeight="true" outlineLevel="0" collapsed="false">
      <c r="J61" s="14"/>
      <c r="K61" s="38" t="s">
        <v>52</v>
      </c>
      <c r="L61" s="42"/>
    </row>
    <row r="62" customFormat="false" ht="15.75" hidden="false" customHeight="true" outlineLevel="0" collapsed="false">
      <c r="J62" s="14" t="s">
        <v>4</v>
      </c>
      <c r="K62" s="42"/>
      <c r="L62" s="42"/>
    </row>
    <row r="63" customFormat="false" ht="15.75" hidden="false" customHeight="true" outlineLevel="0" collapsed="false">
      <c r="J63" s="30"/>
      <c r="K63" s="30"/>
      <c r="L63" s="30"/>
    </row>
    <row r="64" customFormat="false" ht="15.75" hidden="false" customHeight="true" outlineLevel="0" collapsed="false"/>
    <row r="1048576" customFormat="false" ht="12.75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Avoirs!$L$10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IF(ISERROR(L10),"✗","✓")</f>
        <v>✓</v>
      </c>
    </row>
    <row r="2" customFormat="false" ht="16.5" hidden="false" customHeight="true" outlineLevel="0" collapsed="false">
      <c r="A2" s="48" t="str">
        <f aca="false">Contrôles!K$30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L10</f>
        <v>3345.06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4.25" hidden="false" customHeight="true" outlineLevel="0" collapsed="false">
      <c r="A5" s="14" t="s">
        <v>67</v>
      </c>
      <c r="B5" s="51" t="s">
        <v>7</v>
      </c>
      <c r="C5" s="52" t="s">
        <v>12</v>
      </c>
      <c r="D5" s="53" t="s">
        <v>12</v>
      </c>
      <c r="E5" s="53" t="s">
        <v>68</v>
      </c>
      <c r="F5" s="54" t="s">
        <v>12</v>
      </c>
      <c r="G5" s="53" t="s">
        <v>21</v>
      </c>
      <c r="H5" s="55" t="n">
        <f aca="false">_xlfn.MAXIFS(OPdate,OPcompte,$A5,OPdevise,$E5,OPcatégorie,Solde,OPequiv_euro,"&lt;&gt;")</f>
        <v>0</v>
      </c>
      <c r="I5" s="56" t="n">
        <f aca="false">SUMIFS(OPmontant,OPcompte,$A5,OPdevise,$E5,OPcatégorie,Solde,OPdate,$H5)</f>
        <v>0</v>
      </c>
      <c r="J5" s="55" t="n">
        <f aca="false">SUMIFS(PVLdate,PVLcompte,$A5,PVLtitre,Retenu)</f>
        <v>46191</v>
      </c>
      <c r="K5" s="57" t="n">
        <f aca="false">SUMIFS(PVLmontant,PVLcompte,$A5,PVLtitre,Retenu)</f>
        <v>3800.86041111754</v>
      </c>
      <c r="L5" s="58" t="n">
        <f aca="false">K5*cours_USD</f>
        <v>3282.042965</v>
      </c>
    </row>
    <row r="6" customFormat="false" ht="14.25" hidden="false" customHeight="true" outlineLevel="0" collapsed="false">
      <c r="A6" s="14" t="s">
        <v>69</v>
      </c>
      <c r="B6" s="51" t="s">
        <v>9</v>
      </c>
      <c r="C6" s="52" t="s">
        <v>12</v>
      </c>
      <c r="D6" s="53" t="s">
        <v>12</v>
      </c>
      <c r="E6" s="53" t="s">
        <v>68</v>
      </c>
      <c r="F6" s="54" t="s">
        <v>12</v>
      </c>
      <c r="G6" s="53" t="s">
        <v>21</v>
      </c>
      <c r="H6" s="55" t="n">
        <f aca="false">_xlfn.MAXIFS(OPdate,OPcompte,$A6,OPdevise,$E6,OPcatégorie,Solde,OPequiv_euro,"&lt;&gt;")</f>
        <v>45621</v>
      </c>
      <c r="I6" s="56" t="n">
        <f aca="false">SUMIFS(OPmontant,OPcompte,$A6,OPdevise,$E6,OPcatégorie,Solde,OPdate,$H6)</f>
        <v>3800</v>
      </c>
      <c r="J6" s="55" t="n">
        <f aca="false">_xlfn.MAXIFS(OPdate,OPcompte,$A6,OPdevise,$E6,OPcatégorie,Solde)</f>
        <v>46050</v>
      </c>
      <c r="K6" s="57" t="n">
        <f aca="false">SUMIFS(OPmontant,OPcompte,$A6,OPdevise,$E6,OPcatégorie,Solde,OPdate,$J6)</f>
        <v>72.98</v>
      </c>
      <c r="L6" s="58" t="n">
        <f aca="false">K6*cours_USD</f>
        <v>63.01823</v>
      </c>
    </row>
    <row r="7" customFormat="false" ht="14.25" hidden="false" customHeight="true" outlineLevel="0" collapsed="false">
      <c r="A7" s="14" t="s">
        <v>70</v>
      </c>
      <c r="B7" s="51" t="s">
        <v>10</v>
      </c>
      <c r="C7" s="52" t="s">
        <v>12</v>
      </c>
      <c r="D7" s="53" t="s">
        <v>12</v>
      </c>
      <c r="E7" s="53" t="s">
        <v>71</v>
      </c>
      <c r="F7" s="54" t="s">
        <v>12</v>
      </c>
      <c r="G7" s="53" t="s">
        <v>21</v>
      </c>
      <c r="H7" s="55" t="n">
        <f aca="false">_xlfn.MAXIFS(OPdate,OPcompte,$A7,OPdevise,$E7,OPcatégorie,Solde,OPequiv_euro,"&lt;&gt;")</f>
        <v>0</v>
      </c>
      <c r="I7" s="59" t="n">
        <f aca="false">SUMIFS(OPmontant,OPcompte,$A7,OPdevise,$E7,OPcatégorie,Solde,OPdate,$H7)</f>
        <v>0</v>
      </c>
      <c r="J7" s="55" t="n">
        <f aca="false">_xlfn.MAXIFS(OPdate,OPcompte,$A7,OPdevise,$E7,OPcatégorie,Solde)</f>
        <v>0</v>
      </c>
      <c r="K7" s="60" t="n">
        <f aca="false">SUMIFS(OPmontant,OPcompte,$A7,OPdevise,$E7,OPcatégorie,Solde,OPdate,$J7)</f>
        <v>0</v>
      </c>
      <c r="L7" s="58" t="n">
        <f aca="false">K7*cours_SAT</f>
        <v>0</v>
      </c>
    </row>
    <row r="8" customFormat="false" ht="14.25" hidden="false" customHeight="true" outlineLevel="0" collapsed="false">
      <c r="A8" s="14" t="s">
        <v>72</v>
      </c>
      <c r="B8" s="51" t="s">
        <v>6</v>
      </c>
      <c r="C8" s="52" t="s">
        <v>12</v>
      </c>
      <c r="D8" s="53" t="s">
        <v>12</v>
      </c>
      <c r="E8" s="53" t="s">
        <v>73</v>
      </c>
      <c r="F8" s="54" t="s">
        <v>12</v>
      </c>
      <c r="G8" s="53" t="s">
        <v>21</v>
      </c>
      <c r="H8" s="55" t="n">
        <f aca="false">_xlfn.MAXIFS(OPdate,OPcompte,$A8,OPdevise,$E8,OPcatégorie,Solde,OPequiv_euro,"&lt;&gt;")</f>
        <v>0</v>
      </c>
      <c r="I8" s="61" t="n">
        <f aca="false">SUMIFS(OPmontant,OPcompte,$A8,OPdevise,$E8,OPcatégorie,Solde,OPdate,$H8)</f>
        <v>0</v>
      </c>
      <c r="J8" s="55" t="n">
        <f aca="false">_xlfn.MAXIFS(OPdate,OPcompte,$A8,OPdevise,$E8,OPcatégorie,Solde)</f>
        <v>0</v>
      </c>
      <c r="K8" s="62" t="n">
        <f aca="false">SUMIFS(OPmontant,OPcompte,$A8,OPdevise,$E8,OPcatégorie,Solde,OPdate,$J8)</f>
        <v>0</v>
      </c>
      <c r="L8" s="58" t="n">
        <f aca="false">K8*cours_OrPr</f>
        <v>0</v>
      </c>
    </row>
    <row r="9" customFormat="false" ht="16.5" hidden="false" customHeight="true" outlineLevel="0" collapsed="false">
      <c r="A9" s="14" t="s">
        <v>4</v>
      </c>
      <c r="B9" s="52"/>
      <c r="C9" s="52"/>
      <c r="D9" s="53"/>
      <c r="E9" s="53"/>
      <c r="F9" s="53"/>
      <c r="G9" s="53"/>
      <c r="H9" s="53"/>
      <c r="I9" s="53"/>
      <c r="J9" s="55"/>
      <c r="K9" s="58"/>
      <c r="L9" s="58"/>
    </row>
    <row r="10" customFormat="false" ht="17.25" hidden="false" customHeight="true" outlineLevel="0" collapsed="false">
      <c r="A10" s="63" t="s">
        <v>44</v>
      </c>
      <c r="B10" s="63"/>
      <c r="C10" s="30"/>
      <c r="D10" s="64"/>
      <c r="E10" s="64"/>
      <c r="F10" s="65"/>
      <c r="G10" s="65"/>
      <c r="H10" s="65"/>
      <c r="I10" s="66"/>
      <c r="J10" s="66"/>
      <c r="K10" s="66"/>
      <c r="L10" s="66" t="n">
        <f aca="false">ROUND(SUM(AVRmontant_solde_euro),2)</f>
        <v>3345.06</v>
      </c>
    </row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>
      <c r="S45" s="67"/>
    </row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Neue,Regular"&amp;K000000Comptes</oddHeader>
    <oddFooter>&amp;L&amp;"Helvetica Neue,Regular"&amp;K000000Page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8" width="31.68"/>
    <col collapsed="false" customWidth="true" hidden="false" outlineLevel="0" max="6" min="6" style="68" width="15.77"/>
    <col collapsed="false" customWidth="true" hidden="false" outlineLevel="0" max="7" min="7" style="68" width="12.84"/>
    <col collapsed="false" customWidth="true" hidden="false" outlineLevel="0" max="8" min="8" style="68" width="11.12"/>
    <col collapsed="false" customWidth="true" hidden="false" outlineLevel="0" max="9" min="9" style="68" width="13.16"/>
    <col collapsed="false" customWidth="true" hidden="false" outlineLevel="0" max="10" min="10" style="68" width="37"/>
    <col collapsed="false" customWidth="false" hidden="false" outlineLevel="0" max="16366" min="29" style="68" width="10.83"/>
    <col collapsed="false" customWidth="true" hidden="false" outlineLevel="0" max="16384" min="16367" style="68" width="11.53"/>
  </cols>
  <sheetData>
    <row r="1" customFormat="false" ht="16.5" hidden="false" customHeight="true" outlineLevel="0" collapsed="false">
      <c r="A1" s="50" t="str">
        <f aca="false">Contrôles!K$30</f>
        <v>✓</v>
      </c>
      <c r="B1" s="12"/>
      <c r="C1" s="69" t="n">
        <f aca="false">C$2-365</f>
        <v>45826</v>
      </c>
      <c r="D1" s="69"/>
    </row>
    <row r="2" customFormat="false" ht="16.5" hidden="false" customHeight="true" outlineLevel="0" collapsed="false">
      <c r="A2" s="12"/>
      <c r="B2" s="12"/>
      <c r="C2" s="69" t="n">
        <f aca="true">TODAY()</f>
        <v>46191</v>
      </c>
      <c r="D2" s="69"/>
    </row>
    <row r="3" customFormat="false" ht="28.5" hidden="false" customHeight="true" outlineLevel="0" collapsed="false">
      <c r="A3" s="26" t="s">
        <v>74</v>
      </c>
      <c r="B3" s="26" t="s">
        <v>58</v>
      </c>
      <c r="C3" s="26" t="s">
        <v>75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76</v>
      </c>
      <c r="B5" s="54" t="s">
        <v>77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78</v>
      </c>
      <c r="B6" s="54" t="s">
        <v>77</v>
      </c>
      <c r="C6" s="16" t="n">
        <f aca="false">SUMIF(CATposte,A6,CATaffectation)</f>
        <v>-4.3175</v>
      </c>
      <c r="D6" s="16"/>
    </row>
    <row r="7" customFormat="false" ht="16.5" hidden="false" customHeight="true" outlineLevel="0" collapsed="false">
      <c r="A7" s="32" t="s">
        <v>4</v>
      </c>
      <c r="B7" s="54"/>
      <c r="C7" s="16"/>
      <c r="D7" s="16"/>
    </row>
    <row r="8" customFormat="false" ht="17.25" hidden="false" customHeight="true" outlineLevel="0" collapsed="false">
      <c r="A8" s="70" t="s">
        <v>79</v>
      </c>
      <c r="B8" s="63"/>
      <c r="C8" s="66" t="n">
        <f aca="false">SUM(POSTESmontant)</f>
        <v>-4.3175</v>
      </c>
      <c r="D8" s="71"/>
    </row>
    <row r="9" customFormat="false" ht="16.5" hidden="false" customHeight="true" outlineLevel="0" collapsed="false">
      <c r="A9" s="72" t="s">
        <v>80</v>
      </c>
      <c r="B9" s="73"/>
      <c r="C9" s="74" t="n">
        <f aca="false">SUMIF(POSTEStype,"Fixe",POSTESmontant)</f>
        <v>-4.3175</v>
      </c>
      <c r="D9" s="75"/>
    </row>
    <row r="10" customFormat="false" ht="17.25" hidden="false" customHeight="true" outlineLevel="0" collapsed="false">
      <c r="A10" s="72" t="s">
        <v>81</v>
      </c>
      <c r="B10" s="73"/>
      <c r="C10" s="74" t="n">
        <f aca="false">C$9/12</f>
        <v>-0.359791666666667</v>
      </c>
      <c r="D10" s="76"/>
    </row>
    <row r="11" customFormat="false" ht="16.5" hidden="false" customHeight="true" outlineLevel="0" collapsed="false">
      <c r="A11" s="72" t="s">
        <v>82</v>
      </c>
      <c r="B11" s="73"/>
      <c r="C11" s="74" t="n">
        <f aca="false">ROUND(C$8-I$29,2)</f>
        <v>0</v>
      </c>
      <c r="D11" s="77"/>
    </row>
    <row r="13" customFormat="false" ht="18.75" hidden="false" customHeight="true" outlineLevel="0" collapsed="false">
      <c r="E13" s="78" t="s">
        <v>39</v>
      </c>
      <c r="F13" s="78"/>
      <c r="G13" s="78"/>
      <c r="H13" s="78"/>
      <c r="I13" s="78"/>
      <c r="J13" s="78"/>
    </row>
    <row r="14" customFormat="false" ht="37.5" hidden="false" customHeight="true" outlineLevel="0" collapsed="false">
      <c r="E14" s="79" t="s">
        <v>83</v>
      </c>
      <c r="F14" s="80" t="s">
        <v>84</v>
      </c>
      <c r="G14" s="26" t="s">
        <v>85</v>
      </c>
      <c r="H14" s="50" t="s">
        <v>86</v>
      </c>
      <c r="I14" s="26" t="s">
        <v>87</v>
      </c>
      <c r="J14" s="26" t="s">
        <v>74</v>
      </c>
    </row>
    <row r="15" customFormat="false" ht="15" hidden="false" customHeight="true" outlineLevel="0" collapsed="false">
      <c r="E15" s="79" t="s">
        <v>88</v>
      </c>
      <c r="F15" s="81" t="n">
        <f aca="false">INDEX(COTcours,MATCH($F$14,COTcode,0))</f>
        <v>1</v>
      </c>
      <c r="G15" s="12"/>
      <c r="H15" s="82"/>
      <c r="I15" s="83"/>
      <c r="J15" s="83"/>
    </row>
    <row r="16" customFormat="false" ht="15" hidden="false" customHeight="true" outlineLevel="0" collapsed="false">
      <c r="E16" s="32" t="s">
        <v>4</v>
      </c>
      <c r="F16" s="16"/>
      <c r="G16" s="16"/>
      <c r="H16" s="84"/>
      <c r="I16" s="16"/>
      <c r="J16" s="85"/>
    </row>
    <row r="17" customFormat="false" ht="16.5" hidden="false" customHeight="true" outlineLevel="0" collapsed="false">
      <c r="E17" s="32" t="s">
        <v>89</v>
      </c>
      <c r="F17" s="16" t="n">
        <f aca="false">SUMIFS(OPmontant,OPdevise,F$14,OPcatégorie,$E17,OPdate,"&gt;"&amp;$C$2-365)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84"/>
      <c r="I17" s="16"/>
      <c r="J17" s="85"/>
    </row>
    <row r="18" customFormat="false" ht="16.5" hidden="false" customHeight="true" outlineLevel="0" collapsed="false">
      <c r="E18" s="32" t="s">
        <v>90</v>
      </c>
      <c r="F18" s="16" t="n">
        <f aca="false">SUMIFS(OPmontant,OPdevise,F$14,OPcatégorie,$E18,OPdate,"&gt;"&amp;$C$2-365)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84"/>
      <c r="I18" s="16"/>
      <c r="J18" s="85"/>
    </row>
    <row r="19" customFormat="false" ht="16.5" hidden="false" customHeight="true" outlineLevel="0" collapsed="false">
      <c r="E19" s="32" t="s">
        <v>91</v>
      </c>
      <c r="F19" s="16" t="n">
        <f aca="false">SUMIFS(OPmontant,OPdevise,F$14,OPcatégorie,$E19,OPdate,"&gt;"&amp;$C$2-365)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92</v>
      </c>
      <c r="F20" s="16" t="n">
        <f aca="false">SUMIFS(OPmontant,OPdevise,F$14,OPcatégorie,$E20,OPdate,"&gt;"&amp;$C$2-365)</f>
        <v>2105.43</v>
      </c>
      <c r="G20" s="16" t="n">
        <f aca="false">SUMPRODUCT(SUMIFS(OPmontant,OPcatégorie,$E20,OPdate,"&gt;"&amp;$C$2-365,OPdevise,COTcode)*COTcours)</f>
        <v>-46.4033650000001</v>
      </c>
      <c r="H20" s="16"/>
      <c r="I20" s="16"/>
      <c r="J20" s="51"/>
    </row>
    <row r="21" customFormat="false" ht="16.5" hidden="false" customHeight="true" outlineLevel="0" collapsed="false">
      <c r="E21" s="32" t="s">
        <v>93</v>
      </c>
      <c r="F21" s="16" t="n">
        <f aca="false">SUMIFS(OPmontant,OPdevise,F$14,OPcatégorie,$E21,OPdate,"&gt;"&amp;$C$2-365)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16"/>
      <c r="I21" s="16"/>
      <c r="J21" s="51"/>
    </row>
    <row r="22" customFormat="false" ht="16.5" hidden="false" customHeight="true" outlineLevel="0" collapsed="false">
      <c r="E22" s="32" t="s">
        <v>94</v>
      </c>
      <c r="F22" s="16" t="n">
        <f aca="false">SUMIFS(OPmontant,OPdevise,F$14,OPcatégorie,$E22,OPdate,"&gt;"&amp;$C$2-365)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4"/>
      <c r="I22" s="16"/>
      <c r="J22" s="85"/>
    </row>
    <row r="23" customFormat="false" ht="16.5" hidden="false" customHeight="true" outlineLevel="0" collapsed="false">
      <c r="E23" s="32" t="s">
        <v>12</v>
      </c>
      <c r="F23" s="16" t="n">
        <f aca="false">SUMIFS(OPmontant,OPdevise,F$14,OPcatégorie,$E23,OPdate,"&gt;"&amp;$C$2-365)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86" t="n">
        <v>1</v>
      </c>
      <c r="I23" s="16" t="n">
        <f aca="false">G23*H23</f>
        <v>0</v>
      </c>
      <c r="J23" s="51" t="s">
        <v>76</v>
      </c>
    </row>
    <row r="24" customFormat="false" ht="16.5" hidden="false" customHeight="true" outlineLevel="0" collapsed="false">
      <c r="E24" s="32" t="s">
        <v>95</v>
      </c>
      <c r="F24" s="16" t="n">
        <f aca="false">SUMIFS(OPmontant,OPdevise,F$14,OPcatégorie,$E24,OPdate,"&gt;"&amp;$C$2-365)</f>
        <v>0</v>
      </c>
      <c r="G24" s="16" t="n">
        <f aca="false">SUMPRODUCT(SUMIFS(OPmontant,OPcatégorie,$E24,OPdate,"&gt;"&amp;$C$2-365,OPdevise,COTcode)*COTcours)</f>
        <v>-4.3175</v>
      </c>
      <c r="H24" s="86" t="n">
        <v>1</v>
      </c>
      <c r="I24" s="16" t="n">
        <f aca="false">G24*H24</f>
        <v>-4.3175</v>
      </c>
      <c r="J24" s="51" t="s">
        <v>78</v>
      </c>
    </row>
    <row r="25" customFormat="false" ht="17.25" hidden="false" customHeight="true" outlineLevel="0" collapsed="false">
      <c r="E25" s="32" t="s">
        <v>4</v>
      </c>
      <c r="F25" s="16"/>
      <c r="G25" s="16"/>
      <c r="H25" s="16"/>
      <c r="I25" s="16"/>
      <c r="J25" s="51"/>
    </row>
    <row r="26" customFormat="false" ht="19.5" hidden="false" customHeight="true" outlineLevel="0" collapsed="false">
      <c r="E26" s="70" t="s">
        <v>44</v>
      </c>
      <c r="F26" s="66" t="n">
        <f aca="false">SUM(CATmontant)</f>
        <v>2105.43</v>
      </c>
      <c r="G26" s="66" t="n">
        <f aca="false">SUM(CATtotal_euro)</f>
        <v>-50.7208650000001</v>
      </c>
      <c r="H26" s="87"/>
      <c r="I26" s="66"/>
      <c r="J26" s="87"/>
    </row>
    <row r="27" customFormat="false" ht="18" hidden="false" customHeight="true" outlineLevel="0" collapsed="false">
      <c r="E27" s="72" t="s">
        <v>96</v>
      </c>
      <c r="F27" s="74" t="n">
        <f aca="false">SUMIFS(OPmontant,OPdevise,F$14,OPdate,"&gt;"&amp;$C$2-365,OPcatégorie,"&lt;&gt;"&amp;Spéciale)</f>
        <v>2105.43</v>
      </c>
      <c r="G27" s="74" t="n">
        <f aca="false">SUMPRODUCT(SUMIFS(OPmontant,OPdate,"&gt;"&amp;$C$2-365,OPcatégorie,"&lt;&gt;"&amp;Spéciale,OPdevise,COTcode)*COTcours)</f>
        <v>-50.7208650000002</v>
      </c>
      <c r="H27" s="88"/>
      <c r="I27" s="74"/>
      <c r="J27" s="88"/>
    </row>
    <row r="28" customFormat="false" ht="16.5" hidden="false" customHeight="true" outlineLevel="0" collapsed="false">
      <c r="E28" s="72" t="s">
        <v>97</v>
      </c>
      <c r="F28" s="74" t="n">
        <f aca="false">ROUND(F$26-F$27,2)</f>
        <v>0</v>
      </c>
      <c r="G28" s="74" t="n">
        <f aca="false">ROUND(G$26-G$27,2)</f>
        <v>0</v>
      </c>
      <c r="H28" s="88"/>
      <c r="I28" s="74"/>
      <c r="J28" s="88"/>
    </row>
    <row r="29" customFormat="false" ht="21.75" hidden="false" customHeight="true" outlineLevel="0" collapsed="false">
      <c r="E29" s="72" t="s">
        <v>98</v>
      </c>
      <c r="F29" s="74" t="n">
        <f aca="false">SUMIFS(CATmontant,CATnom,"&lt;&gt;@*")</f>
        <v>0</v>
      </c>
      <c r="G29" s="74" t="n">
        <f aca="false">SUMIFS(CATtotal_euro,CATnom,"&lt;&gt;@*")</f>
        <v>-4.3175</v>
      </c>
      <c r="H29" s="88"/>
      <c r="I29" s="74" t="n">
        <f aca="false">SUMIFS(CATaffectation,CATnom,"&lt;&gt;@*")</f>
        <v>-4.3175</v>
      </c>
      <c r="J29" s="88"/>
    </row>
    <row r="30" customFormat="false" ht="16.5" hidden="false" customHeight="true" outlineLevel="0" collapsed="false">
      <c r="E30" s="72" t="s">
        <v>99</v>
      </c>
      <c r="F30" s="74" t="n">
        <f aca="false">F$29*INDEX(COTcours,MATCH($F$14,COTcode,0))</f>
        <v>0</v>
      </c>
      <c r="G30" s="74" t="n">
        <f aca="false">SUM(F$30)</f>
        <v>0</v>
      </c>
      <c r="H30" s="88"/>
      <c r="I30" s="74"/>
      <c r="J30" s="88"/>
    </row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E13:J13"/>
  </mergeCells>
  <conditionalFormatting sqref="I29">
    <cfRule type="cellIs" priority="2" operator="notEqual" aboveAverage="0" equalAverage="0" bottom="0" percent="0" rank="0" text="" dxfId="3">
      <formula>$G$29</formula>
    </cfRule>
    <cfRule type="cellIs" priority="3" operator="notEqual" aboveAverage="0" equalAverage="0" bottom="0" percent="0" rank="0" text="" dxfId="3">
      <formula>$G$29</formula>
    </cfRule>
  </conditionalFormatting>
  <conditionalFormatting sqref="C11 G28">
    <cfRule type="cellIs" priority="4" operator="notEqual" aboveAverage="0" equalAverage="0" bottom="0" percent="0" rank="0" text="" dxfId="4">
      <formula>0</formula>
    </cfRule>
  </conditionalFormatting>
  <conditionalFormatting sqref="H23:H2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7:F24">
    <cfRule type="expression" priority="8" aboveAverage="0" equalAverage="0" bottom="0" percent="0" rank="0" text="" dxfId="6">
      <formula>$F$14="EUR"</formula>
    </cfRule>
    <cfRule type="expression" priority="9" aboveAverage="0" equalAverage="0" bottom="0" percent="0" rank="0" text="" dxfId="7">
      <formula>$F$14="USD"</formula>
    </cfRule>
    <cfRule type="expression" priority="10" aboveAverage="0" equalAverage="0" bottom="0" percent="0" rank="0" text="" dxfId="8">
      <formula>$F$14="XAU"</formula>
    </cfRule>
    <cfRule type="expression" priority="11" aboveAverage="0" equalAverage="0" bottom="0" percent="0" rank="0" text="" dxfId="9">
      <formula>$F$14="OrPr"</formula>
    </cfRule>
    <cfRule type="expression" priority="12" aboveAverage="0" equalAverage="0" bottom="0" percent="0" rank="0" text="" dxfId="10">
      <formula>$F$14="BTC"</formula>
    </cfRule>
    <cfRule type="expression" priority="13" aboveAverage="0" equalAverage="0" bottom="0" percent="0" rank="0" text="" dxfId="11">
      <formula>$F$14="SAT"</formula>
    </cfRule>
  </conditionalFormatting>
  <conditionalFormatting sqref="F26:F29">
    <cfRule type="expression" priority="14" aboveAverage="0" equalAverage="0" bottom="0" percent="0" rank="0" text="" dxfId="6">
      <formula>$F$14="EUR"</formula>
    </cfRule>
    <cfRule type="expression" priority="15" aboveAverage="0" equalAverage="0" bottom="0" percent="0" rank="0" text="" dxfId="12">
      <formula>$F$14="USD"</formula>
    </cfRule>
    <cfRule type="expression" priority="16" aboveAverage="0" equalAverage="0" bottom="0" percent="0" rank="0" text="" dxfId="13">
      <formula>$F$14="XAU"</formula>
    </cfRule>
    <cfRule type="expression" priority="17" aboveAverage="0" equalAverage="0" bottom="0" percent="0" rank="0" text="" dxfId="14">
      <formula>$F$14="OrPr"</formula>
    </cfRule>
    <cfRule type="expression" priority="18" aboveAverage="0" equalAverage="0" bottom="0" percent="0" rank="0" text="" dxfId="15">
      <formula>$F$14="BTC"</formula>
    </cfRule>
    <cfRule type="expression" priority="19" aboveAverage="0" equalAverage="0" bottom="0" percent="0" rank="0" text="" dxfId="16">
      <formula>$F$14="SAT"</formula>
    </cfRule>
  </conditionalFormatting>
  <dataValidations count="1">
    <dataValidation allowBlank="true" errorStyle="stop" operator="equal" showDropDown="false" showErrorMessage="true" showInputMessage="false" sqref="F14" type="list">
      <formula1>Cotations!$E$4:$E$9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zeroHeight="false" outlineLevelRow="0" outlineLevelCol="0"/>
  <cols>
    <col collapsed="false" customWidth="true" hidden="false" outlineLevel="0" max="1" min="1" style="68" width="25.15"/>
    <col collapsed="false" customWidth="true" hidden="false" outlineLevel="0" max="2" min="2" style="68" width="31.42"/>
    <col collapsed="false" customWidth="true" hidden="false" outlineLevel="0" max="3" min="3" style="68" width="28.57"/>
    <col collapsed="false" customWidth="true" hidden="false" outlineLevel="0" max="4" min="4" style="68" width="15.09"/>
    <col collapsed="false" customWidth="true" hidden="false" outlineLevel="0" max="5" min="5" style="89" width="17.62"/>
    <col collapsed="false" customWidth="true" hidden="false" outlineLevel="0" max="6" min="6" style="68" width="13.67"/>
    <col collapsed="false" customWidth="true" hidden="false" outlineLevel="0" max="7" min="7" style="89" width="9.16"/>
    <col collapsed="false" customWidth="true" hidden="false" outlineLevel="0" max="8" min="8" style="68" width="15.66"/>
    <col collapsed="false" customWidth="true" hidden="false" outlineLevel="0" max="9" min="9" style="68" width="17.74"/>
    <col collapsed="false" customWidth="true" hidden="false" outlineLevel="0" max="10" min="10" style="68" width="15.66"/>
    <col collapsed="false" customWidth="true" hidden="false" outlineLevel="0" max="11" min="11" style="89" width="17.74"/>
    <col collapsed="false" customWidth="true" hidden="false" outlineLevel="0" max="12" min="12" style="89" width="13.67"/>
    <col collapsed="false" customWidth="false" hidden="false" outlineLevel="0" max="16379" min="13" style="68" width="13.16"/>
    <col collapsed="false" customWidth="true" hidden="false" outlineLevel="0" max="16384" min="16380" style="68" width="11.53"/>
  </cols>
  <sheetData>
    <row r="1" customFormat="false" ht="16.5" hidden="false" customHeight="true" outlineLevel="0" collapsed="false">
      <c r="A1" s="79" t="str">
        <f aca="false">Contrôles!$K30</f>
        <v>✓</v>
      </c>
      <c r="B1" s="46" t="s">
        <v>100</v>
      </c>
      <c r="C1" s="12"/>
      <c r="D1" s="79"/>
      <c r="E1" s="12"/>
      <c r="F1" s="79"/>
      <c r="G1" s="12"/>
      <c r="H1" s="12"/>
      <c r="I1" s="12"/>
      <c r="J1" s="79"/>
      <c r="K1" s="79"/>
    </row>
    <row r="2" customFormat="false" ht="16.5" hidden="false" customHeight="true" outlineLevel="0" collapsed="false">
      <c r="A2" s="46"/>
      <c r="B2" s="46" t="s">
        <v>101</v>
      </c>
      <c r="C2" s="46"/>
      <c r="D2" s="79"/>
      <c r="E2" s="12"/>
      <c r="F2" s="79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IF(OR(ISERROR(E28),ISERROR(K28)),"✗","✓")</f>
        <v>✓</v>
      </c>
      <c r="C3" s="46"/>
      <c r="D3" s="79"/>
      <c r="E3" s="11" t="n">
        <f aca="false">E28</f>
        <v>-681.010615</v>
      </c>
      <c r="F3" s="79"/>
      <c r="G3" s="90" t="n">
        <f aca="false">G28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91" t="s">
        <v>102</v>
      </c>
      <c r="B4" s="26" t="s">
        <v>48</v>
      </c>
      <c r="C4" s="26" t="s">
        <v>103</v>
      </c>
      <c r="D4" s="26" t="s">
        <v>61</v>
      </c>
      <c r="E4" s="92" t="s">
        <v>104</v>
      </c>
      <c r="F4" s="26" t="s">
        <v>105</v>
      </c>
      <c r="G4" s="50" t="s">
        <v>106</v>
      </c>
      <c r="H4" s="26" t="s">
        <v>107</v>
      </c>
      <c r="I4" s="93" t="s">
        <v>108</v>
      </c>
      <c r="J4" s="50" t="s">
        <v>109</v>
      </c>
      <c r="K4" s="93" t="s">
        <v>110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94" t="s">
        <v>111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94" t="s">
        <v>112</v>
      </c>
      <c r="B8" s="51" t="s">
        <v>67</v>
      </c>
      <c r="C8" s="51" t="s">
        <v>46</v>
      </c>
      <c r="D8" s="51"/>
      <c r="E8" s="95"/>
      <c r="F8" s="51"/>
      <c r="G8" s="96"/>
      <c r="H8" s="97"/>
      <c r="I8" s="97"/>
      <c r="J8" s="96"/>
      <c r="K8" s="95"/>
    </row>
    <row r="9" customFormat="false" ht="16.5" hidden="false" customHeight="true" outlineLevel="0" collapsed="false">
      <c r="A9" s="94" t="s">
        <v>112</v>
      </c>
      <c r="B9" s="51" t="s">
        <v>67</v>
      </c>
      <c r="C9" s="51" t="s">
        <v>113</v>
      </c>
      <c r="D9" s="51" t="s">
        <v>68</v>
      </c>
      <c r="E9" s="98" t="n">
        <f aca="false">K9-(H9+I9)</f>
        <v>12.62</v>
      </c>
      <c r="F9" s="51"/>
      <c r="G9" s="96" t="n">
        <v>0</v>
      </c>
      <c r="H9" s="99" t="n">
        <v>0</v>
      </c>
      <c r="I9" s="99" t="n">
        <f aca="false">SUMIFS(OPmontant,OPcompte,$B9,OPdevise,$D9,OPcatégorie,"&lt;&gt;"&amp;Spéciale,OPlibellé,$C9,OPdate,"&gt;="&amp;$G9)</f>
        <v>0</v>
      </c>
      <c r="J9" s="100" t="n">
        <v>46191</v>
      </c>
      <c r="K9" s="101" t="n">
        <v>12.62</v>
      </c>
    </row>
    <row r="10" customFormat="false" ht="16.5" hidden="false" customHeight="true" outlineLevel="0" collapsed="false">
      <c r="A10" s="94" t="s">
        <v>112</v>
      </c>
      <c r="B10" s="51" t="s">
        <v>67</v>
      </c>
      <c r="C10" s="51" t="s">
        <v>114</v>
      </c>
      <c r="D10" s="51" t="s">
        <v>68</v>
      </c>
      <c r="E10" s="98" t="n">
        <f aca="false">K10-(H10+I10)</f>
        <v>-30.03</v>
      </c>
      <c r="F10" s="51"/>
      <c r="G10" s="96" t="n">
        <v>0</v>
      </c>
      <c r="H10" s="99" t="n">
        <v>0</v>
      </c>
      <c r="I10" s="99" t="n">
        <f aca="false">SUMIFS(OPmontant,OPcompte,$B10,OPdevise,$D10,OPcatégorie,"&lt;&gt;"&amp;Spéciale,OPlibellé,$C10,OPdate,"&gt;="&amp;$G10)</f>
        <v>30.03</v>
      </c>
      <c r="J10" s="100" t="n">
        <v>46191</v>
      </c>
      <c r="K10" s="101" t="n">
        <v>0</v>
      </c>
    </row>
    <row r="11" customFormat="false" ht="16.5" hidden="false" customHeight="true" outlineLevel="0" collapsed="false">
      <c r="A11" s="94" t="s">
        <v>112</v>
      </c>
      <c r="B11" s="51" t="s">
        <v>67</v>
      </c>
      <c r="C11" s="51" t="s">
        <v>115</v>
      </c>
      <c r="D11" s="51" t="s">
        <v>68</v>
      </c>
      <c r="E11" s="98" t="n">
        <f aca="false">K11-(H11+I11)</f>
        <v>-413.02</v>
      </c>
      <c r="F11" s="51"/>
      <c r="G11" s="96" t="n">
        <v>0</v>
      </c>
      <c r="H11" s="99" t="n">
        <v>0</v>
      </c>
      <c r="I11" s="99" t="n">
        <f aca="false">SUMIFS(OPmontant,OPcompte,$B11,OPdevise,$D11,OPcatégorie,"&lt;&gt;"&amp;Spéciale,OPlibellé,$C11,OPdate,"&gt;="&amp;$G11)</f>
        <v>1000</v>
      </c>
      <c r="J11" s="100" t="n">
        <v>46191</v>
      </c>
      <c r="K11" s="101" t="n">
        <v>586.98</v>
      </c>
    </row>
    <row r="12" customFormat="false" ht="16.5" hidden="false" customHeight="true" outlineLevel="0" collapsed="false">
      <c r="A12" s="94" t="s">
        <v>112</v>
      </c>
      <c r="B12" s="51" t="s">
        <v>67</v>
      </c>
      <c r="C12" s="51" t="s">
        <v>116</v>
      </c>
      <c r="D12" s="51" t="s">
        <v>84</v>
      </c>
      <c r="E12" s="102" t="n">
        <f aca="false">K12-(H12+I12)</f>
        <v>501.71</v>
      </c>
      <c r="F12" s="51"/>
      <c r="G12" s="96" t="n">
        <v>0</v>
      </c>
      <c r="H12" s="103" t="n">
        <v>0</v>
      </c>
      <c r="I12" s="103" t="n">
        <f aca="false">SUMIFS(OPmontant,OPcompte,$B12,OPdevise,$D12,OPcatégorie,"&lt;&gt;"&amp;Spéciale,OPlibellé,$C12,OPdate,"&gt;="&amp;$G12)</f>
        <v>2105.43</v>
      </c>
      <c r="J12" s="100" t="n">
        <v>46191</v>
      </c>
      <c r="K12" s="104" t="n">
        <v>2607.14</v>
      </c>
    </row>
    <row r="13" customFormat="false" ht="16.5" hidden="false" customHeight="true" outlineLevel="0" collapsed="false">
      <c r="A13" s="94" t="s">
        <v>112</v>
      </c>
      <c r="B13" s="51" t="s">
        <v>67</v>
      </c>
      <c r="C13" s="51" t="s">
        <v>117</v>
      </c>
      <c r="D13" s="51" t="s">
        <v>68</v>
      </c>
      <c r="E13" s="98" t="n">
        <f aca="false">K13-(H13+I13)</f>
        <v>-18.01</v>
      </c>
      <c r="F13" s="51"/>
      <c r="G13" s="96" t="n">
        <v>0</v>
      </c>
      <c r="H13" s="99" t="n">
        <v>0</v>
      </c>
      <c r="I13" s="99" t="n">
        <f aca="false">SUMIFS(OPmontant,OPcompte,$B13,OPdevise,$D13,OPcatégorie,"&lt;&gt;"&amp;Spéciale,OPlibellé,$C13,OPdate,"&gt;="&amp;$G13)</f>
        <v>200</v>
      </c>
      <c r="J13" s="100" t="n">
        <v>46191</v>
      </c>
      <c r="K13" s="101" t="n">
        <v>181.99</v>
      </c>
    </row>
    <row r="14" customFormat="false" ht="16.5" hidden="false" customHeight="true" outlineLevel="0" collapsed="false">
      <c r="A14" s="94" t="s">
        <v>112</v>
      </c>
      <c r="B14" s="32" t="s">
        <v>67</v>
      </c>
      <c r="C14" s="32" t="s">
        <v>44</v>
      </c>
      <c r="D14" s="32" t="s">
        <v>68</v>
      </c>
      <c r="E14" s="105" t="n">
        <f aca="false">K14-(H14+I14)</f>
        <v>132.579108280255</v>
      </c>
      <c r="F14" s="32"/>
      <c r="G14" s="106" t="n">
        <f aca="false">MIN(G9:G13)</f>
        <v>0</v>
      </c>
      <c r="H14" s="107" t="n">
        <f aca="false">SUMPRODUCT(H9:H13*IFERROR(INDEX(COTcours,MATCH(D9:D13,COTcode,0)),1))/IFERROR(INDEX(COTcours,MATCH(D14,COTcode,0)),1)</f>
        <v>0</v>
      </c>
      <c r="I14" s="107" t="n">
        <f aca="false">SUMPRODUCT(I9:I13*IFERROR(INDEX(COTcours,MATCH(D9:D13,COTcode,0)),1))/IFERROR(INDEX(COTcours,MATCH(D14,COTcode,0)),1)</f>
        <v>3668.28130283729</v>
      </c>
      <c r="J14" s="106" t="n">
        <f aca="false">J13</f>
        <v>46191</v>
      </c>
      <c r="K14" s="105" t="n">
        <f aca="false">SUMPRODUCT(K9:K13*IFERROR(INDEX(COTcours,MATCH(D9:D13,COTcode,0)),1))/IFERROR(INDEX(COTcours,MATCH(D14,COTcode,0)),1)</f>
        <v>3800.86041111754</v>
      </c>
    </row>
    <row r="15" customFormat="false" ht="16.5" hidden="false" customHeight="true" outlineLevel="0" collapsed="false">
      <c r="A15" s="94" t="s">
        <v>112</v>
      </c>
      <c r="B15" s="32" t="s">
        <v>67</v>
      </c>
      <c r="C15" s="32" t="s">
        <v>118</v>
      </c>
      <c r="D15" s="32" t="s">
        <v>68</v>
      </c>
      <c r="E15" s="105" t="n">
        <f aca="false">K15-(H15+I15)</f>
        <v>-3668.28130283729</v>
      </c>
      <c r="F15" s="32"/>
      <c r="G15" s="106" t="n">
        <f aca="false">_xlfn.MINIFS(OPdate,OPcompte,$B15,OPdevise,D15,OPcatégorie,Solde)</f>
        <v>46050</v>
      </c>
      <c r="H15" s="107" t="n">
        <f aca="false">SUMIFS(OPmontant,OPcompte,$B15,OPdevise,$D15,OPdate,$G15,OPcatégorie,Solde)</f>
        <v>1230.03</v>
      </c>
      <c r="I15" s="107" t="n">
        <f aca="false">I14</f>
        <v>3668.28130283729</v>
      </c>
      <c r="J15" s="106" t="n">
        <f aca="false">_xlfn.MAXIFS(OPdate,OPcompte,$B15,OPdevise,$D15,OPcatégorie,Solde)</f>
        <v>46050</v>
      </c>
      <c r="K15" s="105" t="n">
        <f aca="false">SUMIFS(OPmontant,OPcompte,$B15,OPdevise,$D15,OPcatégorie,Solde,OPdate,J15)</f>
        <v>1230.03</v>
      </c>
    </row>
    <row r="16" customFormat="false" ht="16.5" hidden="false" customHeight="true" outlineLevel="0" collapsed="false">
      <c r="A16" s="94" t="s">
        <v>112</v>
      </c>
      <c r="B16" s="32" t="s">
        <v>67</v>
      </c>
      <c r="C16" s="32" t="s">
        <v>49</v>
      </c>
      <c r="D16" s="32" t="s">
        <v>68</v>
      </c>
      <c r="E16" s="105" t="n">
        <f aca="false">K16-(H16+I16)</f>
        <v>-1097.45089171975</v>
      </c>
      <c r="F16" s="32"/>
      <c r="G16" s="106" t="n">
        <f aca="false">G15</f>
        <v>46050</v>
      </c>
      <c r="H16" s="107" t="n">
        <f aca="false">H15</f>
        <v>1230.03</v>
      </c>
      <c r="I16" s="107" t="n">
        <f aca="false">I15</f>
        <v>3668.28130283729</v>
      </c>
      <c r="J16" s="106" t="n">
        <f aca="false">IF(J14&gt;J15,J14,J15)</f>
        <v>46191</v>
      </c>
      <c r="K16" s="105" t="n">
        <f aca="false">IF(J14&gt;J15,K14,K15)</f>
        <v>3800.86041111754</v>
      </c>
    </row>
    <row r="17" customFormat="false" ht="16.5" hidden="false" customHeight="true" outlineLevel="0" collapsed="false">
      <c r="A17" s="32"/>
      <c r="B17" s="51"/>
      <c r="C17" s="51"/>
      <c r="D17" s="51"/>
      <c r="E17" s="51"/>
      <c r="F17" s="51"/>
      <c r="G17" s="51"/>
      <c r="H17" s="51"/>
      <c r="I17" s="51"/>
      <c r="J17" s="51"/>
      <c r="K17" s="51"/>
    </row>
    <row r="18" customFormat="false" ht="16.5" hidden="false" customHeight="true" outlineLevel="0" collapsed="false">
      <c r="A18" s="94" t="s">
        <v>119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</row>
    <row r="19" customFormat="false" ht="16.5" hidden="false" customHeight="true" outlineLevel="0" collapsed="false">
      <c r="A19" s="94" t="s">
        <v>120</v>
      </c>
      <c r="B19" s="51" t="s">
        <v>72</v>
      </c>
      <c r="C19" s="51"/>
      <c r="D19" s="51" t="s">
        <v>73</v>
      </c>
      <c r="E19" s="102" t="n">
        <f aca="false">K19-(H19+I19)</f>
        <v>0</v>
      </c>
      <c r="F19" s="51"/>
      <c r="G19" s="96" t="n">
        <f aca="false">_xlfn.MAXIFS(OPdate,OPcompte,B19,OPdevise,D19,OPcatégorie,Solde,OPequiv_euro,"&lt;&gt;")</f>
        <v>0</v>
      </c>
      <c r="H19" s="103" t="n">
        <f aca="false">SUMIFS(OPequiv_euro,OPcompte,B19,OPdevise,D19,OPcatégorie,Solde,OPdate,G19)</f>
        <v>0</v>
      </c>
      <c r="I19" s="103" t="n">
        <f aca="false">SUMIFS(OPequiv_euro,OPcompte,B19,OPdevise,D19,OPcatégorie,"&lt;&gt;"&amp;Spéciale,OPdate,"&gt;="&amp;G19)</f>
        <v>0</v>
      </c>
      <c r="J19" s="96" t="n">
        <f aca="false">SUMIF(AVRintitulé,$B19,AVRdate_solde)</f>
        <v>0</v>
      </c>
      <c r="K19" s="102" t="n">
        <f aca="false">SUMIF(AVRintitulé,$B19,AVRmontant_solde_euro)</f>
        <v>0</v>
      </c>
    </row>
    <row r="20" customFormat="false" ht="16.5" hidden="false" customHeight="true" outlineLevel="0" collapsed="false">
      <c r="A20" s="32"/>
      <c r="B20" s="51"/>
      <c r="C20" s="51"/>
      <c r="D20" s="51"/>
      <c r="E20" s="51"/>
      <c r="F20" s="51"/>
      <c r="G20" s="51"/>
      <c r="H20" s="51"/>
      <c r="I20" s="51"/>
      <c r="J20" s="51"/>
      <c r="K20" s="51"/>
    </row>
    <row r="21" customFormat="false" ht="16.5" hidden="false" customHeight="true" outlineLevel="0" collapsed="false">
      <c r="A21" s="94" t="s">
        <v>121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</row>
    <row r="22" customFormat="false" ht="16.5" hidden="false" customHeight="true" outlineLevel="0" collapsed="false">
      <c r="A22" s="94" t="s">
        <v>122</v>
      </c>
      <c r="B22" s="51" t="s">
        <v>70</v>
      </c>
      <c r="C22" s="51"/>
      <c r="D22" s="51" t="s">
        <v>71</v>
      </c>
      <c r="E22" s="102" t="n">
        <f aca="false">K22-(H22+I22)</f>
        <v>0</v>
      </c>
      <c r="F22" s="51"/>
      <c r="G22" s="96" t="n">
        <f aca="false">_xlfn.MAXIFS(OPdate,OPcompte,B22,OPdevise,D22,OPcatégorie,Solde,OPequiv_euro,"&lt;&gt;")</f>
        <v>0</v>
      </c>
      <c r="H22" s="103" t="n">
        <f aca="false">SUMIFS(OPequiv_euro,OPcompte,B22,OPdevise,D22,OPcatégorie,Solde,OPdate,G22)</f>
        <v>0</v>
      </c>
      <c r="I22" s="103" t="n">
        <f aca="false">SUMIFS(OPequiv_euro,OPcompte,B22,OPdevise,D22,OPcatégorie,"&lt;&gt;"&amp;Spéciale,OPdate,"&gt;="&amp;G22)</f>
        <v>0</v>
      </c>
      <c r="J22" s="96" t="n">
        <f aca="false">SUMIF(AVRintitulé,$B22,AVRdate_solde)</f>
        <v>0</v>
      </c>
      <c r="K22" s="102" t="n">
        <f aca="false">SUMIF(AVRintitulé,$B22,AVRmontant_solde_euro)</f>
        <v>0</v>
      </c>
    </row>
    <row r="23" customFormat="false" ht="16.5" hidden="false" customHeight="true" outlineLevel="0" collapsed="false">
      <c r="A23" s="32"/>
      <c r="B23" s="51"/>
      <c r="C23" s="51"/>
      <c r="D23" s="51"/>
      <c r="E23" s="51"/>
      <c r="F23" s="51"/>
      <c r="G23" s="51"/>
      <c r="H23" s="51"/>
      <c r="I23" s="51"/>
      <c r="J23" s="51"/>
      <c r="K23" s="51"/>
    </row>
    <row r="24" customFormat="false" ht="16.5" hidden="false" customHeight="true" outlineLevel="0" collapsed="false">
      <c r="A24" s="94" t="s">
        <v>123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</row>
    <row r="25" customFormat="false" ht="16.5" hidden="false" customHeight="true" outlineLevel="0" collapsed="false">
      <c r="A25" s="94" t="s">
        <v>124</v>
      </c>
      <c r="B25" s="51" t="s">
        <v>69</v>
      </c>
      <c r="C25" s="51"/>
      <c r="D25" s="51" t="s">
        <v>68</v>
      </c>
      <c r="E25" s="102" t="n">
        <f aca="false">K25-(H25+I25)</f>
        <v>266.63823</v>
      </c>
      <c r="F25" s="51"/>
      <c r="G25" s="96" t="n">
        <f aca="false">_xlfn.MAXIFS(OPdate,OPcompte,B25,OPdevise,D25,OPcatégorie,Solde,OPequiv_euro,"&lt;&gt;")</f>
        <v>45621</v>
      </c>
      <c r="H25" s="103" t="n">
        <f aca="false">SUMIFS(OPequiv_euro,OPcompte,B25,OPdevise,D25,OPcatégorie,Solde,OPdate,G25)</f>
        <v>3281.3</v>
      </c>
      <c r="I25" s="103" t="n">
        <f aca="false">SUMIFS(OPequiv_euro,OPcompte,B25,OPdevise,D25,OPcatégorie,"&lt;&gt;"&amp;Spéciale,OPdate,"&gt;="&amp;G25)</f>
        <v>-3484.92</v>
      </c>
      <c r="J25" s="96" t="n">
        <f aca="false">SUMIF(AVRintitulé,$B25,AVRdate_solde)</f>
        <v>46050</v>
      </c>
      <c r="K25" s="102" t="n">
        <f aca="false">SUMIF(AVRintitulé,$B25,AVRmontant_solde_euro)</f>
        <v>63.01823</v>
      </c>
    </row>
    <row r="26" customFormat="false" ht="16.5" hidden="false" customHeight="true" outlineLevel="0" collapsed="false">
      <c r="A26" s="32"/>
      <c r="B26" s="51"/>
      <c r="C26" s="51"/>
      <c r="D26" s="51"/>
      <c r="E26" s="51"/>
      <c r="F26" s="51"/>
      <c r="G26" s="51"/>
      <c r="H26" s="51"/>
      <c r="I26" s="51"/>
      <c r="J26" s="51"/>
      <c r="K26" s="51"/>
    </row>
    <row r="27" customFormat="false" ht="16.5" hidden="false" customHeight="true" outlineLevel="0" collapsed="false">
      <c r="A27" s="94" t="s">
        <v>4</v>
      </c>
      <c r="B27" s="108"/>
      <c r="C27" s="109"/>
      <c r="D27" s="110"/>
      <c r="E27" s="109"/>
      <c r="F27" s="109"/>
      <c r="G27" s="111"/>
      <c r="H27" s="109"/>
      <c r="I27" s="109"/>
      <c r="J27" s="109"/>
      <c r="K27" s="109"/>
    </row>
    <row r="28" customFormat="false" ht="16.5" hidden="false" customHeight="true" outlineLevel="0" collapsed="false">
      <c r="A28" s="63" t="s">
        <v>51</v>
      </c>
      <c r="B28" s="63"/>
      <c r="C28" s="63"/>
      <c r="D28" s="65" t="s">
        <v>84</v>
      </c>
      <c r="E28" s="112" t="n">
        <f aca="false">SUM(E29:E32)</f>
        <v>-681.010615</v>
      </c>
      <c r="F28" s="113" t="n">
        <f aca="false">E28/(H28+I28)</f>
        <v>-0.169150141164521</v>
      </c>
      <c r="G28" s="114" t="n">
        <f aca="false">MIN(G29:G32)</f>
        <v>0</v>
      </c>
      <c r="H28" s="115" t="n">
        <f aca="false">SUM(H29:H32)</f>
        <v>4343.430905</v>
      </c>
      <c r="I28" s="115" t="n">
        <f aca="false">SUM(I29:I32)</f>
        <v>-317.359095</v>
      </c>
      <c r="J28" s="116"/>
      <c r="K28" s="112" t="n">
        <f aca="false">SUM(K29:K32)</f>
        <v>3345.061195</v>
      </c>
    </row>
    <row r="29" customFormat="false" ht="16.5" hidden="false" customHeight="true" outlineLevel="0" collapsed="false">
      <c r="A29" s="32" t="s">
        <v>125</v>
      </c>
      <c r="B29" s="32"/>
      <c r="C29" s="32"/>
      <c r="D29" s="22" t="s">
        <v>84</v>
      </c>
      <c r="E29" s="117" t="n">
        <f aca="false">K29-(H29+I29)</f>
        <v>-947.648845</v>
      </c>
      <c r="F29" s="118" t="n">
        <f aca="false">E29/(H29+I29)</f>
        <v>-0.224046783446381</v>
      </c>
      <c r="G29" s="119" t="n">
        <f aca="false">MIN(_xlfn.MINIFS(G:G,A:A,"portefeuilles",C:C,"Retenu",G:G,"&gt;0"))</f>
        <v>46050</v>
      </c>
      <c r="H29" s="120" t="n">
        <f aca="false">SUMPRODUCT((PVLsection="portefeuilles")*(PVLtitre="Retenu")*PVLmontant_init*IFERROR(INDEX(COTcours,MATCH(PVLdevise,COTcode,0)),1))</f>
        <v>1062.130905</v>
      </c>
      <c r="I29" s="120" t="n">
        <f aca="false">SUMPRODUCT((PVLsection="portefeuilles")*(PVLtitre="Retenu")*PVLsigma*IFERROR(INDEX(COTcours,MATCH(PVLdevise,COTcode,0)),1))</f>
        <v>3167.560905</v>
      </c>
      <c r="J29" s="119" t="n">
        <f aca="false">_xlfn.MAXIFS(J:J,A:A,"portefeuilles",C:C,"Retenu")</f>
        <v>46191</v>
      </c>
      <c r="K29" s="117" t="n">
        <f aca="false">SUMPRODUCT((PVLsection="portefeuilles")*(PVLtitre="Retenu")*PVLmontant*IFERROR(INDEX(COTcours,MATCH(PVLdevise,COTcode,0)),1))</f>
        <v>3282.042965</v>
      </c>
    </row>
    <row r="30" customFormat="false" ht="16.5" hidden="false" customHeight="true" outlineLevel="0" collapsed="false">
      <c r="A30" s="32" t="s">
        <v>126</v>
      </c>
      <c r="B30" s="32"/>
      <c r="C30" s="32"/>
      <c r="D30" s="22" t="s">
        <v>84</v>
      </c>
      <c r="E30" s="117" t="n">
        <f aca="false">K30-(H30+I30)</f>
        <v>0</v>
      </c>
      <c r="F30" s="118" t="e">
        <f aca="false">E30/(H30+I30)</f>
        <v>#DIV/0!</v>
      </c>
      <c r="G30" s="119" t="n">
        <f aca="false">MIN(_xlfn.MINIFS(G:G,A:A,"métaux",G:G,"&gt;0"))</f>
        <v>0</v>
      </c>
      <c r="H30" s="120" t="n">
        <f aca="false">SUMIFS(PVLmontant_init,PVLsection,"métaux")</f>
        <v>0</v>
      </c>
      <c r="I30" s="120" t="n">
        <f aca="false">SUMIFS(PVLsigma,PVLsection,"métaux")</f>
        <v>0</v>
      </c>
      <c r="J30" s="119" t="n">
        <f aca="false">_xlfn.MAXIFS(J:J,A:A,"métaux")</f>
        <v>0</v>
      </c>
      <c r="K30" s="117" t="n">
        <f aca="false">SUMIFS(PVLmontant,PVLsection,"métaux")</f>
        <v>0</v>
      </c>
    </row>
    <row r="31" customFormat="false" ht="16.5" hidden="false" customHeight="true" outlineLevel="0" collapsed="false">
      <c r="A31" s="32" t="s">
        <v>127</v>
      </c>
      <c r="B31" s="32"/>
      <c r="C31" s="32"/>
      <c r="D31" s="22" t="s">
        <v>84</v>
      </c>
      <c r="E31" s="117" t="n">
        <f aca="false">K31-(H31+I31)</f>
        <v>0</v>
      </c>
      <c r="F31" s="118" t="e">
        <f aca="false">E31/(H31+I31)</f>
        <v>#DIV/0!</v>
      </c>
      <c r="G31" s="119" t="n">
        <f aca="false">MIN(_xlfn.MINIFS(G:G,A:A,"crypto",G:G,"&gt;0"))</f>
        <v>0</v>
      </c>
      <c r="H31" s="120" t="n">
        <f aca="false">SUMIFS(PVLmontant_init,PVLsection,"crypto")</f>
        <v>0</v>
      </c>
      <c r="I31" s="120" t="n">
        <f aca="false">SUMIFS(PVLsigma,PVLsection,"crypto")</f>
        <v>0</v>
      </c>
      <c r="J31" s="119" t="n">
        <f aca="false">_xlfn.MAXIFS(J:J,A:A,"crypto")</f>
        <v>0</v>
      </c>
      <c r="K31" s="117" t="n">
        <f aca="false">SUMIFS(PVLmontant,PVLsection,"crypto")</f>
        <v>0</v>
      </c>
    </row>
    <row r="32" customFormat="false" ht="16.5" hidden="false" customHeight="true" outlineLevel="0" collapsed="false">
      <c r="A32" s="32" t="s">
        <v>128</v>
      </c>
      <c r="B32" s="32"/>
      <c r="C32" s="32"/>
      <c r="D32" s="22" t="s">
        <v>84</v>
      </c>
      <c r="E32" s="117" t="n">
        <f aca="false">K32-(H32+I32)</f>
        <v>266.63823</v>
      </c>
      <c r="F32" s="118" t="n">
        <f aca="false">E32/(H32+I32)</f>
        <v>-1.30948939200471</v>
      </c>
      <c r="G32" s="119" t="n">
        <f aca="false">MIN(_xlfn.MINIFS(G:G,A:A,"devises",G:G,"&gt;0"))</f>
        <v>45621</v>
      </c>
      <c r="H32" s="120" t="n">
        <f aca="false">SUMIFS(PVLmontant_init,PVLsection,"devises")</f>
        <v>3281.3</v>
      </c>
      <c r="I32" s="120" t="n">
        <f aca="false">SUMIFS(PVLsigma,PVLsection,"devises")</f>
        <v>-3484.92</v>
      </c>
      <c r="J32" s="119" t="n">
        <f aca="false">_xlfn.MAXIFS(J:J,A:A,"devises")</f>
        <v>46050</v>
      </c>
      <c r="K32" s="117" t="n">
        <f aca="false">SUMIFS(PVLmontant,PVLsection,"devises")</f>
        <v>63.01823</v>
      </c>
    </row>
    <row r="33" customFormat="false" ht="17.25" hidden="false" customHeight="true" outlineLevel="0" collapsed="false"/>
    <row r="34" customFormat="false" ht="17.2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zeroHeight="false" outlineLevelRow="0" outlineLevelCol="0"/>
  <cols>
    <col collapsed="false" customWidth="true" hidden="false" outlineLevel="0" max="1" min="1" style="121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129</v>
      </c>
      <c r="B1" s="5"/>
      <c r="C1" s="5"/>
      <c r="D1" s="5"/>
      <c r="E1" s="122"/>
      <c r="F1" s="10" t="s">
        <v>130</v>
      </c>
      <c r="G1" s="5"/>
      <c r="H1" s="5"/>
      <c r="I1" s="5"/>
    </row>
    <row r="2" customFormat="false" ht="16.5" hidden="false" customHeight="true" outlineLevel="0" collapsed="false">
      <c r="A2" s="123" t="n">
        <f aca="true">TODAY()</f>
        <v>46191</v>
      </c>
      <c r="B2" s="48" t="str">
        <f aca="false">Contrôles!K$30</f>
        <v>✓</v>
      </c>
      <c r="C2" s="124"/>
      <c r="D2" s="5"/>
      <c r="E2" s="122"/>
      <c r="F2" s="125" t="s">
        <v>131</v>
      </c>
      <c r="G2" s="10" t="str">
        <f aca="false">"Opérations : "&amp;COUNTIF(OPdate,"&lt;"&amp;DATE(année_courante,12,31))</f>
        <v>Opérations : 16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132</v>
      </c>
      <c r="C3" s="48" t="s">
        <v>65</v>
      </c>
      <c r="D3" s="48" t="s">
        <v>61</v>
      </c>
      <c r="E3" s="48" t="s">
        <v>133</v>
      </c>
      <c r="F3" s="50" t="s">
        <v>134</v>
      </c>
      <c r="G3" s="48" t="s">
        <v>135</v>
      </c>
      <c r="H3" s="48" t="s">
        <v>48</v>
      </c>
      <c r="I3" s="46" t="s">
        <v>136</v>
      </c>
    </row>
    <row r="4" customFormat="false" ht="14.25" hidden="false" customHeight="true" outlineLevel="0" collapsed="false">
      <c r="A4" s="126" t="s">
        <v>4</v>
      </c>
      <c r="B4" s="127"/>
      <c r="C4" s="128"/>
      <c r="D4" s="129"/>
      <c r="E4" s="128"/>
      <c r="F4" s="130"/>
      <c r="G4" s="131"/>
      <c r="H4" s="131"/>
      <c r="I4" s="127"/>
    </row>
    <row r="5" customFormat="false" ht="16.5" hidden="false" customHeight="true" outlineLevel="0" collapsed="false">
      <c r="A5" s="132" t="n">
        <v>45621</v>
      </c>
      <c r="B5" s="133" t="s">
        <v>137</v>
      </c>
      <c r="C5" s="134" t="n">
        <v>3800</v>
      </c>
      <c r="D5" s="135" t="s">
        <v>68</v>
      </c>
      <c r="E5" s="136" t="n">
        <v>3281.3</v>
      </c>
      <c r="F5" s="137"/>
      <c r="G5" s="138" t="s">
        <v>138</v>
      </c>
      <c r="H5" s="138" t="s">
        <v>69</v>
      </c>
      <c r="I5" s="133"/>
    </row>
    <row r="6" customFormat="false" ht="16.5" hidden="false" customHeight="true" outlineLevel="0" collapsed="false">
      <c r="A6" s="132" t="n">
        <v>45715</v>
      </c>
      <c r="B6" s="133" t="s">
        <v>139</v>
      </c>
      <c r="C6" s="134" t="n">
        <v>60</v>
      </c>
      <c r="D6" s="135" t="s">
        <v>68</v>
      </c>
      <c r="E6" s="136" t="n">
        <v>57.25</v>
      </c>
      <c r="F6" s="137" t="s">
        <v>140</v>
      </c>
      <c r="G6" s="138" t="s">
        <v>92</v>
      </c>
      <c r="H6" s="138" t="s">
        <v>67</v>
      </c>
      <c r="I6" s="133"/>
    </row>
    <row r="7" customFormat="false" ht="16.5" hidden="false" customHeight="true" outlineLevel="0" collapsed="false">
      <c r="A7" s="132" t="n">
        <v>45715</v>
      </c>
      <c r="B7" s="133" t="s">
        <v>139</v>
      </c>
      <c r="C7" s="134" t="n">
        <v>-60</v>
      </c>
      <c r="D7" s="135" t="s">
        <v>68</v>
      </c>
      <c r="E7" s="136" t="n">
        <v>-57.25</v>
      </c>
      <c r="F7" s="137" t="s">
        <v>140</v>
      </c>
      <c r="G7" s="138" t="s">
        <v>92</v>
      </c>
      <c r="H7" s="138" t="s">
        <v>69</v>
      </c>
      <c r="I7" s="133"/>
    </row>
    <row r="8" customFormat="false" ht="16.5" hidden="false" customHeight="true" outlineLevel="0" collapsed="false">
      <c r="A8" s="132" t="n">
        <v>45716</v>
      </c>
      <c r="B8" s="133" t="s">
        <v>141</v>
      </c>
      <c r="C8" s="134" t="n">
        <v>-29.97</v>
      </c>
      <c r="D8" s="135" t="s">
        <v>68</v>
      </c>
      <c r="E8" s="136" t="n">
        <v>-28.85</v>
      </c>
      <c r="F8" s="137" t="s">
        <v>142</v>
      </c>
      <c r="G8" s="138" t="s">
        <v>93</v>
      </c>
      <c r="H8" s="138" t="s">
        <v>67</v>
      </c>
      <c r="I8" s="133"/>
    </row>
    <row r="9" customFormat="false" ht="16.5" hidden="false" customHeight="true" outlineLevel="0" collapsed="false">
      <c r="A9" s="132" t="n">
        <v>45716</v>
      </c>
      <c r="B9" s="133" t="s">
        <v>141</v>
      </c>
      <c r="C9" s="134" t="n">
        <v>29.97</v>
      </c>
      <c r="D9" s="135" t="s">
        <v>68</v>
      </c>
      <c r="E9" s="136" t="n">
        <v>28.85</v>
      </c>
      <c r="F9" s="137" t="s">
        <v>142</v>
      </c>
      <c r="G9" s="138" t="s">
        <v>93</v>
      </c>
      <c r="H9" s="138" t="s">
        <v>69</v>
      </c>
      <c r="I9" s="133"/>
    </row>
    <row r="10" customFormat="false" ht="16.5" hidden="false" customHeight="true" outlineLevel="0" collapsed="false">
      <c r="A10" s="132" t="n">
        <v>45783</v>
      </c>
      <c r="B10" s="133" t="s">
        <v>143</v>
      </c>
      <c r="C10" s="134" t="n">
        <v>200</v>
      </c>
      <c r="D10" s="135" t="s">
        <v>68</v>
      </c>
      <c r="E10" s="136" t="n">
        <v>176</v>
      </c>
      <c r="F10" s="137" t="s">
        <v>144</v>
      </c>
      <c r="G10" s="138" t="s">
        <v>92</v>
      </c>
      <c r="H10" s="138" t="s">
        <v>67</v>
      </c>
      <c r="I10" s="133"/>
    </row>
    <row r="11" customFormat="false" ht="16.5" hidden="false" customHeight="true" outlineLevel="0" collapsed="false">
      <c r="A11" s="132" t="n">
        <v>45783</v>
      </c>
      <c r="B11" s="133" t="s">
        <v>143</v>
      </c>
      <c r="C11" s="134" t="n">
        <v>-200</v>
      </c>
      <c r="D11" s="135" t="s">
        <v>68</v>
      </c>
      <c r="E11" s="136" t="n">
        <v>-176</v>
      </c>
      <c r="F11" s="137" t="s">
        <v>144</v>
      </c>
      <c r="G11" s="138" t="s">
        <v>92</v>
      </c>
      <c r="H11" s="138" t="s">
        <v>69</v>
      </c>
      <c r="I11" s="133"/>
    </row>
    <row r="12" customFormat="false" ht="16.5" hidden="false" customHeight="true" outlineLevel="0" collapsed="false">
      <c r="A12" s="132" t="n">
        <v>45924</v>
      </c>
      <c r="B12" s="133" t="s">
        <v>145</v>
      </c>
      <c r="C12" s="134" t="n">
        <v>-1000</v>
      </c>
      <c r="D12" s="135" t="s">
        <v>68</v>
      </c>
      <c r="E12" s="136" t="n">
        <v>-1175.09</v>
      </c>
      <c r="F12" s="137" t="s">
        <v>146</v>
      </c>
      <c r="G12" s="138" t="s">
        <v>92</v>
      </c>
      <c r="H12" s="138" t="s">
        <v>69</v>
      </c>
      <c r="I12" s="133"/>
    </row>
    <row r="13" customFormat="false" ht="16.5" hidden="false" customHeight="true" outlineLevel="0" collapsed="false">
      <c r="A13" s="132" t="n">
        <v>45924</v>
      </c>
      <c r="B13" s="133" t="s">
        <v>145</v>
      </c>
      <c r="C13" s="134" t="n">
        <v>1000</v>
      </c>
      <c r="D13" s="135" t="s">
        <v>68</v>
      </c>
      <c r="E13" s="136" t="n">
        <v>1175.09</v>
      </c>
      <c r="F13" s="137" t="s">
        <v>146</v>
      </c>
      <c r="G13" s="138" t="s">
        <v>92</v>
      </c>
      <c r="H13" s="138" t="s">
        <v>67</v>
      </c>
      <c r="I13" s="133"/>
    </row>
    <row r="14" customFormat="false" ht="16.5" hidden="false" customHeight="true" outlineLevel="0" collapsed="false">
      <c r="A14" s="132" t="n">
        <v>46048</v>
      </c>
      <c r="B14" s="133" t="s">
        <v>147</v>
      </c>
      <c r="C14" s="134" t="n">
        <v>-138.93</v>
      </c>
      <c r="D14" s="135" t="s">
        <v>68</v>
      </c>
      <c r="E14" s="136" t="n">
        <v>-117.38</v>
      </c>
      <c r="F14" s="137" t="s">
        <v>148</v>
      </c>
      <c r="G14" s="138" t="s">
        <v>92</v>
      </c>
      <c r="H14" s="138" t="s">
        <v>69</v>
      </c>
      <c r="I14" s="133"/>
    </row>
    <row r="15" customFormat="false" ht="16.5" hidden="false" customHeight="true" outlineLevel="0" collapsed="false">
      <c r="A15" s="132" t="n">
        <v>46048</v>
      </c>
      <c r="B15" s="133" t="s">
        <v>147</v>
      </c>
      <c r="C15" s="136" t="n">
        <v>117.38</v>
      </c>
      <c r="D15" s="135" t="s">
        <v>84</v>
      </c>
      <c r="E15" s="136" t="n">
        <v>117.38</v>
      </c>
      <c r="F15" s="137" t="s">
        <v>148</v>
      </c>
      <c r="G15" s="138" t="s">
        <v>92</v>
      </c>
      <c r="H15" s="138" t="s">
        <v>67</v>
      </c>
      <c r="I15" s="133"/>
    </row>
    <row r="16" customFormat="false" ht="16.5" hidden="false" customHeight="true" outlineLevel="0" collapsed="false">
      <c r="A16" s="132" t="n">
        <v>46048</v>
      </c>
      <c r="B16" s="133" t="s">
        <v>147</v>
      </c>
      <c r="C16" s="134" t="n">
        <v>-2353.06</v>
      </c>
      <c r="D16" s="135" t="s">
        <v>68</v>
      </c>
      <c r="E16" s="136" t="n">
        <v>-1988.05</v>
      </c>
      <c r="F16" s="137" t="s">
        <v>149</v>
      </c>
      <c r="G16" s="138" t="s">
        <v>92</v>
      </c>
      <c r="H16" s="138" t="s">
        <v>69</v>
      </c>
      <c r="I16" s="133"/>
    </row>
    <row r="17" customFormat="false" ht="16.5" hidden="false" customHeight="true" outlineLevel="0" collapsed="false">
      <c r="A17" s="132" t="n">
        <v>46048</v>
      </c>
      <c r="B17" s="133" t="s">
        <v>147</v>
      </c>
      <c r="C17" s="136" t="n">
        <v>1988.05</v>
      </c>
      <c r="D17" s="135" t="s">
        <v>84</v>
      </c>
      <c r="E17" s="136" t="n">
        <v>1988.05</v>
      </c>
      <c r="F17" s="137" t="s">
        <v>149</v>
      </c>
      <c r="G17" s="138" t="s">
        <v>92</v>
      </c>
      <c r="H17" s="138" t="s">
        <v>67</v>
      </c>
      <c r="I17" s="133"/>
    </row>
    <row r="18" customFormat="false" ht="16.5" hidden="false" customHeight="true" outlineLevel="0" collapsed="false">
      <c r="A18" s="132" t="n">
        <v>46049</v>
      </c>
      <c r="B18" s="133" t="s">
        <v>150</v>
      </c>
      <c r="C18" s="134" t="n">
        <v>-5</v>
      </c>
      <c r="D18" s="135" t="s">
        <v>68</v>
      </c>
      <c r="E18" s="136"/>
      <c r="F18" s="137"/>
      <c r="G18" s="138" t="s">
        <v>95</v>
      </c>
      <c r="H18" s="138" t="s">
        <v>69</v>
      </c>
      <c r="I18" s="133"/>
    </row>
    <row r="19" customFormat="false" ht="16.5" hidden="false" customHeight="true" outlineLevel="0" collapsed="false">
      <c r="A19" s="132" t="n">
        <v>46050</v>
      </c>
      <c r="B19" s="133" t="s">
        <v>137</v>
      </c>
      <c r="C19" s="134" t="n">
        <v>72.98</v>
      </c>
      <c r="D19" s="135" t="s">
        <v>68</v>
      </c>
      <c r="E19" s="136"/>
      <c r="F19" s="137"/>
      <c r="G19" s="138" t="s">
        <v>138</v>
      </c>
      <c r="H19" s="138" t="s">
        <v>69</v>
      </c>
      <c r="I19" s="133"/>
    </row>
    <row r="20" customFormat="false" ht="16.5" hidden="false" customHeight="true" outlineLevel="0" collapsed="false">
      <c r="A20" s="132" t="n">
        <v>46050</v>
      </c>
      <c r="B20" s="133" t="s">
        <v>137</v>
      </c>
      <c r="C20" s="134" t="n">
        <v>1230.03</v>
      </c>
      <c r="D20" s="135" t="s">
        <v>68</v>
      </c>
      <c r="E20" s="136"/>
      <c r="F20" s="137"/>
      <c r="G20" s="138" t="s">
        <v>138</v>
      </c>
      <c r="H20" s="138" t="s">
        <v>67</v>
      </c>
      <c r="I20" s="133"/>
    </row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2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2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8" width="41.42"/>
    <col collapsed="false" customWidth="true" hidden="false" outlineLevel="0" max="11" min="11" style="68" width="14.98"/>
    <col collapsed="false" customWidth="true" hidden="false" outlineLevel="0" max="12" min="12" style="68" width="11"/>
    <col collapsed="false" customWidth="true" hidden="false" outlineLevel="0" max="13" min="13" style="68" width="15.51"/>
    <col collapsed="false" customWidth="false" hidden="false" outlineLevel="0" max="16368" min="16" style="68" width="19.16"/>
    <col collapsed="false" customWidth="true" hidden="false" outlineLevel="0" max="16382" min="16369" style="1" width="11.53"/>
    <col collapsed="false" customWidth="true" hidden="false" outlineLevel="0" max="16384" min="16383" style="68" width="11.53"/>
  </cols>
  <sheetData>
    <row r="1" customFormat="false" ht="16.5" hidden="false" customHeight="true" outlineLevel="0" collapsed="false">
      <c r="A1" s="139" t="str">
        <f aca="false">$K$30</f>
        <v>✓</v>
      </c>
      <c r="B1" s="10"/>
      <c r="C1" s="10"/>
      <c r="D1" s="10"/>
      <c r="E1" s="10"/>
      <c r="F1" s="12"/>
      <c r="G1" s="12"/>
      <c r="H1" s="12"/>
      <c r="I1" s="79"/>
    </row>
    <row r="2" customFormat="false" ht="28.5" hidden="false" customHeight="true" outlineLevel="0" collapsed="false">
      <c r="A2" s="50" t="s">
        <v>151</v>
      </c>
      <c r="B2" s="79" t="s">
        <v>61</v>
      </c>
      <c r="C2" s="79" t="s">
        <v>152</v>
      </c>
      <c r="D2" s="79" t="s">
        <v>153</v>
      </c>
      <c r="E2" s="79" t="s">
        <v>154</v>
      </c>
      <c r="F2" s="26" t="s">
        <v>155</v>
      </c>
      <c r="G2" s="26" t="s">
        <v>156</v>
      </c>
      <c r="H2" s="50" t="s">
        <v>97</v>
      </c>
      <c r="I2" s="50" t="s">
        <v>157</v>
      </c>
    </row>
    <row r="3" customFormat="false" ht="15" hidden="false" customHeight="true" outlineLevel="0" collapsed="false">
      <c r="A3" s="14" t="s">
        <v>4</v>
      </c>
      <c r="B3" s="54"/>
      <c r="C3" s="111"/>
      <c r="D3" s="111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Portefeuille eToro USD Titres</v>
      </c>
      <c r="B4" s="54" t="s">
        <v>68</v>
      </c>
      <c r="C4" s="111" t="n">
        <f aca="false">IF(COUNTIFS(OPcompte,$A4,OPdevise,$B4,OPcatégorie,Solde)&gt;=2,_xlfn.MINIFS(OPdate,OPcompte,$A4,OPdevise,$B4,OPcatégorie,Solde),0)</f>
        <v>0</v>
      </c>
      <c r="D4" s="111" t="n">
        <f aca="false">_xlfn.MAXIFS(OPdate,OPcompte,$A4,OPdevise,$B4,OPcatégorie,Solde)</f>
        <v>46050</v>
      </c>
      <c r="E4" s="140" t="n">
        <f aca="false">IF($C4=0,0,_xlfn.XLOOKUP(1,(OPcompte=$A4)*(OPdevise=$B4)*(OPcatégorie=Solde)*(OPdate=$C4),OPmontant,0,0,1))</f>
        <v>0</v>
      </c>
      <c r="F4" s="140" t="n">
        <f aca="false">$E4+SUMIFS(OPmontant,OPcompte,$A4,OPdevise,$B4,OPdate,"&gt;"&amp;$C4,OPdate,"&lt;="&amp;$D4,OPcatégorie,"&lt;&gt;Solde",OPcatégorie,"&lt;&gt;"&amp;Spéciale)</f>
        <v>1230.03</v>
      </c>
      <c r="G4" s="140" t="n">
        <f aca="false">_xlfn.XLOOKUP(1,(OPcompte=$A4)*(OPdevise=$B4)*(OPcatégorie=Solde)*(OPdate=$D4),OPmontant,0,0,-1)</f>
        <v>1230.03</v>
      </c>
      <c r="H4" s="140" t="n">
        <f aca="false">IF(ABS($G4-$F4)&lt;0.015,0,ROUND($G4-$F4,2))</f>
        <v>0</v>
      </c>
      <c r="I4" s="16" t="s">
        <v>158</v>
      </c>
    </row>
    <row r="5" customFormat="false" ht="15" hidden="false" customHeight="true" outlineLevel="0" collapsed="false">
      <c r="A5" s="14" t="str">
        <f aca="false">Avoirs!A6</f>
        <v>Portefeuille eToro USD Réserve</v>
      </c>
      <c r="B5" s="54" t="s">
        <v>68</v>
      </c>
      <c r="C5" s="111" t="n">
        <f aca="false">IF(COUNTIFS(OPcompte,$A5,OPdevise,$B5,OPcatégorie,Solde)&gt;=2,_xlfn.MINIFS(OPdate,OPcompte,$A5,OPdevise,$B5,OPcatégorie,Solde),0)</f>
        <v>45621</v>
      </c>
      <c r="D5" s="111" t="n">
        <f aca="false">_xlfn.MAXIFS(OPdate,OPcompte,$A5,OPdevise,$B5,OPcatégorie,Solde)</f>
        <v>46050</v>
      </c>
      <c r="E5" s="140" t="n">
        <f aca="false">IF($C5=0,0,_xlfn.XLOOKUP(1,(OPcompte=$A5)*(OPdevise=$B5)*(OPcatégorie=Solde)*(OPdate=$C5),OPmontant,0,0,1))</f>
        <v>3800</v>
      </c>
      <c r="F5" s="140" t="n">
        <f aca="false">$E5+SUMIFS(OPmontant,OPcompte,$A5,OPdevise,$B5,OPdate,"&gt;"&amp;$C5,OPdate,"&lt;="&amp;$D5,OPcatégorie,"&lt;&gt;Solde",OPcatégorie,"&lt;&gt;"&amp;Spéciale)</f>
        <v>72.98</v>
      </c>
      <c r="G5" s="140" t="n">
        <f aca="false">_xlfn.XLOOKUP(1,(OPcompte=$A5)*(OPdevise=$B5)*(OPcatégorie=Solde)*(OPdate=$D5),OPmontant,0,0,-1)</f>
        <v>72.98</v>
      </c>
      <c r="H5" s="140" t="n">
        <f aca="false">IF(ABS($G5-$F5)&lt;0.015,0,ROUND($G5-$F5,2))</f>
        <v>0</v>
      </c>
      <c r="I5" s="16" t="s">
        <v>158</v>
      </c>
    </row>
    <row r="6" customFormat="false" ht="15" hidden="false" customHeight="true" outlineLevel="0" collapsed="false">
      <c r="A6" s="14" t="str">
        <f aca="false">Avoirs!A7</f>
        <v>Compte Kraken BTC</v>
      </c>
      <c r="B6" s="54" t="s">
        <v>71</v>
      </c>
      <c r="C6" s="111" t="n">
        <f aca="false">IF(COUNTIFS(OPcompte,$A6,OPdevise,$B6,OPcatégorie,Solde)&gt;=2,_xlfn.MINIFS(OPdate,OPcompte,$A6,OPdevise,$B6,OPcatégorie,Solde),0)</f>
        <v>0</v>
      </c>
      <c r="D6" s="111" t="n">
        <f aca="false">_xlfn.MAXIFS(OPdate,OPcompte,$A6,OPdevise,$B6,OPcatégorie,Solde)</f>
        <v>0</v>
      </c>
      <c r="E6" s="141" t="n">
        <f aca="false">IF($C6=0,0,_xlfn.XLOOKUP(1,(OPcompte=$A6)*(OPdevise=$B6)*(OPcatégorie=Solde)*(OPdate=$C6),OPmontant,0,0,1))</f>
        <v>0</v>
      </c>
      <c r="F6" s="141" t="n">
        <f aca="false">$E6+SUMIFS(OPmontant,OPcompte,$A6,OPdevise,$B6,OPdate,"&gt;"&amp;$C6,OPdate,"&lt;="&amp;$D6,OPcatégorie,"&lt;&gt;Solde",OPcatégorie,"&lt;&gt;"&amp;Spéciale)</f>
        <v>0</v>
      </c>
      <c r="G6" s="141" t="n">
        <f aca="false">_xlfn.XLOOKUP(1,(OPcompte=$A6)*(OPdevise=$B6)*(OPcatégorie=Solde)*(OPdate=$D6),OPmontant,0,0,-1)</f>
        <v>0</v>
      </c>
      <c r="H6" s="141" t="n">
        <f aca="false">IF(ABS($G6-$F6)&lt;0.015,0,ROUND($G6-$F6,2))</f>
        <v>0</v>
      </c>
      <c r="I6" s="16" t="s">
        <v>158</v>
      </c>
    </row>
    <row r="7" customFormat="false" ht="16.5" hidden="false" customHeight="true" outlineLevel="0" collapsed="false">
      <c r="A7" s="142" t="s">
        <v>4</v>
      </c>
      <c r="B7" s="143"/>
      <c r="C7" s="143"/>
      <c r="D7" s="143"/>
      <c r="E7" s="143"/>
      <c r="F7" s="144"/>
      <c r="G7" s="145"/>
      <c r="H7" s="145"/>
      <c r="I7" s="143"/>
    </row>
    <row r="8" customFormat="false" ht="17.25" hidden="false" customHeight="true" outlineLevel="0" collapsed="false">
      <c r="A8" s="63"/>
      <c r="B8" s="65"/>
      <c r="C8" s="65"/>
      <c r="D8" s="65"/>
      <c r="E8" s="65"/>
      <c r="F8" s="146"/>
      <c r="G8" s="63"/>
      <c r="H8" s="63"/>
      <c r="I8" s="63"/>
    </row>
    <row r="10" customFormat="false" ht="18.75" hidden="false" customHeight="true" outlineLevel="0" collapsed="false">
      <c r="J10" s="78" t="s">
        <v>159</v>
      </c>
      <c r="K10" s="78"/>
      <c r="L10" s="78"/>
      <c r="M10" s="78"/>
    </row>
    <row r="11" customFormat="false" ht="19.5" hidden="false" customHeight="true" outlineLevel="0" collapsed="false">
      <c r="J11" s="26" t="s">
        <v>160</v>
      </c>
      <c r="K11" s="26" t="s">
        <v>161</v>
      </c>
      <c r="L11" s="26" t="s">
        <v>162</v>
      </c>
      <c r="M11" s="80" t="s">
        <v>84</v>
      </c>
    </row>
    <row r="12" customFormat="false" ht="16.5" hidden="false" customHeight="true" outlineLevel="0" collapsed="false">
      <c r="J12" s="14" t="s">
        <v>4</v>
      </c>
      <c r="K12" s="54"/>
      <c r="L12" s="147"/>
      <c r="M12" s="148"/>
    </row>
    <row r="13" customFormat="false" ht="16.5" hidden="false" customHeight="true" outlineLevel="0" collapsed="false">
      <c r="J13" s="32" t="s">
        <v>163</v>
      </c>
      <c r="K13" s="143" t="str">
        <f aca="false">IF(L13=0,"✓","✗")</f>
        <v>✓</v>
      </c>
      <c r="L13" s="147" t="n">
        <f aca="false">COUNTIFS(CTRL1controle,"Oui")-COUNTIFS(CTRL1controle,"Oui",CTRL1ecart,0)</f>
        <v>0</v>
      </c>
      <c r="M13" s="149" t="n">
        <f aca="false">COUNTIFS(CTRL1devise,M$11,CTRL1controle,"Oui")-COUNTIFS(CTRL1devise,M$11,CTRL1controle,"Oui",CTRL1ecart,0)</f>
        <v>0</v>
      </c>
    </row>
    <row r="14" customFormat="false" ht="16.5" hidden="false" customHeight="true" outlineLevel="0" collapsed="false">
      <c r="J14" s="32" t="s">
        <v>164</v>
      </c>
      <c r="K14" s="143" t="str">
        <f aca="false">IF(ABS(L14)&lt;1,"✓","✗")</f>
        <v>✓</v>
      </c>
      <c r="L14" s="85" t="n">
        <f aca="false">ABS(Budget!G$28)+ABS(Budget!I$29-Budget!G$29)+ABS(Budget!C$11)</f>
        <v>0</v>
      </c>
      <c r="M14" s="148" t="n">
        <f aca="false">ROUND(SUMPRODUCT(SUMIFS(OPmontant,OPdevise,M$11,OPcatégorie,CATnom,OPdate,"&gt;"&amp;Budget!$C$2-365))-SUMIFS(OPmontant,OPdevise,M$11,OPcatégorie,"&lt;&gt;"&amp;Spéciale,OPdate,"&gt;"&amp;Budget!$C$2-365),2)</f>
        <v>0</v>
      </c>
    </row>
    <row r="15" customFormat="false" ht="16.5" hidden="false" customHeight="true" outlineLevel="0" collapsed="false">
      <c r="J15" s="32" t="s">
        <v>43</v>
      </c>
      <c r="K15" s="143" t="str">
        <f aca="false">IF(L15&gt;0,"⚠","✓")</f>
        <v>✓</v>
      </c>
      <c r="L15" s="34" t="n">
        <f aca="false">SUM(L16:L18)</f>
        <v>0</v>
      </c>
      <c r="M15" s="85"/>
    </row>
    <row r="16" customFormat="false" ht="16.5" hidden="false" customHeight="true" outlineLevel="0" collapsed="false">
      <c r="J16" s="150" t="s">
        <v>165</v>
      </c>
      <c r="K16" s="143"/>
      <c r="L16" s="34" t="n">
        <f aca="false">COUNTIF(OPdate,"&lt;"&amp;DATE(2020,1,1))+COUNTIF(OPdate,"&gt;"&amp;DATE(année_courante,12,31))</f>
        <v>0</v>
      </c>
      <c r="M16" s="149"/>
    </row>
    <row r="17" customFormat="false" ht="16.5" hidden="false" customHeight="true" outlineLevel="0" collapsed="false">
      <c r="J17" s="150" t="s">
        <v>166</v>
      </c>
      <c r="K17" s="143"/>
      <c r="L17" s="34" t="n">
        <f aca="false">Patrimoine!D33</f>
        <v>0</v>
      </c>
      <c r="M17" s="149"/>
    </row>
    <row r="18" customFormat="false" ht="16.5" hidden="false" customHeight="true" outlineLevel="0" collapsed="false">
      <c r="J18" s="150" t="s">
        <v>167</v>
      </c>
      <c r="K18" s="143"/>
      <c r="L18" s="34" t="n">
        <f aca="false">IF(Cotations!B25="⚠",1,0)</f>
        <v>0</v>
      </c>
      <c r="M18" s="151"/>
    </row>
    <row r="19" customFormat="false" ht="16.5" hidden="false" customHeight="true" outlineLevel="0" collapsed="false">
      <c r="J19" s="32" t="s">
        <v>168</v>
      </c>
      <c r="K19" s="143" t="str">
        <f aca="false">IF(L19=0,"✓","⚠")</f>
        <v>✓</v>
      </c>
      <c r="L19" s="147" t="n">
        <f aca="false">COUNTIFS(OPréf,"-")</f>
        <v>0</v>
      </c>
      <c r="M19" s="148" t="n">
        <f aca="false">COUNTIFS(OPréf,"-",OPdevise,M$11)</f>
        <v>0</v>
      </c>
    </row>
    <row r="20" customFormat="false" ht="16.5" hidden="false" customHeight="true" outlineLevel="0" collapsed="false">
      <c r="J20" s="142" t="s">
        <v>169</v>
      </c>
      <c r="K20" s="143" t="str">
        <f aca="false">IF(L20=0,"✓","⚠")</f>
        <v>✓</v>
      </c>
      <c r="L20" s="147" t="n">
        <f aca="false">3-COUNTIFS(L21:L23,0)</f>
        <v>0</v>
      </c>
      <c r="M20" s="148" t="n">
        <f aca="false">COUNTA($J21:$J23)-COUNTIFS(M21:M23,0)</f>
        <v>1</v>
      </c>
    </row>
    <row r="21" customFormat="false" ht="16.5" hidden="false" customHeight="true" outlineLevel="0" collapsed="false">
      <c r="J21" s="152" t="s">
        <v>170</v>
      </c>
      <c r="K21" s="54"/>
      <c r="L21" s="85" t="n">
        <f aca="false">ROUND(SUMIFS(OPequiv_euro,OPcatégorie,"@Virement"),0)</f>
        <v>0</v>
      </c>
      <c r="M21" s="148" t="n">
        <f aca="false">SUMIFS(OPequiv_euro,OPdevise,M$11,OPcatégorie,"@Virement")</f>
        <v>0</v>
      </c>
    </row>
    <row r="22" customFormat="false" ht="16.5" hidden="false" customHeight="true" outlineLevel="0" collapsed="false">
      <c r="J22" s="152" t="s">
        <v>171</v>
      </c>
      <c r="K22" s="54"/>
      <c r="L22" s="85" t="n">
        <f aca="false">ROUND(SUMIFS(OPequiv_euro,OPcatégorie,"*titres"),0)</f>
        <v>0</v>
      </c>
      <c r="M22" s="148" t="n">
        <f aca="false">SUMIFS(OPequiv_euro,OPdevise,M$11,OPcatégorie,"*titres")</f>
        <v>2105.43</v>
      </c>
    </row>
    <row r="23" customFormat="false" ht="16.5" hidden="false" customHeight="true" outlineLevel="0" collapsed="false">
      <c r="J23" s="152" t="s">
        <v>172</v>
      </c>
      <c r="K23" s="54"/>
      <c r="L23" s="85" t="n">
        <f aca="false">SUMIFS(OPequiv_euro,OPcatégorie,"@Change") + SUMIFS(OPequiv_euro,OPcatégorie,"@Achat métaux")</f>
        <v>0</v>
      </c>
      <c r="M23" s="148" t="n">
        <f aca="false">SUMIFS(OPequiv_euro,OPdevise,M$11,OPcatégorie,"@Change")+SUMIFS(OPequiv_euro,OPdevise,M$11,OPcatégorie,"@Achat métaux")</f>
        <v>0</v>
      </c>
    </row>
    <row r="24" customFormat="false" ht="16.5" hidden="false" customHeight="true" outlineLevel="0" collapsed="false">
      <c r="J24" s="153" t="s">
        <v>173</v>
      </c>
      <c r="K24" s="54"/>
      <c r="L24" s="85" t="n">
        <f aca="false">L21+L22+L23</f>
        <v>0</v>
      </c>
      <c r="M24" s="85" t="n">
        <f aca="false">M21+M22+M23</f>
        <v>2105.43</v>
      </c>
    </row>
    <row r="25" customFormat="false" ht="16.5" hidden="false" customHeight="true" outlineLevel="0" collapsed="false">
      <c r="J25" s="142" t="s">
        <v>174</v>
      </c>
      <c r="K25" s="143" t="str">
        <f aca="false">IF(L25=0,"✓","✗")</f>
        <v>✓</v>
      </c>
      <c r="L25" s="147" t="n">
        <f aca="false">SUMPRODUCT((COUNTIF(AVRintitulé,OPcompte)=0)*(OPcompte&lt;&gt;""))</f>
        <v>0</v>
      </c>
      <c r="M25" s="85"/>
    </row>
    <row r="26" customFormat="false" ht="16.5" hidden="false" customHeight="true" outlineLevel="0" collapsed="false">
      <c r="J26" s="142" t="s">
        <v>175</v>
      </c>
      <c r="K26" s="143" t="str">
        <f aca="false">IF(L26&gt;0,"✗","✓")</f>
        <v>✓</v>
      </c>
      <c r="L26" s="147" t="n">
        <f aca="false">SUM(L27:L28)</f>
        <v>0</v>
      </c>
      <c r="M26" s="85"/>
    </row>
    <row r="27" customFormat="false" ht="16.5" hidden="false" customHeight="true" outlineLevel="0" collapsed="false">
      <c r="J27" s="152" t="s">
        <v>176</v>
      </c>
      <c r="K27" s="143"/>
      <c r="L27" s="147" t="n">
        <f aca="false">IF(Avoirs!L1="✗",1,0)</f>
        <v>0</v>
      </c>
      <c r="M27" s="85"/>
    </row>
    <row r="28" customFormat="false" ht="16.5" hidden="false" customHeight="true" outlineLevel="0" collapsed="false">
      <c r="J28" s="152" t="s">
        <v>177</v>
      </c>
      <c r="K28" s="143"/>
      <c r="L28" s="147" t="n">
        <f aca="false">IF(Plus_value!B3="✗",1,0)</f>
        <v>0</v>
      </c>
      <c r="M28" s="85"/>
    </row>
    <row r="29" customFormat="false" ht="16.5" hidden="false" customHeight="true" outlineLevel="0" collapsed="false">
      <c r="J29" s="14" t="s">
        <v>4</v>
      </c>
      <c r="K29" s="54"/>
      <c r="L29" s="147"/>
      <c r="M29" s="85"/>
    </row>
    <row r="30" customFormat="false" ht="17.25" hidden="false" customHeight="true" outlineLevel="0" collapsed="false">
      <c r="J30" s="63" t="s">
        <v>178</v>
      </c>
      <c r="K30" s="65" t="str">
        <f aca="false">IF(ISNUMBER(FIND("✗",IFERROR(K13,"⚠")&amp;IFERROR(K14,"⚠")&amp;IFERROR(K15,"⚠")&amp;IFERROR(K19,"⚠")&amp;IFERROR(K20,"⚠")&amp;IFERROR(K25,"⚠")&amp;IFERROR(K26,"⚠"))),"✗",IF(ISNUMBER(FIND("⚠",IFERROR(K13,"⚠")&amp;IFERROR(K14,"⚠")&amp;IFERROR(K15,"⚠")&amp;IFERROR(K19,"⚠")&amp;IFERROR(K20,"⚠")&amp;IFERROR(K25,"⚠")&amp;IFERROR(K26,"⚠"))),"⚠","✓"))</f>
        <v>✓</v>
      </c>
      <c r="L30" s="154"/>
      <c r="M30" s="63"/>
    </row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J10:M10"/>
  </mergeCells>
  <conditionalFormatting sqref="L14 L21:L24">
    <cfRule type="cellIs" priority="2" operator="notEqual" aboveAverage="0" equalAverage="0" bottom="0" percent="0" rank="0" text="" dxfId="0">
      <formula>0</formula>
    </cfRule>
  </conditionalFormatting>
  <conditionalFormatting sqref="L12:L13 L15:L20 L25:L29">
    <cfRule type="cellIs" priority="3" operator="notEqual" aboveAverage="0" equalAverage="0" bottom="0" percent="0" rank="0" text="" dxfId="0">
      <formula>0</formula>
    </cfRule>
  </conditionalFormatting>
  <conditionalFormatting sqref="K1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4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9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0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30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15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25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K26">
    <cfRule type="expression" priority="22" aboveAverage="0" equalAverage="0" bottom="0" percent="0" rank="0" text="" dxfId="1">
      <formula>NOT(ISERROR(FIND("✗",INDIRECT("RC",0))))</formula>
    </cfRule>
    <cfRule type="expression" priority="23" aboveAverage="0" equalAverage="0" bottom="0" percent="0" rank="0" text="" dxfId="2">
      <formula>NOT(ISERROR(FIND("⚠",INDIRECT("RC",0))))</formula>
    </cfRule>
  </conditionalFormatting>
  <conditionalFormatting sqref="M14">
    <cfRule type="expression" priority="24" aboveAverage="0" equalAverage="0" bottom="0" percent="0" rank="0" text="" dxfId="6">
      <formula>$M$11="EUR"</formula>
    </cfRule>
    <cfRule type="expression" priority="25" aboveAverage="0" equalAverage="0" bottom="0" percent="0" rank="0" text="" dxfId="7">
      <formula>$M$11="USD"</formula>
    </cfRule>
    <cfRule type="expression" priority="26" aboveAverage="0" equalAverage="0" bottom="0" percent="0" rank="0" text="" dxfId="8">
      <formula>$M$11="XAU"</formula>
    </cfRule>
    <cfRule type="expression" priority="27" aboveAverage="0" equalAverage="0" bottom="0" percent="0" rank="0" text="" dxfId="9">
      <formula>$M$11="OrPr"</formula>
    </cfRule>
    <cfRule type="expression" priority="28" aboveAverage="0" equalAverage="0" bottom="0" percent="0" rank="0" text="" dxfId="10">
      <formula>$M$11="BTC"</formula>
    </cfRule>
    <cfRule type="expression" priority="29" aboveAverage="0" equalAverage="0" bottom="0" percent="0" rank="0" text="" dxfId="11">
      <formula>$M$11="SAT"</formula>
    </cfRule>
  </conditionalFormatting>
  <dataValidations count="2">
    <dataValidation allowBlank="false" errorStyle="stop" operator="between" showDropDown="false" showErrorMessage="false" showInputMessage="false" sqref="M7:M10" type="none">
      <formula1>0</formula1>
      <formula2>0</formula2>
    </dataValidation>
    <dataValidation allowBlank="true" errorStyle="stop" operator="equal" showDropDown="false" showErrorMessage="true" showInputMessage="false" sqref="M11" type="list">
      <formula1>Cotations!$E$4:$E$9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zeroHeight="false" outlineLevelRow="0" outlineLevelCol="0"/>
  <cols>
    <col collapsed="false" customWidth="true" hidden="false" outlineLevel="0" max="1" min="1" style="68" width="45.77"/>
    <col collapsed="false" customWidth="true" hidden="false" outlineLevel="0" max="3" min="2" style="68" width="9"/>
    <col collapsed="false" customWidth="true" hidden="false" outlineLevel="0" max="4" min="4" style="68" width="10.66"/>
    <col collapsed="false" customWidth="true" hidden="false" outlineLevel="0" max="5" min="5" style="89" width="9"/>
    <col collapsed="false" customWidth="true" hidden="false" outlineLevel="0" max="6" min="6" style="68" width="14.47"/>
    <col collapsed="false" customWidth="true" hidden="false" outlineLevel="0" max="7" min="7" style="68" width="13.44"/>
    <col collapsed="false" customWidth="true" hidden="false" outlineLevel="0" max="8" min="8" style="68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9" t="str">
        <f aca="false">Contrôles!$K$30</f>
        <v>✓</v>
      </c>
      <c r="B1" s="79"/>
      <c r="C1" s="79"/>
      <c r="D1" s="79"/>
      <c r="E1" s="79"/>
      <c r="F1" s="79" t="str">
        <f aca="false">année_courante</f>
        <v>2026</v>
      </c>
      <c r="G1" s="79"/>
      <c r="H1" s="12"/>
    </row>
    <row r="2" customFormat="false" ht="21" hidden="false" customHeight="true" outlineLevel="0" collapsed="false">
      <c r="A2" s="26" t="s">
        <v>179</v>
      </c>
      <c r="B2" s="26" t="s">
        <v>180</v>
      </c>
      <c r="C2" s="26" t="s">
        <v>181</v>
      </c>
      <c r="D2" s="26" t="s">
        <v>182</v>
      </c>
      <c r="E2" s="50" t="s">
        <v>183</v>
      </c>
      <c r="F2" s="50" t="s">
        <v>184</v>
      </c>
      <c r="G2" s="50" t="s">
        <v>64</v>
      </c>
      <c r="H2" s="50" t="s">
        <v>185</v>
      </c>
    </row>
    <row r="3" customFormat="false" ht="14.25" hidden="false" customHeight="true" outlineLevel="0" collapsed="false">
      <c r="A3" s="155" t="s">
        <v>4</v>
      </c>
      <c r="B3" s="156"/>
      <c r="C3" s="156"/>
      <c r="D3" s="156"/>
      <c r="E3" s="54"/>
      <c r="F3" s="16"/>
      <c r="G3" s="16"/>
      <c r="H3" s="16"/>
    </row>
    <row r="4" customFormat="false" ht="16.5" hidden="false" customHeight="true" outlineLevel="0" collapsed="false">
      <c r="A4" s="155" t="s">
        <v>17</v>
      </c>
      <c r="B4" s="156" t="s">
        <v>186</v>
      </c>
      <c r="C4" s="156" t="s">
        <v>187</v>
      </c>
      <c r="D4" s="156" t="n">
        <v>2</v>
      </c>
      <c r="E4" s="54" t="s">
        <v>84</v>
      </c>
      <c r="F4" s="128" t="n">
        <v>1</v>
      </c>
      <c r="G4" s="128"/>
      <c r="H4" s="157"/>
    </row>
    <row r="5" customFormat="false" ht="16.5" hidden="false" customHeight="true" outlineLevel="0" collapsed="false">
      <c r="A5" s="155" t="s">
        <v>188</v>
      </c>
      <c r="B5" s="156" t="s">
        <v>186</v>
      </c>
      <c r="C5" s="156" t="s">
        <v>187</v>
      </c>
      <c r="D5" s="156" t="n">
        <v>2</v>
      </c>
      <c r="E5" s="54" t="s">
        <v>68</v>
      </c>
      <c r="F5" s="128" t="n">
        <v>0.8635</v>
      </c>
      <c r="G5" s="158" t="s">
        <v>189</v>
      </c>
      <c r="H5" s="159" t="n">
        <f aca="false">1/F5</f>
        <v>1.15807759119861</v>
      </c>
    </row>
    <row r="6" customFormat="false" ht="16.5" hidden="false" customHeight="true" outlineLevel="0" collapsed="false">
      <c r="A6" s="155" t="s">
        <v>190</v>
      </c>
      <c r="B6" s="156" t="s">
        <v>186</v>
      </c>
      <c r="C6" s="156" t="s">
        <v>191</v>
      </c>
      <c r="D6" s="156" t="n">
        <v>2</v>
      </c>
      <c r="E6" s="54" t="s">
        <v>192</v>
      </c>
      <c r="F6" s="128" t="n">
        <v>144.12</v>
      </c>
      <c r="G6" s="158" t="s">
        <v>189</v>
      </c>
      <c r="H6" s="160" t="n">
        <f aca="false">1/F6</f>
        <v>0.00693866222592284</v>
      </c>
    </row>
    <row r="7" customFormat="false" ht="16.5" hidden="false" customHeight="true" outlineLevel="0" collapsed="false">
      <c r="A7" s="155" t="s">
        <v>193</v>
      </c>
      <c r="B7" s="156" t="s">
        <v>194</v>
      </c>
      <c r="C7" s="156" t="s">
        <v>191</v>
      </c>
      <c r="D7" s="156" t="n">
        <v>2</v>
      </c>
      <c r="E7" s="54" t="s">
        <v>73</v>
      </c>
      <c r="F7" s="161" t="n">
        <f aca="false">F$6*1.1</f>
        <v>158.532</v>
      </c>
      <c r="G7" s="158"/>
      <c r="H7" s="162" t="n">
        <f aca="false">1/F7</f>
        <v>0.00630787475083895</v>
      </c>
    </row>
    <row r="8" customFormat="false" ht="16.5" hidden="false" customHeight="true" outlineLevel="0" collapsed="false">
      <c r="A8" s="155" t="s">
        <v>195</v>
      </c>
      <c r="B8" s="156" t="s">
        <v>186</v>
      </c>
      <c r="C8" s="156" t="s">
        <v>122</v>
      </c>
      <c r="D8" s="156" t="n">
        <v>2</v>
      </c>
      <c r="E8" s="54" t="s">
        <v>196</v>
      </c>
      <c r="F8" s="128" t="n">
        <v>61009</v>
      </c>
      <c r="G8" s="158" t="s">
        <v>189</v>
      </c>
      <c r="H8" s="163" t="n">
        <f aca="false">1/F8</f>
        <v>1.6391024275107E-005</v>
      </c>
    </row>
    <row r="9" customFormat="false" ht="16.5" hidden="false" customHeight="true" outlineLevel="0" collapsed="false">
      <c r="A9" s="155" t="s">
        <v>197</v>
      </c>
      <c r="B9" s="156" t="s">
        <v>194</v>
      </c>
      <c r="C9" s="156" t="s">
        <v>122</v>
      </c>
      <c r="D9" s="156" t="n">
        <v>2</v>
      </c>
      <c r="E9" s="54" t="s">
        <v>71</v>
      </c>
      <c r="F9" s="161" t="n">
        <f aca="false">F$8/100000000</f>
        <v>0.00061009</v>
      </c>
      <c r="G9" s="158"/>
      <c r="H9" s="164" t="n">
        <f aca="false">1/F9</f>
        <v>1639.1024275107</v>
      </c>
    </row>
    <row r="10" customFormat="false" ht="16.5" hidden="false" customHeight="true" outlineLevel="0" collapsed="false">
      <c r="A10" s="155" t="s">
        <v>4</v>
      </c>
      <c r="B10" s="156"/>
      <c r="C10" s="156"/>
      <c r="D10" s="156"/>
      <c r="E10" s="54"/>
      <c r="F10" s="16"/>
      <c r="G10" s="16"/>
      <c r="H10" s="16"/>
    </row>
    <row r="11" customFormat="false" ht="15" hidden="false" customHeight="true" outlineLevel="0" collapsed="false">
      <c r="A11" s="63" t="s">
        <v>198</v>
      </c>
      <c r="B11" s="63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11" s="63"/>
      <c r="D11" s="63"/>
      <c r="E11" s="63"/>
      <c r="F11" s="63"/>
      <c r="G11" s="63"/>
      <c r="H11" s="63"/>
    </row>
    <row r="12" customFormat="false" ht="18" hidden="false" customHeight="true" outlineLevel="0" collapsed="false">
      <c r="F12" s="165"/>
      <c r="G12" s="165"/>
    </row>
    <row r="13" customFormat="false" ht="18" hidden="false" customHeight="true" outlineLevel="0" collapsed="false">
      <c r="F13" s="165"/>
      <c r="G13" s="165"/>
    </row>
    <row r="14" customFormat="false" ht="18" hidden="false" customHeight="true" outlineLevel="0" collapsed="false">
      <c r="F14" s="165"/>
      <c r="G14" s="165"/>
    </row>
    <row r="15" customFormat="false" ht="18" hidden="false" customHeight="true" outlineLevel="0" collapsed="false">
      <c r="F15" s="165"/>
      <c r="G15" s="165"/>
    </row>
    <row r="16" customFormat="false" ht="18" hidden="false" customHeight="true" outlineLevel="0" collapsed="false">
      <c r="F16" s="165"/>
      <c r="G16" s="165"/>
    </row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LibreOffice/24.8.7.2$MacOSX_X86_64 LibreOffice_project/e07d0a63a46349d29051da79b1fde8160bab2a89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2026-06-18T19:10:37Z</dcterms:modified>
  <cp:revision>1013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