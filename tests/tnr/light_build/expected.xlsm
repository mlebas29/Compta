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Avoirs!$H$4:$H$6</definedName>
    <definedName function="false" hidden="false" name="AVRdate_solde" vbProcedure="false">Avoirs!$J$4:$J$6</definedName>
    <definedName function="false" hidden="false" name="AVRdevise" vbProcedure="false">Avoirs!$E$4:$E$6</definedName>
    <definedName function="false" hidden="false" name="AVRdomiciliation" vbProcedure="false">Avoirs!$C$4:$C$6</definedName>
    <definedName function="false" hidden="false" name="AVRintitulé" vbProcedure="false">Avoirs!$A$4:$A$6</definedName>
    <definedName function="false" hidden="false" name="AVRmontant_anter" vbProcedure="false">Avoirs!$I$4:$I$6</definedName>
    <definedName function="false" hidden="false" name="AVRmontant_solde" vbProcedure="false">Avoirs!$K$4:$K$6</definedName>
    <definedName function="false" hidden="false" name="AVRmontant_solde_euro" vbProcedure="false">Avoirs!$L$4:$L$6</definedName>
    <definedName function="false" hidden="false" name="AVRpropriete" vbProcedure="false">Avoirs!$G$4:$G$6</definedName>
    <definedName function="false" hidden="false" name="AVRsous_type" vbProcedure="false">Avoirs!$D$4:$D$6</definedName>
    <definedName function="false" hidden="false" name="AVRtitulaire" vbProcedure="false">Avoirs!$F$4:$F$6</definedName>
    <definedName function="false" hidden="false" name="AVRtype" vbProcedure="false">Avoirs!$B$4:$B$6</definedName>
    <definedName function="false" hidden="false" name="CATaffectation" vbProcedure="false">Budget!$I$16:$I$25</definedName>
    <definedName function="false" hidden="false" name="CATaffectation_pct" vbProcedure="false">Budget!$H$16:$H$25</definedName>
    <definedName function="false" hidden="false" name="CATmontant" vbProcedure="false">Budget!$F$16:$F$25</definedName>
    <definedName function="false" hidden="false" name="CATnom" vbProcedure="false">Budget!$E$16:$E$25</definedName>
    <definedName function="false" hidden="false" name="CATposte" vbProcedure="false">Budget!$J$16:$J$25</definedName>
    <definedName function="false" hidden="false" name="CATtotal_euro" vbProcedure="false">Budget!$G$16:$G$25</definedName>
    <definedName function="false" hidden="false" name="CONVcell" vbProcedure="false">Patrimoine!$K$40:$K$65</definedName>
    <definedName function="false" hidden="false" name="CONVlégende" vbProcedure="false">Patrimoine!$L$40:$L$65</definedName>
    <definedName function="false" hidden="false" name="CONVnom" vbProcedure="false">Patrimoine!$J$40:$J$65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Contrôles!$A$3:$A$5</definedName>
    <definedName function="false" hidden="false" name="CTRL1controle" vbProcedure="false">Contrôles!$I$3:$I$5</definedName>
    <definedName function="false" hidden="false" name="CTRL1date_ancrage" vbProcedure="false">Contrôles!$C$3:$C$5</definedName>
    <definedName function="false" hidden="false" name="CTRL1date_releve" vbProcedure="false">Contrôles!$D$3:$D$5</definedName>
    <definedName function="false" hidden="false" name="CTRL1devise" vbProcedure="false">Contrôles!$B$3:$B$5</definedName>
    <definedName function="false" hidden="false" name="CTRL1ecart" vbProcedure="false">Contrôles!$H$3:$H$5</definedName>
    <definedName function="false" hidden="false" name="CTRL1montant_ancrage" vbProcedure="false">Contrôles!$E$3:$E$5</definedName>
    <definedName function="false" hidden="false" name="CTRL1montant_releve" vbProcedure="false">Contrôles!$G$3:$G$5</definedName>
    <definedName function="false" hidden="false" name="CTRL1solde_calc" vbProcedure="false">Contrôles!$F$3:$F$5</definedName>
    <definedName function="false" hidden="false" name="CTRL2affichage" vbProcedure="false">Contrôles!$K$10:$K$30</definedName>
    <definedName function="false" hidden="false" name="CTRL2drill" vbProcedure="false">Contrôles!$M$10:$M$30</definedName>
    <definedName function="false" hidden="false" name="CTRL2general" vbProcedure="false">Contrôles!$L$10:$L$30</definedName>
    <definedName function="false" hidden="false" name="CTRL2type" vbProcedure="false">Contrôles!$J$10:$J$30</definedName>
    <definedName function="false" hidden="false" name="CTRL2_fonds_en_transit" vbProcedure="false">Contrôles!$L$25</definedName>
    <definedName function="false" hidden="false" name="CTRL2_synthese" vbProcedure="false">Contrôles!$K$31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Budget!$C$4:$C$7</definedName>
    <definedName function="false" hidden="false" name="POSTESnom" vbProcedure="false">Budget!$A$4:$A$7</definedName>
    <definedName function="false" hidden="false" name="POSTEStype" vbProcedure="false">Budget!$B$4:$B$7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<sst xmlns="http://schemas.openxmlformats.org/spreadsheetml/2006/main" count="240" uniqueCount="167">
  <si>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</si>
  <si>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</si>
  <si>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</si>
  <si>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</si>
  <si>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</si>
  <si>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</si>
  <si>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</si>
  <si>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</si>
  <si>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</si>
  <si>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</si>
  <si>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</si>
  <si>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</si>
  <si>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</si>
  <si>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</si>
  <si>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</si>
  <si>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</si>
  <si>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</si>
  <si>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</si>
  <si>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</si>
  <si>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</si>
  <si>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</si>
  <si>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</si>
  <si>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</si>
  <si>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</si>
  <si>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</si>
  <si>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</si>
  <si>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</si>
  <si>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</si>
  <si>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</si>
  <si>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</si>
  <si>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</si>
  <si>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</si>
  <si>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</si>
  <si>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</si>
  <si>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</si>
  <si>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</si>
  <si>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</si>
  <si>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Relevé compte</t>
  </si>
  <si>
    <t xml:space="preserve">Solde de relevé de compte (feuille Opérations)</t>
  </si>
  <si>
    <t xml:space="preserve">Σ Solde calculé</t>
  </si>
  <si>
    <t xml:space="preserve">Solde calculé à l'import quand aucun relevé n'est attendu</t>
  </si>
  <si>
    <t xml:space="preserve">⚠ Solde calculé</t>
  </si>
  <si>
    <t xml:space="preserve">Solde calculé à l'import quand le relevé attendu est absent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</si>
  <si>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</si>
  <si>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</si>
  <si>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</si>
  <si>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</si>
  <si>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</si>
  <si>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</si>
  <si>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</si>
  <si>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</si>
  <si>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</si>
  <si>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</si>
  <si>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</si>
  <si>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</si>
  <si>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</si>
  <si>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</si>
  <si>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</si>
  <si>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</si>
  <si>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</si>
  <si>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</si>
  <si>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</si>
  <si>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</si>
  <si>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</si>
  <si>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</si>
  <si>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</si>
  <si>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</si>
  <si>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</si>
  <si>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</si>
  <si>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</si>
  <si>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</si>
  <si>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</si>
  <si>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</si>
  <si>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Livret A Barnabé</t>
  </si>
  <si>
    <t xml:space="preserve">EUR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</si>
  <si>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</si>
  <si>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</si>
  <si>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</si>
  <si>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</si>
  <si>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Banque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</si>
  <si>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</si>
  <si>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</si>
  <si>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</si>
  <si>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</si>
  <si>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</si>
  <si>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</si>
  <si>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</si>
  <si>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</si>
  <si>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</si>
  <si>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</si>
  <si>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</si>
  <si>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</si>
  <si>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</si>
  <si>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</si>
  <si>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</si>
  <si>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Frais bancaires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</si>
  <si>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</si>
  <si>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</si>
  <si>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</si>
  <si>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</si>
  <si>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</si>
  <si>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</si>
  <si>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</si>
  <si>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</si>
  <si>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</si>
  <si>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</si>
  <si>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</si>
  <si>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</si>
  <si>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</si>
  <si>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</si>
  <si>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</si>
  <si>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</si>
  <si>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</si>
  <si>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</si>
  <si>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</si>
  <si>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</si>
  <si>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</si>
  <si>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</si>
  <si>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</si>
  <si>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</si>
  <si>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</si>
  <si>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</si>
  <si>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</si>
  <si>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</si>
  <si>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</si>
  <si>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</si>
  <si>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</si>
  <si>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</si>
  <si>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</si>
  <si>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</si>
  <si>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</si>
  <si>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</si>
  <si>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</si>
  <si>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</si>
  <si>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</si>
  <si>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</si>
  <si>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</si>
  <si>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</si>
  <si>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</si>
  <si>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</si>
  <si>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    Manquantes</t>
  </si>
  <si>
    <t xml:space="preserve">    Inconnues</t>
  </si>
  <si>
    <t xml:space="preserve">    Écart Budget €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</si>
  <si>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</si>
  <si>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</si>
  <si>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</si>
  <si>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</si>
  <si>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</si>
  <si>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</si>
  <si>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</si>
  <si>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</si>
  <si>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</si>
  <si>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(Comptes, Devises)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</si>
  <si>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</si>
  <si>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</si>
  <si>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</si>
  <si>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</si>
  <si>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</si>
  <si>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</si>
  <si>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</si>
  <si>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</si>
  <si>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</si>
  <si>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</si>
  <si>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</si>
  <si>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</si>
  <si>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</si>
  <si>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Alarme cotations</t>
  </si>
</sst>
</file>

<file path=xl/styles.xml><?xml version="1.0" encoding="utf-8"?>
<styleSheet xmlns="http://schemas.openxmlformats.org/spreadsheetml/2006/main">
  <numFmts count="29">
    <numFmt numFmtId="164" formatCode="General"/>
    <numFmt numFmtId="165" formatCode="#,##0.00\ [$€-40C];\-#,##0.00\ [$€-40C]"/>
    <numFmt numFmtId="166" formatCode="#,##0;\-#,##0"/>
    <numFmt numFmtId="167" formatCode="#,##0.00;\-#,##0.00"/>
    <numFmt numFmtId="168" formatCode="#,##0.00000;\-#,##0.00000"/>
    <numFmt numFmtId="169" formatCode="#,##0.000000000"/>
    <numFmt numFmtId="170" formatCode="mmm\-yy"/>
    <numFmt numFmtId="171" formatCode="@"/>
    <numFmt numFmtId="172" formatCode="dd/mm/yy"/>
    <numFmt numFmtId="173" formatCode="#,##0.00\ [$€-40C];[RED]\-#,##0.00\ [$€-40C]"/>
    <numFmt numFmtId="174" formatCode="0\ %"/>
    <numFmt numFmtId="175" formatCode="0"/>
    <numFmt numFmtId="176" formatCode="#,##0%"/>
    <numFmt numFmtId="177" formatCode="#,##0.00\ [$USD];[RED]\-#,##0.00\ [$USD]"/>
    <numFmt numFmtId="178" formatCode="#,##0.00\ [$€-40C];\-#,##0.00\ [$€-40C]"/>
    <numFmt numFmtId="179" formatCode="[$€-40C]\ #,##0.00"/>
    <numFmt numFmtId="180" formatCode="d\ mmm\ yyyy"/>
    <numFmt numFmtId="181" formatCode="\ #,##0\ [$€-40C]"/>
    <numFmt numFmtId="182" formatCode="\ #,##0.00\ [$€-40C]"/>
    <numFmt numFmtId="183" formatCode="@&quot; ▼&quot;"/>
    <numFmt numFmtId="184" formatCode="#,##0.00000\ [$€-40C];\-#,##0.00000\ [$€-40C]"/>
    <numFmt numFmtId="185" formatCode="0%"/>
    <numFmt numFmtId="186" formatCode="#,##0"/>
    <numFmt numFmtId="187" formatCode="0.00\ %"/>
    <numFmt numFmtId="188" formatCode="[$-40C]dd/mm/yy"/>
    <numFmt numFmtId="189" formatCode="dd/mm/yyyy"/>
    <numFmt numFmtId="190" formatCode="0.00000"/>
    <numFmt numFmtId="191" formatCode="#,##0.00"/>
    <numFmt numFmtId="192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32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5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8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0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1" fillId="16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2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1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6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7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3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7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8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9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9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0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8" fontId="16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1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2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4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Input" xfId="45"/>
    <cellStyle name="Résultat2" xfId="46"/>
  </cellStyles>
  <dxfs count="16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strike val="0"/>
        <outline val="0"/>
        <shadow val="0"/>
        <color rgb="FF000000"/>
        <sz val="10"/>
      </font>
      <numFmt numFmtId="165" formatCode="#,##0.00\ [$€-40C];\-#,##0.00\ [$€-40C]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ill>
        <patternFill>
          <bgColor rgb="FFFFC7CE"/>
        </patternFill>
      </fill>
    </dxf>
    <dxf>
      <fill>
        <patternFill>
          <bgColor rgb="FFFFFC98"/>
        </patternFill>
      </fill>
    </dxf>
    <dxf>
      <fill>
        <patternFill>
          <bgColor rgb="FFFFC7CE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6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Contrôles!K$31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1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1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1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1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1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1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1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1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1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7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75" hidden="false" customHeight="true" outlineLevel="0" collapsed="false">
      <c r="B29" s="22" t="s">
        <v>21</v>
      </c>
      <c r="C29" s="15" t="n">
        <f aca="false">COUNTIF(AVRpropriete,$B29)</f>
        <v>1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7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75" hidden="false" customHeight="true" outlineLevel="0" collapsed="false">
      <c r="B31" s="23" t="s">
        <v>3</v>
      </c>
      <c r="C31" s="15" t="n">
        <f aca="false">SUM(C29:C30)</f>
        <v>1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7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75" hidden="false" customHeight="true" outlineLevel="0" collapsed="false">
      <c r="J42" s="32"/>
      <c r="K42" s="35" t="s">
        <v>28</v>
      </c>
      <c r="L42" s="34" t="s">
        <v>30</v>
      </c>
    </row>
    <row r="43" customFormat="false" ht="15.75" hidden="false" customHeight="true" outlineLevel="0" collapsed="false">
      <c r="J43" s="32"/>
      <c r="K43" s="36" t="s">
        <v>28</v>
      </c>
      <c r="L43" s="34" t="s">
        <v>31</v>
      </c>
    </row>
    <row r="44" customFormat="false" ht="15.75" hidden="false" customHeight="true" outlineLevel="0" collapsed="false">
      <c r="J44" s="14"/>
      <c r="K44" s="37" t="s">
        <v>28</v>
      </c>
      <c r="L44" s="38" t="s">
        <v>32</v>
      </c>
    </row>
    <row r="45" customFormat="false" ht="15.75" hidden="false" customHeight="true" outlineLevel="0" collapsed="false">
      <c r="J45" s="14"/>
      <c r="K45" s="39" t="s">
        <v>33</v>
      </c>
      <c r="L45" s="38" t="s">
        <v>34</v>
      </c>
    </row>
    <row r="46" customFormat="false" ht="15.75" hidden="false" customHeight="true" outlineLevel="0" collapsed="false">
      <c r="J46" s="14"/>
      <c r="K46" s="40" t="s">
        <v>33</v>
      </c>
      <c r="L46" s="38" t="s">
        <v>35</v>
      </c>
    </row>
    <row r="47" customFormat="false" ht="15.75" hidden="false" customHeight="true" outlineLevel="0" collapsed="false">
      <c r="J47" s="14"/>
      <c r="K47" s="41" t="s">
        <v>28</v>
      </c>
      <c r="L47" s="38" t="s">
        <v>36</v>
      </c>
    </row>
    <row r="48" customFormat="false" ht="15.75" hidden="false" customHeight="true" outlineLevel="0" collapsed="false">
      <c r="J48" s="14"/>
      <c r="K48" s="42" t="s">
        <v>37</v>
      </c>
      <c r="L48" s="38" t="s">
        <v>38</v>
      </c>
    </row>
    <row r="49" customFormat="false" ht="15.75" hidden="false" customHeight="true" outlineLevel="0" collapsed="false">
      <c r="J49" s="14"/>
      <c r="K49" s="42" t="s">
        <v>39</v>
      </c>
      <c r="L49" s="38" t="s">
        <v>40</v>
      </c>
    </row>
    <row r="50" customFormat="false" ht="15.75" hidden="false" customHeight="true" outlineLevel="0" collapsed="false">
      <c r="J50" s="14"/>
      <c r="K50" s="42" t="s">
        <v>41</v>
      </c>
      <c r="L50" s="38" t="s">
        <v>42</v>
      </c>
    </row>
    <row r="51" customFormat="false" ht="15.75" hidden="false" customHeight="true" outlineLevel="0" collapsed="false">
      <c r="J51" s="14"/>
      <c r="K51" s="43"/>
      <c r="L51" s="38"/>
    </row>
    <row r="52" customFormat="false" ht="15.75" hidden="false" customHeight="true" outlineLevel="0" collapsed="false">
      <c r="J52" s="14"/>
      <c r="K52" s="38" t="s">
        <v>43</v>
      </c>
      <c r="L52" s="38"/>
    </row>
    <row r="53" customFormat="false" ht="15.75" hidden="false" customHeight="true" outlineLevel="0" collapsed="false">
      <c r="J53" s="14"/>
      <c r="K53" s="43"/>
      <c r="L53" s="38"/>
    </row>
    <row r="54" customFormat="false" ht="15.75" hidden="false" customHeight="true" outlineLevel="0" collapsed="false">
      <c r="J54" s="14"/>
      <c r="K54" s="43" t="s">
        <v>3</v>
      </c>
      <c r="L54" s="38" t="s">
        <v>44</v>
      </c>
    </row>
    <row r="55" customFormat="false" ht="15.75" hidden="false" customHeight="true" outlineLevel="0" collapsed="false">
      <c r="J55" s="14"/>
      <c r="K55" s="43" t="s">
        <v>45</v>
      </c>
      <c r="L55" s="38" t="s">
        <v>46</v>
      </c>
    </row>
    <row r="56" customFormat="false" ht="15.75" hidden="false" customHeight="true" outlineLevel="0" collapsed="false">
      <c r="J56" s="14"/>
      <c r="K56" s="43" t="s">
        <v>47</v>
      </c>
      <c r="L56" s="38" t="s">
        <v>48</v>
      </c>
    </row>
    <row r="57" customFormat="false" ht="15.75" hidden="false" customHeight="true" outlineLevel="0" collapsed="false">
      <c r="J57" s="14"/>
      <c r="K57" s="43" t="s">
        <v>49</v>
      </c>
      <c r="L57" s="38" t="s">
        <v>48</v>
      </c>
    </row>
    <row r="58" customFormat="false" ht="15.75" hidden="false" customHeight="true" outlineLevel="0" collapsed="false">
      <c r="J58" s="14"/>
      <c r="K58" s="43" t="s">
        <v>50</v>
      </c>
      <c r="L58" s="38" t="s">
        <v>51</v>
      </c>
    </row>
    <row r="59" customFormat="false" ht="15.75" hidden="false" customHeight="true" outlineLevel="0" collapsed="false">
      <c r="J59" s="14"/>
      <c r="K59" s="43" t="s">
        <v>52</v>
      </c>
      <c r="L59" s="38" t="s">
        <v>53</v>
      </c>
    </row>
    <row r="60" customFormat="false" ht="15.75" hidden="false" customHeight="true" outlineLevel="0" collapsed="false">
      <c r="J60" s="14"/>
      <c r="K60" s="43" t="s">
        <v>54</v>
      </c>
      <c r="L60" s="38" t="s">
        <v>53</v>
      </c>
    </row>
    <row r="61" customFormat="false" ht="15.75" hidden="false" customHeight="true" outlineLevel="0" collapsed="false">
      <c r="J61" s="14"/>
      <c r="K61" s="43" t="s">
        <v>55</v>
      </c>
      <c r="L61" s="38" t="s">
        <v>56</v>
      </c>
    </row>
    <row r="62" customFormat="false" ht="15.75" hidden="false" customHeight="true" outlineLevel="0" collapsed="false">
      <c r="J62" s="14"/>
      <c r="K62" s="43" t="s">
        <v>57</v>
      </c>
      <c r="L62" s="38" t="s">
        <v>56</v>
      </c>
    </row>
    <row r="63" customFormat="false" ht="15.75" hidden="false" customHeight="true" outlineLevel="0" collapsed="false">
      <c r="J63" s="14"/>
      <c r="K63" s="43"/>
      <c r="L63" s="43"/>
    </row>
    <row r="64" customFormat="false" ht="15.75" hidden="false" customHeight="true" outlineLevel="0" collapsed="false">
      <c r="J64" s="14"/>
      <c r="K64" s="38" t="s">
        <v>58</v>
      </c>
      <c r="L64" s="43"/>
    </row>
    <row r="65" customFormat="false" ht="12.75" hidden="false" customHeight="true" outlineLevel="0" collapsed="false">
      <c r="J65" s="14" t="s">
        <v>4</v>
      </c>
      <c r="K65" s="43"/>
      <c r="L65" s="43"/>
    </row>
    <row r="66" customFormat="false" ht="12.75" hidden="false" customHeight="true" outlineLevel="0" collapsed="false">
      <c r="J66" s="30"/>
      <c r="K66" s="30"/>
      <c r="L66" s="30"/>
    </row>
  </sheetData>
  <conditionalFormatting sqref="D21">
    <cfRule type="cellIs" priority="2" operator="notEqual" aboveAverage="0" equalAverage="0" bottom="0" percent="0" rank="0" text="" dxfId="0">
      <formula>Avoirs!$L$7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12.51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5.85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2" min="18" style="44" width="9.67"/>
  </cols>
  <sheetData>
    <row r="1" customFormat="false" ht="16.5" hidden="false" customHeight="true" outlineLevel="0" collapsed="false">
      <c r="A1" s="46" t="s">
        <v>59</v>
      </c>
      <c r="B1" s="47" t="s">
        <v>60</v>
      </c>
      <c r="C1" s="5"/>
      <c r="D1" s="10"/>
      <c r="E1" s="10"/>
      <c r="F1" s="10"/>
      <c r="G1" s="10"/>
      <c r="H1" s="10"/>
      <c r="I1" s="12"/>
      <c r="J1" s="10"/>
      <c r="K1" s="10"/>
      <c r="L1" s="48" t="str">
        <f aca="false">IF(ISERROR(L7),"✗","✓")</f>
        <v>✓</v>
      </c>
    </row>
    <row r="2" customFormat="false" ht="16.5" hidden="false" customHeight="true" outlineLevel="0" collapsed="false">
      <c r="A2" s="49" t="str">
        <f aca="false">Contrôles!K$31</f>
        <v>✓</v>
      </c>
      <c r="B2" s="5"/>
      <c r="C2" s="5"/>
      <c r="D2" s="10"/>
      <c r="E2" s="10"/>
      <c r="F2" s="10"/>
      <c r="G2" s="10"/>
      <c r="H2" s="47" t="s">
        <v>61</v>
      </c>
      <c r="I2" s="49"/>
      <c r="J2" s="47" t="s">
        <v>62</v>
      </c>
      <c r="K2" s="49"/>
      <c r="L2" s="50" t="n">
        <f aca="false">L7</f>
        <v>0</v>
      </c>
    </row>
    <row r="3" customFormat="false" ht="33.75" hidden="false" customHeight="true" outlineLevel="0" collapsed="false">
      <c r="A3" s="26" t="s">
        <v>63</v>
      </c>
      <c r="B3" s="47" t="s">
        <v>64</v>
      </c>
      <c r="C3" s="47" t="s">
        <v>65</v>
      </c>
      <c r="D3" s="49" t="s">
        <v>66</v>
      </c>
      <c r="E3" s="51" t="s">
        <v>67</v>
      </c>
      <c r="F3" s="49" t="s">
        <v>68</v>
      </c>
      <c r="G3" s="49" t="s">
        <v>69</v>
      </c>
      <c r="H3" s="49" t="s">
        <v>70</v>
      </c>
      <c r="I3" s="26" t="s">
        <v>71</v>
      </c>
      <c r="J3" s="49" t="s">
        <v>70</v>
      </c>
      <c r="K3" s="51" t="s">
        <v>71</v>
      </c>
      <c r="L3" s="51" t="s">
        <v>72</v>
      </c>
    </row>
    <row r="4" customFormat="false" ht="14.25" hidden="false" customHeight="true" outlineLevel="0" collapsed="false">
      <c r="A4" s="14" t="s">
        <v>4</v>
      </c>
      <c r="B4" s="52"/>
      <c r="C4" s="53"/>
      <c r="D4" s="54"/>
      <c r="E4" s="54"/>
      <c r="F4" s="55"/>
      <c r="G4" s="54"/>
      <c r="H4" s="54"/>
      <c r="I4" s="54"/>
      <c r="J4" s="54"/>
      <c r="K4" s="54"/>
      <c r="L4" s="54"/>
    </row>
    <row r="5" customFormat="false" ht="14.25" hidden="false" customHeight="true" outlineLevel="0" collapsed="false">
      <c r="A5" s="14" t="s">
        <v>73</v>
      </c>
      <c r="B5" s="52" t="s">
        <v>8</v>
      </c>
      <c r="C5" s="53" t="s">
        <v>12</v>
      </c>
      <c r="D5" s="54" t="s">
        <v>17</v>
      </c>
      <c r="E5" s="54" t="s">
        <v>74</v>
      </c>
      <c r="F5" s="55" t="s">
        <v>12</v>
      </c>
      <c r="G5" s="54" t="s">
        <v>21</v>
      </c>
      <c r="H5" s="56" t="n">
        <f aca="false">_xlfn.MINIFS(OPdate,OPcompte,$A5,OPdevise,$E5,OPcatégorie,Solde)</f>
        <v>0</v>
      </c>
      <c r="I5" s="57" t="n">
        <f aca="false">SUMIFS(OPmontant,OPcompte,$A5,OPdevise,$E5,OPcatégorie,Solde,OPdate,$H5)</f>
        <v>0</v>
      </c>
      <c r="J5" s="56" t="n">
        <f aca="false">_xlfn.MAXIFS(OPdate,OPcompte,$A5,OPdevise,$E5,OPcatégorie,Solde)</f>
        <v>0</v>
      </c>
      <c r="K5" s="57" t="n">
        <f aca="false">SUMIFS(OPmontant,OPcompte,$A5,OPdevise,$E5,OPcatégorie,Solde,OPdate,$J5)</f>
        <v>0</v>
      </c>
      <c r="L5" s="57" t="n">
        <f aca="false">K5</f>
        <v>0</v>
      </c>
    </row>
    <row r="6" customFormat="false" ht="16.5" hidden="false" customHeight="true" outlineLevel="0" collapsed="false">
      <c r="A6" s="14" t="s">
        <v>4</v>
      </c>
      <c r="B6" s="53"/>
      <c r="C6" s="53"/>
      <c r="D6" s="54"/>
      <c r="E6" s="54"/>
      <c r="F6" s="54"/>
      <c r="G6" s="54"/>
      <c r="H6" s="54"/>
      <c r="I6" s="54"/>
      <c r="J6" s="56"/>
      <c r="K6" s="58"/>
      <c r="L6" s="58"/>
    </row>
    <row r="7" customFormat="false" ht="17.25" hidden="false" customHeight="true" outlineLevel="0" collapsed="false">
      <c r="A7" s="59" t="s">
        <v>50</v>
      </c>
      <c r="B7" s="59"/>
      <c r="C7" s="30"/>
      <c r="D7" s="60"/>
      <c r="E7" s="60"/>
      <c r="F7" s="61"/>
      <c r="G7" s="61"/>
      <c r="H7" s="61"/>
      <c r="I7" s="62"/>
      <c r="J7" s="62"/>
      <c r="K7" s="62"/>
      <c r="L7" s="62" t="n">
        <f aca="false">ROUND(SUM(AVRmontant_solde_euro),2)</f>
        <v>0</v>
      </c>
    </row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>
      <c r="S42" s="63"/>
    </row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64" width="31.68"/>
    <col collapsed="false" customWidth="true" hidden="false" outlineLevel="0" max="6" min="6" style="64" width="15.77"/>
    <col collapsed="false" customWidth="true" hidden="false" outlineLevel="0" max="7" min="7" style="64" width="12.84"/>
    <col collapsed="false" customWidth="true" hidden="false" outlineLevel="0" max="8" min="8" style="64" width="11.12"/>
    <col collapsed="false" customWidth="true" hidden="false" outlineLevel="0" max="9" min="9" style="64" width="13.16"/>
    <col collapsed="false" customWidth="true" hidden="false" outlineLevel="0" max="10" min="10" style="64" width="37"/>
    <col collapsed="false" customWidth="false" hidden="false" outlineLevel="0" max="16366" min="29" style="64" width="10.83"/>
    <col collapsed="false" customWidth="true" hidden="false" outlineLevel="0" max="16384" min="16367" style="64" width="11.53"/>
  </cols>
  <sheetData>
    <row r="1" customFormat="false" ht="16.5" hidden="false" customHeight="true" outlineLevel="0" collapsed="false">
      <c r="A1" s="51" t="str">
        <f aca="false">Contrôles!K$31</f>
        <v>✓</v>
      </c>
      <c r="B1" s="12"/>
      <c r="C1" s="65" t="n">
        <f aca="false">C$2-365</f>
        <v>45913</v>
      </c>
      <c r="D1" s="65"/>
    </row>
    <row r="2" customFormat="false" ht="16.5" hidden="false" customHeight="true" outlineLevel="0" collapsed="false">
      <c r="A2" s="12"/>
      <c r="B2" s="12"/>
      <c r="C2" s="65" t="n">
        <f aca="true">TODAY()</f>
        <v>46278</v>
      </c>
      <c r="D2" s="65"/>
    </row>
    <row r="3" customFormat="false" ht="28.5" hidden="false" customHeight="true" outlineLevel="0" collapsed="false">
      <c r="A3" s="26" t="s">
        <v>75</v>
      </c>
      <c r="B3" s="26" t="s">
        <v>64</v>
      </c>
      <c r="C3" s="26" t="s">
        <v>76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77</v>
      </c>
      <c r="B5" s="55" t="s">
        <v>78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79</v>
      </c>
      <c r="B6" s="55" t="s">
        <v>78</v>
      </c>
      <c r="C6" s="16" t="n">
        <f aca="false">SUMIF(CATposte,A6,CATaffectation)</f>
        <v>0</v>
      </c>
      <c r="D6" s="16"/>
    </row>
    <row r="7" customFormat="false" ht="16.5" hidden="false" customHeight="true" outlineLevel="0" collapsed="false">
      <c r="A7" s="32" t="s">
        <v>4</v>
      </c>
      <c r="B7" s="55"/>
      <c r="C7" s="16"/>
      <c r="D7" s="16"/>
    </row>
    <row r="8" customFormat="false" ht="17.25" hidden="false" customHeight="true" outlineLevel="0" collapsed="false">
      <c r="A8" s="66" t="s">
        <v>80</v>
      </c>
      <c r="B8" s="59"/>
      <c r="C8" s="62" t="n">
        <f aca="false">SUM(POSTESmontant)</f>
        <v>0</v>
      </c>
      <c r="D8" s="67"/>
    </row>
    <row r="9" customFormat="false" ht="16.5" hidden="false" customHeight="true" outlineLevel="0" collapsed="false">
      <c r="A9" s="68" t="s">
        <v>81</v>
      </c>
      <c r="B9" s="69"/>
      <c r="C9" s="70" t="n">
        <f aca="false">SUMIF(POSTEStype,"Fixe",POSTESmontant)</f>
        <v>0</v>
      </c>
      <c r="D9" s="71"/>
    </row>
    <row r="10" customFormat="false" ht="17.25" hidden="false" customHeight="true" outlineLevel="0" collapsed="false">
      <c r="A10" s="68" t="s">
        <v>82</v>
      </c>
      <c r="B10" s="69"/>
      <c r="C10" s="70" t="n">
        <f aca="false">C$9/12</f>
        <v>0</v>
      </c>
      <c r="D10" s="72"/>
    </row>
    <row r="11" customFormat="false" ht="16.5" hidden="false" customHeight="true" outlineLevel="0" collapsed="false">
      <c r="A11" s="68" t="s">
        <v>83</v>
      </c>
      <c r="B11" s="69"/>
      <c r="C11" s="70" t="n">
        <f aca="false">ROUND(C$8-I$29,2)</f>
        <v>0</v>
      </c>
      <c r="D11" s="73"/>
    </row>
    <row r="13" customFormat="false" ht="18.75" hidden="false" customHeight="true" outlineLevel="0" collapsed="false">
      <c r="E13" s="74" t="s">
        <v>45</v>
      </c>
      <c r="F13" s="74"/>
      <c r="G13" s="74"/>
      <c r="H13" s="74"/>
      <c r="I13" s="74"/>
      <c r="J13" s="74"/>
    </row>
    <row r="14" customFormat="false" ht="37.5" hidden="false" customHeight="true" outlineLevel="0" collapsed="false">
      <c r="E14" s="75" t="s">
        <v>84</v>
      </c>
      <c r="F14" s="76" t="s">
        <v>74</v>
      </c>
      <c r="G14" s="26" t="s">
        <v>85</v>
      </c>
      <c r="H14" s="51" t="s">
        <v>86</v>
      </c>
      <c r="I14" s="26" t="s">
        <v>87</v>
      </c>
      <c r="J14" s="26" t="s">
        <v>75</v>
      </c>
    </row>
    <row r="15" customFormat="false" ht="15" hidden="false" customHeight="true" outlineLevel="0" collapsed="false">
      <c r="E15" s="75" t="s">
        <v>88</v>
      </c>
      <c r="F15" s="77" t="n">
        <f aca="false">INDEX(COTcours,MATCH($F$14,COTcode,0))</f>
        <v>1</v>
      </c>
      <c r="G15" s="12"/>
      <c r="H15" s="78"/>
      <c r="I15" s="79"/>
      <c r="J15" s="79"/>
    </row>
    <row r="16" customFormat="false" ht="15" hidden="false" customHeight="true" outlineLevel="0" collapsed="false">
      <c r="E16" s="32" t="s">
        <v>4</v>
      </c>
      <c r="F16" s="16"/>
      <c r="G16" s="16"/>
      <c r="H16" s="80"/>
      <c r="I16" s="16"/>
      <c r="J16" s="81"/>
    </row>
    <row r="17" customFormat="false" ht="16.5" hidden="false" customHeight="true" outlineLevel="0" collapsed="false">
      <c r="E17" s="32" t="s">
        <v>89</v>
      </c>
      <c r="F17" s="16" t="n">
        <f aca="false">SUMIFS(OPmontant,OPdevise,F$14,OPcatégorie,$E17,OPdate,"&gt;"&amp;$C$2-365)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80"/>
      <c r="I17" s="16"/>
      <c r="J17" s="81"/>
    </row>
    <row r="18" customFormat="false" ht="16.5" hidden="false" customHeight="true" outlineLevel="0" collapsed="false">
      <c r="E18" s="32" t="s">
        <v>90</v>
      </c>
      <c r="F18" s="16" t="n">
        <f aca="false">SUMIFS(OPmontant,OPdevise,F$14,OPcatégorie,$E18,OPdate,"&gt;"&amp;$C$2-365)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80"/>
      <c r="I18" s="16"/>
      <c r="J18" s="81"/>
    </row>
    <row r="19" customFormat="false" ht="16.5" hidden="false" customHeight="true" outlineLevel="0" collapsed="false">
      <c r="E19" s="32" t="s">
        <v>91</v>
      </c>
      <c r="F19" s="16" t="n">
        <f aca="false">SUMIFS(OPmontant,OPdevise,F$14,OPcatégorie,$E19,OPdate,"&gt;"&amp;$C$2-365)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2"/>
    </row>
    <row r="20" customFormat="false" ht="16.5" hidden="false" customHeight="true" outlineLevel="0" collapsed="false">
      <c r="E20" s="32" t="s">
        <v>92</v>
      </c>
      <c r="F20" s="16" t="n">
        <f aca="false">SUMIFS(OPmontant,OPdevise,F$14,OPcatégorie,$E20,OPdate,"&gt;"&amp;$C$2-365)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2"/>
    </row>
    <row r="21" customFormat="false" ht="16.5" hidden="false" customHeight="true" outlineLevel="0" collapsed="false">
      <c r="E21" s="32" t="s">
        <v>93</v>
      </c>
      <c r="F21" s="16" t="n">
        <f aca="false">SUMIFS(OPmontant,OPdevise,F$14,OPcatégorie,$E21,OPdate,"&gt;"&amp;$C$2-365)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16"/>
      <c r="I21" s="16"/>
      <c r="J21" s="52"/>
    </row>
    <row r="22" customFormat="false" ht="16.5" hidden="false" customHeight="true" outlineLevel="0" collapsed="false">
      <c r="E22" s="32" t="s">
        <v>94</v>
      </c>
      <c r="F22" s="16" t="n">
        <f aca="false">SUMIFS(OPmontant,OPdevise,F$14,OPcatégorie,$E22,OPdate,"&gt;"&amp;$C$2-365)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0"/>
      <c r="I22" s="16"/>
      <c r="J22" s="81"/>
    </row>
    <row r="23" customFormat="false" ht="16.5" hidden="false" customHeight="true" outlineLevel="0" collapsed="false">
      <c r="E23" s="32" t="s">
        <v>12</v>
      </c>
      <c r="F23" s="16" t="n">
        <f aca="false">SUMIFS(OPmontant,OPdevise,F$14,OPcatégorie,$E23,OPdate,"&gt;"&amp;$C$2-365)</f>
        <v>0</v>
      </c>
      <c r="G23" s="16" t="n">
        <f aca="false">SUMPRODUCT(SUMIFS(OPmontant,OPcatégorie,$E23,OPdate,"&gt;"&amp;$C$2-365,OPdevise,COTcode)*COTcours)</f>
        <v>0</v>
      </c>
      <c r="H23" s="82" t="n">
        <v>1</v>
      </c>
      <c r="I23" s="16" t="n">
        <f aca="false">G23*H23</f>
        <v>0</v>
      </c>
      <c r="J23" s="52" t="s">
        <v>77</v>
      </c>
    </row>
    <row r="24" customFormat="false" ht="16.5" hidden="false" customHeight="true" outlineLevel="0" collapsed="false">
      <c r="E24" s="32" t="s">
        <v>95</v>
      </c>
      <c r="F24" s="16" t="n">
        <f aca="false">SUMIFS(OPmontant,OPdevise,F$14,OPcatégorie,$E24,OPdate,"&gt;"&amp;$C$2-365)</f>
        <v>0</v>
      </c>
      <c r="G24" s="16" t="n">
        <f aca="false">SUMPRODUCT(SUMIFS(OPmontant,OPcatégorie,$E24,OPdate,"&gt;"&amp;$C$2-365,OPdevise,COTcode)*COTcours)</f>
        <v>0</v>
      </c>
      <c r="H24" s="83" t="n">
        <v>1</v>
      </c>
      <c r="I24" s="16" t="n">
        <f aca="false">G24*H24</f>
        <v>0</v>
      </c>
      <c r="J24" s="52" t="s">
        <v>79</v>
      </c>
    </row>
    <row r="25" customFormat="false" ht="17.25" hidden="false" customHeight="true" outlineLevel="0" collapsed="false">
      <c r="E25" s="32" t="s">
        <v>4</v>
      </c>
      <c r="F25" s="16"/>
      <c r="G25" s="16"/>
      <c r="H25" s="16"/>
      <c r="I25" s="16"/>
      <c r="J25" s="52"/>
    </row>
    <row r="26" customFormat="false" ht="19.5" hidden="false" customHeight="true" outlineLevel="0" collapsed="false">
      <c r="E26" s="66" t="s">
        <v>50</v>
      </c>
      <c r="F26" s="62" t="n">
        <f aca="false">SUM(CATmontant)</f>
        <v>0</v>
      </c>
      <c r="G26" s="62" t="n">
        <f aca="false">SUM(CATtotal_euro)</f>
        <v>0</v>
      </c>
      <c r="H26" s="84"/>
      <c r="I26" s="62"/>
      <c r="J26" s="84"/>
    </row>
    <row r="27" customFormat="false" ht="18" hidden="false" customHeight="true" outlineLevel="0" collapsed="false">
      <c r="E27" s="68" t="s">
        <v>96</v>
      </c>
      <c r="F27" s="70" t="n">
        <f aca="false">SUMIFS(OPmontant,OPdevise,F$14,OPdate,"&gt;"&amp;$C$2-365,OPcatégorie,"&lt;&gt;"&amp;Spéciale)</f>
        <v>0</v>
      </c>
      <c r="G27" s="70" t="n">
        <f aca="false">SUMPRODUCT(SUMIFS(OPmontant,OPdate,"&gt;"&amp;$C$2-365,OPcatégorie,"&lt;&gt;"&amp;Spéciale,OPdevise,COTcode)*COTcours)</f>
        <v>0</v>
      </c>
      <c r="H27" s="85"/>
      <c r="I27" s="70"/>
      <c r="J27" s="85"/>
    </row>
    <row r="28" customFormat="false" ht="16.5" hidden="false" customHeight="true" outlineLevel="0" collapsed="false">
      <c r="E28" s="68" t="s">
        <v>97</v>
      </c>
      <c r="F28" s="70" t="n">
        <f aca="false">ROUND(F$26-F$27,2)</f>
        <v>0</v>
      </c>
      <c r="G28" s="70" t="n">
        <f aca="false">ROUND(G$26-G$27,2)</f>
        <v>0</v>
      </c>
      <c r="H28" s="85"/>
      <c r="I28" s="70"/>
      <c r="J28" s="85"/>
    </row>
    <row r="29" customFormat="false" ht="21.75" hidden="false" customHeight="true" outlineLevel="0" collapsed="false">
      <c r="E29" s="68" t="s">
        <v>98</v>
      </c>
      <c r="F29" s="70" t="n">
        <f aca="false">SUMIFS(CATmontant,CATnom,"&lt;&gt;@*")</f>
        <v>0</v>
      </c>
      <c r="G29" s="70" t="n">
        <f aca="false">SUMIFS(CATtotal_euro,CATnom,"&lt;&gt;@*")</f>
        <v>0</v>
      </c>
      <c r="H29" s="85"/>
      <c r="I29" s="70" t="n">
        <f aca="false">SUMIFS(CATaffectation,CATnom,"&lt;&gt;@*")</f>
        <v>0</v>
      </c>
      <c r="J29" s="85"/>
    </row>
    <row r="30" customFormat="false" ht="16.5" hidden="false" customHeight="true" outlineLevel="0" collapsed="false">
      <c r="E30" s="68" t="s">
        <v>99</v>
      </c>
      <c r="F30" s="70" t="n">
        <f aca="false">F$29*INDEX(COTcours,MATCH($F$14,COTcode,0))</f>
        <v>0</v>
      </c>
      <c r="G30" s="70" t="n">
        <f aca="false">SUM(F$30)</f>
        <v>0</v>
      </c>
      <c r="H30" s="85"/>
      <c r="I30" s="70"/>
      <c r="J30" s="85"/>
    </row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E13:J13"/>
  </mergeCells>
  <conditionalFormatting sqref="I29">
    <cfRule type="cellIs" priority="2" operator="notEqual" aboveAverage="0" equalAverage="0" bottom="0" percent="0" rank="0" text="" dxfId="3">
      <formula>$G$29</formula>
    </cfRule>
    <cfRule type="cellIs" priority="3" operator="notEqual" aboveAverage="0" equalAverage="0" bottom="0" percent="0" rank="0" text="" dxfId="3">
      <formula>$G$29</formula>
    </cfRule>
  </conditionalFormatting>
  <conditionalFormatting sqref="C11 F28:G28">
    <cfRule type="cellIs" priority="4" operator="notEqual" aboveAverage="0" equalAverage="0" bottom="0" percent="0" rank="0" text="" dxfId="4">
      <formula>0</formula>
    </cfRule>
  </conditionalFormatting>
  <conditionalFormatting sqref="H23:H24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7:F24">
    <cfRule type="expression" priority="8" aboveAverage="0" equalAverage="0" bottom="0" percent="0" rank="0" text="" dxfId="6">
      <formula>$F$14="EUR"</formula>
    </cfRule>
  </conditionalFormatting>
  <conditionalFormatting sqref="F26:F29">
    <cfRule type="expression" priority="9" aboveAverage="0" equalAverage="0" bottom="0" percent="0" rank="0" text="" dxfId="6">
      <formula>$F$14="EUR"</formula>
    </cfRule>
  </conditionalFormatting>
  <dataValidations count="1">
    <dataValidation allowBlank="true" errorStyle="stop" operator="equal" showDropDown="false" showErrorMessage="true" showInputMessage="false" sqref="F14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4" width="25.15"/>
    <col collapsed="false" customWidth="true" hidden="false" outlineLevel="0" max="2" min="2" style="64" width="31.42"/>
    <col collapsed="false" customWidth="true" hidden="false" outlineLevel="0" max="3" min="3" style="64" width="28.57"/>
    <col collapsed="false" customWidth="true" hidden="false" outlineLevel="0" max="4" min="4" style="64" width="15.09"/>
    <col collapsed="false" customWidth="true" hidden="false" outlineLevel="0" max="5" min="5" style="86" width="17.62"/>
    <col collapsed="false" customWidth="true" hidden="false" outlineLevel="0" max="6" min="6" style="64" width="13.67"/>
    <col collapsed="false" customWidth="true" hidden="false" outlineLevel="0" max="7" min="7" style="86" width="9.16"/>
    <col collapsed="false" customWidth="true" hidden="false" outlineLevel="0" max="8" min="8" style="64" width="15.66"/>
    <col collapsed="false" customWidth="true" hidden="false" outlineLevel="0" max="9" min="9" style="64" width="17.74"/>
    <col collapsed="false" customWidth="true" hidden="false" outlineLevel="0" max="10" min="10" style="64" width="15.66"/>
    <col collapsed="false" customWidth="true" hidden="false" outlineLevel="0" max="11" min="11" style="86" width="17.74"/>
    <col collapsed="false" customWidth="true" hidden="false" outlineLevel="0" max="12" min="12" style="86" width="13.67"/>
    <col collapsed="false" customWidth="false" hidden="false" outlineLevel="0" max="16379" min="13" style="64" width="13.16"/>
    <col collapsed="false" customWidth="true" hidden="false" outlineLevel="0" max="16384" min="16380" style="64" width="11.53"/>
  </cols>
  <sheetData>
    <row r="1" customFormat="false" ht="16.5" hidden="false" customHeight="true" outlineLevel="0" collapsed="false">
      <c r="A1" s="75" t="str">
        <f aca="false">Contrôles!$K31</f>
        <v>✓</v>
      </c>
      <c r="B1" s="47" t="s">
        <v>100</v>
      </c>
      <c r="C1" s="12"/>
      <c r="D1" s="75"/>
      <c r="E1" s="12"/>
      <c r="F1" s="75"/>
      <c r="G1" s="12"/>
      <c r="H1" s="12"/>
      <c r="I1" s="12"/>
      <c r="J1" s="75"/>
      <c r="K1" s="75"/>
    </row>
    <row r="2" customFormat="false" ht="16.5" hidden="false" customHeight="true" outlineLevel="0" collapsed="false">
      <c r="A2" s="47"/>
      <c r="B2" s="47" t="s">
        <v>101</v>
      </c>
      <c r="C2" s="47"/>
      <c r="D2" s="75"/>
      <c r="E2" s="12"/>
      <c r="F2" s="75"/>
      <c r="G2" s="12"/>
      <c r="H2" s="12"/>
      <c r="I2" s="12"/>
      <c r="J2" s="47"/>
      <c r="K2" s="12"/>
    </row>
    <row r="3" customFormat="false" ht="16.5" hidden="false" customHeight="true" outlineLevel="0" collapsed="false">
      <c r="A3" s="47"/>
      <c r="B3" s="47" t="str">
        <f aca="false">IF(OR(ISERROR(E15),ISERROR(K15)),"✗","✓")</f>
        <v>✓</v>
      </c>
      <c r="C3" s="47"/>
      <c r="D3" s="75"/>
      <c r="E3" s="11" t="n">
        <f aca="false">E15</f>
        <v>0</v>
      </c>
      <c r="F3" s="75"/>
      <c r="G3" s="87" t="n">
        <f aca="false">G15</f>
        <v>0</v>
      </c>
      <c r="H3" s="47"/>
      <c r="I3" s="12"/>
      <c r="J3" s="47"/>
      <c r="K3" s="12"/>
    </row>
    <row r="4" customFormat="false" ht="24.75" hidden="false" customHeight="true" outlineLevel="0" collapsed="false">
      <c r="A4" s="88" t="s">
        <v>102</v>
      </c>
      <c r="B4" s="26" t="s">
        <v>54</v>
      </c>
      <c r="C4" s="26" t="s">
        <v>103</v>
      </c>
      <c r="D4" s="26" t="s">
        <v>67</v>
      </c>
      <c r="E4" s="89" t="s">
        <v>104</v>
      </c>
      <c r="F4" s="26" t="s">
        <v>105</v>
      </c>
      <c r="G4" s="51" t="s">
        <v>106</v>
      </c>
      <c r="H4" s="26" t="s">
        <v>107</v>
      </c>
      <c r="I4" s="90" t="s">
        <v>108</v>
      </c>
      <c r="J4" s="51" t="s">
        <v>109</v>
      </c>
      <c r="K4" s="90" t="s">
        <v>110</v>
      </c>
    </row>
    <row r="5" customFormat="false" ht="16.5" hidden="false" customHeight="true" outlineLevel="0" collapsed="false">
      <c r="A5" s="32" t="s">
        <v>4</v>
      </c>
      <c r="B5" s="52"/>
      <c r="C5" s="52"/>
      <c r="D5" s="52"/>
      <c r="E5" s="52"/>
      <c r="F5" s="52"/>
      <c r="G5" s="52"/>
      <c r="H5" s="52"/>
      <c r="I5" s="52"/>
      <c r="J5" s="52"/>
      <c r="K5" s="52"/>
    </row>
    <row r="6" customFormat="false" ht="16.5" hidden="false" customHeight="true" outlineLevel="0" collapsed="false">
      <c r="A6" s="91" t="s">
        <v>111</v>
      </c>
      <c r="B6" s="52"/>
      <c r="C6" s="52"/>
      <c r="D6" s="52"/>
      <c r="E6" s="52"/>
      <c r="F6" s="52"/>
      <c r="G6" s="52"/>
      <c r="H6" s="52"/>
      <c r="I6" s="52"/>
      <c r="J6" s="52"/>
      <c r="K6" s="52"/>
    </row>
    <row r="7" customFormat="false" ht="16.5" hidden="false" customHeight="true" outlineLevel="0" collapsed="false">
      <c r="A7" s="32"/>
      <c r="B7" s="52"/>
      <c r="C7" s="52"/>
      <c r="D7" s="52"/>
      <c r="E7" s="52"/>
      <c r="F7" s="52"/>
      <c r="G7" s="52"/>
      <c r="H7" s="52"/>
      <c r="I7" s="52"/>
      <c r="J7" s="52"/>
      <c r="K7" s="52"/>
    </row>
    <row r="8" customFormat="false" ht="16.5" hidden="false" customHeight="true" outlineLevel="0" collapsed="false">
      <c r="A8" s="91" t="s">
        <v>112</v>
      </c>
      <c r="B8" s="52"/>
      <c r="C8" s="52"/>
      <c r="D8" s="52"/>
      <c r="E8" s="52"/>
      <c r="F8" s="52"/>
      <c r="G8" s="52"/>
      <c r="H8" s="52"/>
      <c r="I8" s="52"/>
      <c r="J8" s="52"/>
      <c r="K8" s="52"/>
    </row>
    <row r="9" customFormat="false" ht="16.5" hidden="false" customHeight="true" outlineLevel="0" collapsed="false">
      <c r="A9" s="32"/>
      <c r="B9" s="52"/>
      <c r="C9" s="52"/>
      <c r="D9" s="52"/>
      <c r="E9" s="52"/>
      <c r="F9" s="52"/>
      <c r="G9" s="52"/>
      <c r="H9" s="52"/>
      <c r="I9" s="52"/>
      <c r="J9" s="52"/>
      <c r="K9" s="52"/>
    </row>
    <row r="10" customFormat="false" ht="16.5" hidden="false" customHeight="true" outlineLevel="0" collapsed="false">
      <c r="A10" s="91" t="s">
        <v>113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</row>
    <row r="11" customFormat="false" ht="16.5" hidden="false" customHeight="true" outlineLevel="0" collapsed="false">
      <c r="A11" s="32"/>
      <c r="B11" s="52"/>
      <c r="C11" s="52"/>
      <c r="D11" s="52"/>
      <c r="E11" s="52"/>
      <c r="F11" s="52"/>
      <c r="G11" s="52"/>
      <c r="H11" s="52"/>
      <c r="I11" s="52"/>
      <c r="J11" s="52"/>
      <c r="K11" s="52"/>
    </row>
    <row r="12" customFormat="false" ht="16.5" hidden="false" customHeight="true" outlineLevel="0" collapsed="false">
      <c r="A12" s="91" t="s">
        <v>114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</row>
    <row r="13" customFormat="false" ht="16.5" hidden="false" customHeight="true" outlineLevel="0" collapsed="false">
      <c r="A13" s="32"/>
      <c r="B13" s="52"/>
      <c r="C13" s="52"/>
      <c r="D13" s="52"/>
      <c r="E13" s="52"/>
      <c r="F13" s="52"/>
      <c r="G13" s="52"/>
      <c r="H13" s="52"/>
      <c r="I13" s="52"/>
      <c r="J13" s="52"/>
      <c r="K13" s="52"/>
    </row>
    <row r="14" customFormat="false" ht="16.5" hidden="false" customHeight="true" outlineLevel="0" collapsed="false">
      <c r="A14" s="91" t="s">
        <v>4</v>
      </c>
      <c r="B14" s="92"/>
      <c r="C14" s="93"/>
      <c r="D14" s="94"/>
      <c r="E14" s="93"/>
      <c r="F14" s="93"/>
      <c r="G14" s="95"/>
      <c r="H14" s="93"/>
      <c r="I14" s="93"/>
      <c r="J14" s="93"/>
      <c r="K14" s="93"/>
    </row>
    <row r="15" customFormat="false" ht="16.5" hidden="false" customHeight="true" outlineLevel="0" collapsed="false">
      <c r="A15" s="59" t="s">
        <v>57</v>
      </c>
      <c r="B15" s="59"/>
      <c r="C15" s="59"/>
      <c r="D15" s="61" t="s">
        <v>74</v>
      </c>
      <c r="E15" s="96" t="n">
        <f aca="false">SUM(E16:E19)</f>
        <v>0</v>
      </c>
      <c r="F15" s="97" t="e">
        <f aca="false">E15/(H15+I15)</f>
        <v>#DIV/0!</v>
      </c>
      <c r="G15" s="98" t="n">
        <f aca="false">MIN(G16:G19)</f>
        <v>0</v>
      </c>
      <c r="H15" s="99" t="n">
        <f aca="false">SUM(H16:H19)</f>
        <v>0</v>
      </c>
      <c r="I15" s="99" t="n">
        <f aca="false">SUM(I16:I19)</f>
        <v>0</v>
      </c>
      <c r="J15" s="100"/>
      <c r="K15" s="96" t="n">
        <f aca="false">SUM(K16:K19)</f>
        <v>0</v>
      </c>
    </row>
    <row r="16" customFormat="false" ht="16.5" hidden="false" customHeight="true" outlineLevel="0" collapsed="false">
      <c r="A16" s="32" t="s">
        <v>115</v>
      </c>
      <c r="B16" s="32"/>
      <c r="C16" s="32"/>
      <c r="D16" s="22" t="s">
        <v>74</v>
      </c>
      <c r="E16" s="101" t="n">
        <f aca="false">K16-(H16+I16)</f>
        <v>0</v>
      </c>
      <c r="F16" s="102" t="e">
        <f aca="false">E16/(H16+I16)</f>
        <v>#DIV/0!</v>
      </c>
      <c r="G16" s="103" t="n">
        <f aca="false">MIN(_xlfn.MINIFS(G:G,A:A,"portefeuilles",C:C,"Retenu",G:G,"&gt;0"))</f>
        <v>0</v>
      </c>
      <c r="H16" s="104" t="n">
        <f aca="false">SUMPRODUCT((PVLsection="portefeuilles")*(PVLtitre="Retenu")*PVLmontant_init*IFERROR(INDEX(COTcours,MATCH(PVLdevise,COTcode,0)),1))</f>
        <v>0</v>
      </c>
      <c r="I16" s="104" t="n">
        <f aca="false">SUMPRODUCT((PVLsection="portefeuilles")*(PVLtitre="Retenu")*PVLsigma*IFERROR(INDEX(COTcours,MATCH(PVLdevise,COTcode,0)),1))</f>
        <v>0</v>
      </c>
      <c r="J16" s="103" t="n">
        <f aca="false">_xlfn.MAXIFS(J:J,A:A,"portefeuilles",C:C,"Retenu")</f>
        <v>0</v>
      </c>
      <c r="K16" s="101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2" t="s">
        <v>116</v>
      </c>
      <c r="B17" s="32"/>
      <c r="C17" s="32"/>
      <c r="D17" s="22" t="s">
        <v>74</v>
      </c>
      <c r="E17" s="101" t="n">
        <f aca="false">K17-(H17+I17)</f>
        <v>0</v>
      </c>
      <c r="F17" s="102" t="e">
        <f aca="false">E17/(H17+I17)</f>
        <v>#DIV/0!</v>
      </c>
      <c r="G17" s="103" t="n">
        <f aca="false">MIN(_xlfn.MINIFS(G:G,A:A,"métaux",G:G,"&gt;0"))</f>
        <v>0</v>
      </c>
      <c r="H17" s="104" t="n">
        <f aca="false">SUMIFS(PVLmontant_init,PVLsection,"métaux")</f>
        <v>0</v>
      </c>
      <c r="I17" s="104" t="n">
        <f aca="false">SUMIFS(PVLsigma,PVLsection,"métaux")</f>
        <v>0</v>
      </c>
      <c r="J17" s="103" t="n">
        <f aca="false">_xlfn.MAXIFS(J:J,A:A,"métaux")</f>
        <v>0</v>
      </c>
      <c r="K17" s="101" t="n">
        <f aca="false">SUMIFS(PVLmontant,PVLsection,"métaux")</f>
        <v>0</v>
      </c>
    </row>
    <row r="18" customFormat="false" ht="16.5" hidden="false" customHeight="true" outlineLevel="0" collapsed="false">
      <c r="A18" s="32" t="s">
        <v>117</v>
      </c>
      <c r="B18" s="32"/>
      <c r="C18" s="32"/>
      <c r="D18" s="22" t="s">
        <v>74</v>
      </c>
      <c r="E18" s="101" t="n">
        <f aca="false">K18-(H18+I18)</f>
        <v>0</v>
      </c>
      <c r="F18" s="102" t="e">
        <f aca="false">E18/(H18+I18)</f>
        <v>#DIV/0!</v>
      </c>
      <c r="G18" s="103" t="n">
        <f aca="false">MIN(_xlfn.MINIFS(G:G,A:A,"crypto",G:G,"&gt;0"))</f>
        <v>0</v>
      </c>
      <c r="H18" s="104" t="n">
        <f aca="false">SUMIFS(PVLmontant_init,PVLsection,"crypto")</f>
        <v>0</v>
      </c>
      <c r="I18" s="104" t="n">
        <f aca="false">SUMIFS(PVLsigma,PVLsection,"crypto")</f>
        <v>0</v>
      </c>
      <c r="J18" s="103" t="n">
        <f aca="false">_xlfn.MAXIFS(J:J,A:A,"crypto")</f>
        <v>0</v>
      </c>
      <c r="K18" s="101" t="n">
        <f aca="false">SUMIFS(PVLmontant,PVLsection,"crypto")</f>
        <v>0</v>
      </c>
    </row>
    <row r="19" customFormat="false" ht="16.5" hidden="false" customHeight="true" outlineLevel="0" collapsed="false">
      <c r="A19" s="32" t="s">
        <v>118</v>
      </c>
      <c r="B19" s="32"/>
      <c r="C19" s="32"/>
      <c r="D19" s="22" t="s">
        <v>74</v>
      </c>
      <c r="E19" s="101" t="n">
        <f aca="false">K19-(H19+I19)</f>
        <v>0</v>
      </c>
      <c r="F19" s="102" t="e">
        <f aca="false">E19/(H19+I19)</f>
        <v>#DIV/0!</v>
      </c>
      <c r="G19" s="103" t="n">
        <f aca="false">MIN(_xlfn.MINIFS(G:G,A:A,"devises",G:G,"&gt;0"))</f>
        <v>0</v>
      </c>
      <c r="H19" s="104" t="n">
        <f aca="false">SUMIFS(PVLmontant_init,PVLsection,"devises")</f>
        <v>0</v>
      </c>
      <c r="I19" s="104" t="n">
        <f aca="false">SUMIFS(PVLsigma,PVLsection,"devises")</f>
        <v>0</v>
      </c>
      <c r="J19" s="103" t="n">
        <f aca="false">_xlfn.MAXIFS(J:J,A:A,"devises")</f>
        <v>0</v>
      </c>
      <c r="K19" s="101" t="n">
        <f aca="false">SUMIFS(PVLmontant,PVLsection,"devises")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5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8.13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41.5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7" t="s">
        <v>119</v>
      </c>
      <c r="B1" s="5"/>
      <c r="C1" s="5"/>
      <c r="D1" s="5"/>
      <c r="E1" s="106"/>
      <c r="F1" s="10" t="s">
        <v>120</v>
      </c>
      <c r="G1" s="5"/>
      <c r="H1" s="5"/>
      <c r="I1" s="5"/>
    </row>
    <row r="2" customFormat="false" ht="16.5" hidden="false" customHeight="true" outlineLevel="0" collapsed="false">
      <c r="A2" s="107" t="n">
        <f aca="true">TODAY()</f>
        <v>46278</v>
      </c>
      <c r="B2" s="49" t="str">
        <f aca="false">Contrôles!K$31</f>
        <v>✓</v>
      </c>
      <c r="C2" s="108"/>
      <c r="D2" s="5"/>
      <c r="E2" s="106"/>
      <c r="F2" s="109" t="s">
        <v>121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9" t="s">
        <v>70</v>
      </c>
      <c r="B3" s="49" t="s">
        <v>122</v>
      </c>
      <c r="C3" s="49" t="s">
        <v>71</v>
      </c>
      <c r="D3" s="49" t="s">
        <v>67</v>
      </c>
      <c r="E3" s="49" t="s">
        <v>123</v>
      </c>
      <c r="F3" s="51" t="s">
        <v>124</v>
      </c>
      <c r="G3" s="49" t="s">
        <v>125</v>
      </c>
      <c r="H3" s="49" t="s">
        <v>54</v>
      </c>
      <c r="I3" s="47" t="s">
        <v>126</v>
      </c>
    </row>
    <row r="4" customFormat="false" ht="14.25" hidden="false" customHeight="true" outlineLevel="0" collapsed="false">
      <c r="A4" s="110" t="s">
        <v>4</v>
      </c>
      <c r="B4" s="111"/>
      <c r="C4" s="112"/>
      <c r="D4" s="113"/>
      <c r="E4" s="112"/>
      <c r="F4" s="114"/>
      <c r="G4" s="115"/>
      <c r="H4" s="115"/>
      <c r="I4" s="111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75" hidden="false" customHeight="true" outlineLevel="0" collapsed="false"/>
    <row r="1045899" customFormat="false" ht="12.75" hidden="false" customHeight="true" outlineLevel="0" collapsed="false"/>
    <row r="1045900" customFormat="false" ht="12.75" hidden="false" customHeight="true" outlineLevel="0" collapsed="false"/>
    <row r="1045901" customFormat="false" ht="12.75" hidden="false" customHeight="true" outlineLevel="0" collapsed="false"/>
    <row r="1045902" customFormat="false" ht="12.75" hidden="false" customHeight="true" outlineLevel="0" collapsed="false"/>
    <row r="1045903" customFormat="false" ht="12.75" hidden="false" customHeight="true" outlineLevel="0" collapsed="false"/>
    <row r="1045904" customFormat="false" ht="12.75" hidden="false" customHeight="true" outlineLevel="0" collapsed="false"/>
    <row r="1045905" customFormat="false" ht="12.75" hidden="false" customHeight="true" outlineLevel="0" collapsed="false"/>
    <row r="1045906" customFormat="false" ht="12.75" hidden="false" customHeight="true" outlineLevel="0" collapsed="false"/>
    <row r="1045907" customFormat="false" ht="12.75" hidden="false" customHeight="true" outlineLevel="0" collapsed="false"/>
    <row r="1045908" customFormat="false" ht="12.75" hidden="false" customHeight="true" outlineLevel="0" collapsed="false"/>
    <row r="1045909" customFormat="false" ht="12.75" hidden="false" customHeight="true" outlineLevel="0" collapsed="false"/>
    <row r="1045910" customFormat="false" ht="12.75" hidden="false" customHeight="true" outlineLevel="0" collapsed="false"/>
    <row r="1045911" customFormat="false" ht="12.75" hidden="false" customHeight="true" outlineLevel="0" collapsed="false"/>
    <row r="1045912" customFormat="false" ht="12.75" hidden="false" customHeight="true" outlineLevel="0" collapsed="false"/>
    <row r="1045913" customFormat="false" ht="12.75" hidden="false" customHeight="true" outlineLevel="0" collapsed="false"/>
    <row r="1045914" customFormat="false" ht="12.75" hidden="false" customHeight="true" outlineLevel="0" collapsed="false"/>
    <row r="1045915" customFormat="false" ht="12.75" hidden="false" customHeight="true" outlineLevel="0" collapsed="false"/>
    <row r="1045916" customFormat="false" ht="12.75" hidden="false" customHeight="true" outlineLevel="0" collapsed="false"/>
    <row r="1045917" customFormat="false" ht="12.75" hidden="false" customHeight="true" outlineLevel="0" collapsed="false"/>
    <row r="1045918" customFormat="false" ht="12.75" hidden="false" customHeight="true" outlineLevel="0" collapsed="false"/>
    <row r="1045919" customFormat="false" ht="12.75" hidden="false" customHeight="true" outlineLevel="0" collapsed="false"/>
    <row r="1045920" customFormat="false" ht="12.75" hidden="false" customHeight="true" outlineLevel="0" collapsed="false"/>
    <row r="1045921" customFormat="false" ht="12.75" hidden="false" customHeight="true" outlineLevel="0" collapsed="false"/>
    <row r="1045922" customFormat="false" ht="12.75" hidden="false" customHeight="true" outlineLevel="0" collapsed="false"/>
    <row r="1045923" customFormat="false" ht="12.75" hidden="false" customHeight="true" outlineLevel="0" collapsed="false"/>
    <row r="1045924" customFormat="false" ht="12.75" hidden="false" customHeight="true" outlineLevel="0" collapsed="false"/>
    <row r="1045925" customFormat="false" ht="12.75" hidden="false" customHeight="true" outlineLevel="0" collapsed="false"/>
    <row r="1045926" customFormat="false" ht="12.75" hidden="false" customHeight="true" outlineLevel="0" collapsed="false"/>
    <row r="1045927" customFormat="false" ht="12.75" hidden="false" customHeight="true" outlineLevel="0" collapsed="false"/>
    <row r="1045928" customFormat="false" ht="12.75" hidden="false" customHeight="true" outlineLevel="0" collapsed="false"/>
    <row r="1045929" customFormat="false" ht="12.75" hidden="false" customHeight="true" outlineLevel="0" collapsed="false"/>
    <row r="1045930" customFormat="false" ht="12.75" hidden="false" customHeight="true" outlineLevel="0" collapsed="false"/>
    <row r="1045931" customFormat="false" ht="12.75" hidden="false" customHeight="true" outlineLevel="0" collapsed="false"/>
    <row r="1045932" customFormat="false" ht="12.75" hidden="false" customHeight="true" outlineLevel="0" collapsed="false"/>
    <row r="1045933" customFormat="false" ht="12.75" hidden="false" customHeight="true" outlineLevel="0" collapsed="false"/>
    <row r="1045934" customFormat="false" ht="12.75" hidden="false" customHeight="true" outlineLevel="0" collapsed="false"/>
    <row r="1045935" customFormat="false" ht="12.75" hidden="false" customHeight="true" outlineLevel="0" collapsed="false"/>
    <row r="1045936" customFormat="false" ht="12.75" hidden="false" customHeight="true" outlineLevel="0" collapsed="false"/>
    <row r="1045937" customFormat="false" ht="12.75" hidden="false" customHeight="true" outlineLevel="0" collapsed="false"/>
    <row r="1045938" customFormat="false" ht="12.75" hidden="false" customHeight="true" outlineLevel="0" collapsed="false"/>
    <row r="1045939" customFormat="false" ht="12.75" hidden="false" customHeight="true" outlineLevel="0" collapsed="false"/>
    <row r="1045940" customFormat="false" ht="12.75" hidden="false" customHeight="true" outlineLevel="0" collapsed="false"/>
    <row r="1045941" customFormat="false" ht="12.75" hidden="false" customHeight="true" outlineLevel="0" collapsed="false"/>
    <row r="1045942" customFormat="false" ht="12.75" hidden="false" customHeight="true" outlineLevel="0" collapsed="false"/>
    <row r="1045943" customFormat="false" ht="12.75" hidden="false" customHeight="true" outlineLevel="0" collapsed="false"/>
    <row r="1045944" customFormat="false" ht="12.75" hidden="false" customHeight="true" outlineLevel="0" collapsed="false"/>
    <row r="1045945" customFormat="false" ht="12.75" hidden="false" customHeight="true" outlineLevel="0" collapsed="false"/>
    <row r="1045946" customFormat="false" ht="12.75" hidden="false" customHeight="true" outlineLevel="0" collapsed="false"/>
    <row r="1045947" customFormat="false" ht="12.75" hidden="false" customHeight="true" outlineLevel="0" collapsed="false"/>
    <row r="1045948" customFormat="false" ht="12.75" hidden="false" customHeight="true" outlineLevel="0" collapsed="false"/>
    <row r="1045949" customFormat="false" ht="12.75" hidden="false" customHeight="true" outlineLevel="0" collapsed="false"/>
    <row r="1045950" customFormat="false" ht="12.75" hidden="false" customHeight="true" outlineLevel="0" collapsed="false"/>
    <row r="1045951" customFormat="false" ht="12.75" hidden="false" customHeight="true" outlineLevel="0" collapsed="false"/>
    <row r="1045952" customFormat="false" ht="12.75" hidden="false" customHeight="true" outlineLevel="0" collapsed="false"/>
    <row r="1045953" customFormat="false" ht="12.75" hidden="false" customHeight="true" outlineLevel="0" collapsed="false"/>
    <row r="1045954" customFormat="false" ht="12.75" hidden="false" customHeight="true" outlineLevel="0" collapsed="false"/>
    <row r="1045955" customFormat="false" ht="12.75" hidden="false" customHeight="true" outlineLevel="0" collapsed="false"/>
    <row r="1045956" customFormat="false" ht="12.75" hidden="false" customHeight="true" outlineLevel="0" collapsed="false"/>
    <row r="1045957" customFormat="false" ht="12.75" hidden="false" customHeight="true" outlineLevel="0" collapsed="false"/>
    <row r="1045958" customFormat="false" ht="12.75" hidden="false" customHeight="true" outlineLevel="0" collapsed="false"/>
    <row r="1045959" customFormat="false" ht="12.75" hidden="false" customHeight="true" outlineLevel="0" collapsed="false"/>
    <row r="1045960" customFormat="false" ht="12.75" hidden="false" customHeight="true" outlineLevel="0" collapsed="false"/>
    <row r="1045961" customFormat="false" ht="12.75" hidden="false" customHeight="true" outlineLevel="0" collapsed="false"/>
    <row r="1045962" customFormat="false" ht="12.75" hidden="false" customHeight="true" outlineLevel="0" collapsed="false"/>
    <row r="1045963" customFormat="false" ht="12.75" hidden="false" customHeight="true" outlineLevel="0" collapsed="false"/>
    <row r="1045964" customFormat="false" ht="12.75" hidden="false" customHeight="true" outlineLevel="0" collapsed="false"/>
    <row r="1045965" customFormat="false" ht="12.75" hidden="false" customHeight="true" outlineLevel="0" collapsed="false"/>
    <row r="1045966" customFormat="false" ht="12.75" hidden="false" customHeight="true" outlineLevel="0" collapsed="false"/>
    <row r="1045967" customFormat="false" ht="12.75" hidden="false" customHeight="true" outlineLevel="0" collapsed="false"/>
    <row r="1045968" customFormat="false" ht="12.75" hidden="false" customHeight="true" outlineLevel="0" collapsed="false"/>
    <row r="1045969" customFormat="false" ht="12.75" hidden="false" customHeight="true" outlineLevel="0" collapsed="false"/>
    <row r="1045970" customFormat="false" ht="12.75" hidden="false" customHeight="true" outlineLevel="0" collapsed="false"/>
    <row r="1045971" customFormat="false" ht="12.75" hidden="false" customHeight="true" outlineLevel="0" collapsed="false"/>
    <row r="1045972" customFormat="false" ht="12.75" hidden="false" customHeight="true" outlineLevel="0" collapsed="false"/>
    <row r="1045973" customFormat="false" ht="12.75" hidden="false" customHeight="true" outlineLevel="0" collapsed="false"/>
    <row r="1045974" customFormat="false" ht="12.75" hidden="false" customHeight="true" outlineLevel="0" collapsed="false"/>
    <row r="1045975" customFormat="false" ht="12.75" hidden="false" customHeight="true" outlineLevel="0" collapsed="false"/>
    <row r="1045976" customFormat="false" ht="12.75" hidden="false" customHeight="true" outlineLevel="0" collapsed="false"/>
    <row r="1045977" customFormat="false" ht="12.75" hidden="false" customHeight="true" outlineLevel="0" collapsed="false"/>
    <row r="1045978" customFormat="false" ht="12.75" hidden="false" customHeight="true" outlineLevel="0" collapsed="false"/>
    <row r="1045979" customFormat="false" ht="12.75" hidden="false" customHeight="true" outlineLevel="0" collapsed="false"/>
    <row r="1045980" customFormat="false" ht="12.75" hidden="false" customHeight="true" outlineLevel="0" collapsed="false"/>
    <row r="1045981" customFormat="false" ht="12.75" hidden="false" customHeight="true" outlineLevel="0" collapsed="false"/>
    <row r="1045982" customFormat="false" ht="12.75" hidden="false" customHeight="true" outlineLevel="0" collapsed="false"/>
    <row r="1045983" customFormat="false" ht="12.75" hidden="false" customHeight="true" outlineLevel="0" collapsed="false"/>
    <row r="1045984" customFormat="false" ht="12.75" hidden="false" customHeight="true" outlineLevel="0" collapsed="false"/>
    <row r="1045985" customFormat="false" ht="12.75" hidden="false" customHeight="true" outlineLevel="0" collapsed="false"/>
    <row r="1045986" customFormat="false" ht="12.75" hidden="false" customHeight="true" outlineLevel="0" collapsed="false"/>
    <row r="1045987" customFormat="false" ht="12.75" hidden="false" customHeight="true" outlineLevel="0" collapsed="false"/>
    <row r="1045988" customFormat="false" ht="12.75" hidden="false" customHeight="true" outlineLevel="0" collapsed="false"/>
    <row r="1045989" customFormat="false" ht="12.75" hidden="false" customHeight="true" outlineLevel="0" collapsed="false"/>
    <row r="1045990" customFormat="false" ht="12.75" hidden="false" customHeight="true" outlineLevel="0" collapsed="false"/>
    <row r="1045991" customFormat="false" ht="12.75" hidden="false" customHeight="true" outlineLevel="0" collapsed="false"/>
    <row r="1045992" customFormat="false" ht="12.75" hidden="false" customHeight="true" outlineLevel="0" collapsed="false"/>
    <row r="1045993" customFormat="false" ht="12.75" hidden="false" customHeight="true" outlineLevel="0" collapsed="false"/>
    <row r="1045994" customFormat="false" ht="12.75" hidden="false" customHeight="true" outlineLevel="0" collapsed="false"/>
    <row r="1045995" customFormat="false" ht="12.75" hidden="false" customHeight="true" outlineLevel="0" collapsed="false"/>
    <row r="1045996" customFormat="false" ht="12.75" hidden="false" customHeight="true" outlineLevel="0" collapsed="false"/>
    <row r="1045997" customFormat="false" ht="12.75" hidden="false" customHeight="true" outlineLevel="0" collapsed="false"/>
    <row r="1045998" customFormat="false" ht="12.75" hidden="false" customHeight="true" outlineLevel="0" collapsed="false"/>
    <row r="1045999" customFormat="false" ht="12.75" hidden="false" customHeight="true" outlineLevel="0" collapsed="false"/>
    <row r="1046000" customFormat="false" ht="12.75" hidden="false" customHeight="true" outlineLevel="0" collapsed="false"/>
    <row r="1046001" customFormat="false" ht="12.75" hidden="false" customHeight="true" outlineLevel="0" collapsed="false"/>
    <row r="1046002" customFormat="false" ht="12.75" hidden="false" customHeight="true" outlineLevel="0" collapsed="false"/>
    <row r="1046003" customFormat="false" ht="12.75" hidden="false" customHeight="true" outlineLevel="0" collapsed="false"/>
    <row r="1046004" customFormat="false" ht="12.75" hidden="false" customHeight="true" outlineLevel="0" collapsed="false"/>
    <row r="1046005" customFormat="false" ht="12.75" hidden="false" customHeight="true" outlineLevel="0" collapsed="false"/>
    <row r="1046006" customFormat="false" ht="12.75" hidden="false" customHeight="true" outlineLevel="0" collapsed="false"/>
    <row r="1046007" customFormat="false" ht="12.75" hidden="false" customHeight="true" outlineLevel="0" collapsed="false"/>
    <row r="1046008" customFormat="false" ht="12.75" hidden="false" customHeight="true" outlineLevel="0" collapsed="false"/>
    <row r="1046009" customFormat="false" ht="12.75" hidden="false" customHeight="true" outlineLevel="0" collapsed="false"/>
    <row r="1046010" customFormat="false" ht="12.75" hidden="false" customHeight="true" outlineLevel="0" collapsed="false"/>
    <row r="1046011" customFormat="false" ht="12.75" hidden="false" customHeight="true" outlineLevel="0" collapsed="false"/>
    <row r="1046012" customFormat="false" ht="12.75" hidden="false" customHeight="true" outlineLevel="0" collapsed="false"/>
    <row r="1046013" customFormat="false" ht="12.75" hidden="false" customHeight="true" outlineLevel="0" collapsed="false"/>
    <row r="1046014" customFormat="false" ht="12.75" hidden="false" customHeight="true" outlineLevel="0" collapsed="false"/>
    <row r="1046015" customFormat="false" ht="12.75" hidden="false" customHeight="true" outlineLevel="0" collapsed="false"/>
    <row r="1046016" customFormat="false" ht="12.75" hidden="false" customHeight="true" outlineLevel="0" collapsed="false"/>
    <row r="1046017" customFormat="false" ht="12.75" hidden="false" customHeight="true" outlineLevel="0" collapsed="false"/>
    <row r="1046018" customFormat="false" ht="12.75" hidden="false" customHeight="true" outlineLevel="0" collapsed="false"/>
    <row r="1046019" customFormat="false" ht="12.75" hidden="false" customHeight="true" outlineLevel="0" collapsed="false"/>
    <row r="1046020" customFormat="false" ht="12.75" hidden="false" customHeight="true" outlineLevel="0" collapsed="false"/>
    <row r="1046021" customFormat="false" ht="12.75" hidden="false" customHeight="true" outlineLevel="0" collapsed="false"/>
    <row r="1046022" customFormat="false" ht="12.75" hidden="false" customHeight="true" outlineLevel="0" collapsed="false"/>
    <row r="1046023" customFormat="false" ht="12.75" hidden="false" customHeight="true" outlineLevel="0" collapsed="false"/>
    <row r="1046024" customFormat="false" ht="12.75" hidden="false" customHeight="true" outlineLevel="0" collapsed="false"/>
    <row r="1046025" customFormat="false" ht="12.75" hidden="false" customHeight="true" outlineLevel="0" collapsed="false"/>
    <row r="1046026" customFormat="false" ht="12.75" hidden="false" customHeight="true" outlineLevel="0" collapsed="false"/>
    <row r="1046027" customFormat="false" ht="12.75" hidden="false" customHeight="true" outlineLevel="0" collapsed="false"/>
    <row r="1046028" customFormat="false" ht="12.75" hidden="false" customHeight="true" outlineLevel="0" collapsed="false"/>
    <row r="1046029" customFormat="false" ht="12.75" hidden="false" customHeight="true" outlineLevel="0" collapsed="false"/>
    <row r="1046030" customFormat="false" ht="12.75" hidden="false" customHeight="true" outlineLevel="0" collapsed="false"/>
    <row r="1046031" customFormat="false" ht="12.75" hidden="false" customHeight="true" outlineLevel="0" collapsed="false"/>
    <row r="1046032" customFormat="false" ht="12.75" hidden="false" customHeight="true" outlineLevel="0" collapsed="false"/>
    <row r="1046033" customFormat="false" ht="12.75" hidden="false" customHeight="true" outlineLevel="0" collapsed="false"/>
    <row r="1046034" customFormat="false" ht="12.75" hidden="false" customHeight="true" outlineLevel="0" collapsed="false"/>
    <row r="1046035" customFormat="false" ht="12.75" hidden="false" customHeight="true" outlineLevel="0" collapsed="false"/>
    <row r="1046036" customFormat="false" ht="12.75" hidden="false" customHeight="true" outlineLevel="0" collapsed="false"/>
    <row r="1046037" customFormat="false" ht="12.75" hidden="false" customHeight="true" outlineLevel="0" collapsed="false"/>
    <row r="1046038" customFormat="false" ht="12.75" hidden="false" customHeight="true" outlineLevel="0" collapsed="false"/>
    <row r="1046039" customFormat="false" ht="12.75" hidden="false" customHeight="true" outlineLevel="0" collapsed="false"/>
    <row r="1046040" customFormat="false" ht="12.75" hidden="false" customHeight="true" outlineLevel="0" collapsed="false"/>
    <row r="1046041" customFormat="false" ht="12.75" hidden="false" customHeight="true" outlineLevel="0" collapsed="false"/>
    <row r="1046042" customFormat="false" ht="12.75" hidden="false" customHeight="true" outlineLevel="0" collapsed="false"/>
    <row r="1046043" customFormat="false" ht="12.75" hidden="false" customHeight="true" outlineLevel="0" collapsed="false"/>
    <row r="1046044" customFormat="false" ht="12.75" hidden="false" customHeight="true" outlineLevel="0" collapsed="false"/>
    <row r="1046045" customFormat="false" ht="12.75" hidden="false" customHeight="true" outlineLevel="0" collapsed="false"/>
    <row r="1046046" customFormat="false" ht="12.75" hidden="false" customHeight="true" outlineLevel="0" collapsed="false"/>
    <row r="1046047" customFormat="false" ht="12.75" hidden="false" customHeight="true" outlineLevel="0" collapsed="false"/>
    <row r="1046048" customFormat="false" ht="12.75" hidden="false" customHeight="true" outlineLevel="0" collapsed="false"/>
    <row r="1046049" customFormat="false" ht="12.75" hidden="false" customHeight="true" outlineLevel="0" collapsed="false"/>
    <row r="1046050" customFormat="false" ht="12.75" hidden="false" customHeight="true" outlineLevel="0" collapsed="false"/>
    <row r="1046051" customFormat="false" ht="12.75" hidden="false" customHeight="true" outlineLevel="0" collapsed="false"/>
    <row r="1046052" customFormat="false" ht="12.75" hidden="false" customHeight="true" outlineLevel="0" collapsed="false"/>
    <row r="1046053" customFormat="false" ht="12.75" hidden="false" customHeight="true" outlineLevel="0" collapsed="false"/>
    <row r="1046054" customFormat="false" ht="12.75" hidden="false" customHeight="true" outlineLevel="0" collapsed="false"/>
    <row r="1046055" customFormat="false" ht="12.75" hidden="false" customHeight="true" outlineLevel="0" collapsed="false"/>
    <row r="1046056" customFormat="false" ht="12.75" hidden="false" customHeight="true" outlineLevel="0" collapsed="false"/>
    <row r="1046057" customFormat="false" ht="12.75" hidden="false" customHeight="true" outlineLevel="0" collapsed="false"/>
    <row r="1046058" customFormat="false" ht="12.75" hidden="false" customHeight="true" outlineLevel="0" collapsed="false"/>
    <row r="1046059" customFormat="false" ht="12.75" hidden="false" customHeight="true" outlineLevel="0" collapsed="false"/>
    <row r="1046060" customFormat="false" ht="12.75" hidden="false" customHeight="true" outlineLevel="0" collapsed="false"/>
    <row r="1046061" customFormat="false" ht="12.75" hidden="false" customHeight="true" outlineLevel="0" collapsed="false"/>
    <row r="1046062" customFormat="false" ht="12.75" hidden="false" customHeight="true" outlineLevel="0" collapsed="false"/>
    <row r="1046063" customFormat="false" ht="12.75" hidden="false" customHeight="true" outlineLevel="0" collapsed="false"/>
    <row r="1046064" customFormat="false" ht="12.75" hidden="false" customHeight="true" outlineLevel="0" collapsed="false"/>
    <row r="1046065" customFormat="false" ht="12.75" hidden="false" customHeight="true" outlineLevel="0" collapsed="false"/>
    <row r="1046066" customFormat="false" ht="12.75" hidden="false" customHeight="true" outlineLevel="0" collapsed="false"/>
    <row r="1046067" customFormat="false" ht="12.75" hidden="false" customHeight="true" outlineLevel="0" collapsed="false"/>
    <row r="1046068" customFormat="false" ht="12.75" hidden="false" customHeight="true" outlineLevel="0" collapsed="false"/>
    <row r="1046069" customFormat="false" ht="12.75" hidden="false" customHeight="true" outlineLevel="0" collapsed="false"/>
    <row r="1046070" customFormat="false" ht="12.75" hidden="false" customHeight="true" outlineLevel="0" collapsed="false"/>
    <row r="1046071" customFormat="false" ht="12.75" hidden="false" customHeight="true" outlineLevel="0" collapsed="false"/>
    <row r="1046072" customFormat="false" ht="12.75" hidden="false" customHeight="true" outlineLevel="0" collapsed="false"/>
    <row r="1046073" customFormat="false" ht="12.75" hidden="false" customHeight="true" outlineLevel="0" collapsed="false"/>
    <row r="1046074" customFormat="false" ht="12.75" hidden="false" customHeight="true" outlineLevel="0" collapsed="false"/>
    <row r="1046075" customFormat="false" ht="12.75" hidden="false" customHeight="true" outlineLevel="0" collapsed="false"/>
    <row r="1046076" customFormat="false" ht="12.75" hidden="false" customHeight="true" outlineLevel="0" collapsed="false"/>
    <row r="1046077" customFormat="false" ht="12.75" hidden="false" customHeight="true" outlineLevel="0" collapsed="false"/>
    <row r="1046078" customFormat="false" ht="12.75" hidden="false" customHeight="true" outlineLevel="0" collapsed="false"/>
    <row r="1046079" customFormat="false" ht="12.75" hidden="false" customHeight="true" outlineLevel="0" collapsed="false"/>
    <row r="1046080" customFormat="false" ht="12.75" hidden="false" customHeight="true" outlineLevel="0" collapsed="false"/>
    <row r="1046081" customFormat="false" ht="12.75" hidden="false" customHeight="true" outlineLevel="0" collapsed="false"/>
    <row r="1046082" customFormat="false" ht="12.75" hidden="false" customHeight="true" outlineLevel="0" collapsed="false"/>
    <row r="1046083" customFormat="false" ht="12.75" hidden="false" customHeight="true" outlineLevel="0" collapsed="false"/>
    <row r="1046084" customFormat="false" ht="12.75" hidden="false" customHeight="true" outlineLevel="0" collapsed="false"/>
    <row r="1046085" customFormat="false" ht="12.75" hidden="false" customHeight="true" outlineLevel="0" collapsed="false"/>
    <row r="1046086" customFormat="false" ht="12.75" hidden="false" customHeight="true" outlineLevel="0" collapsed="false"/>
    <row r="1046087" customFormat="false" ht="12.75" hidden="false" customHeight="true" outlineLevel="0" collapsed="false"/>
    <row r="1046088" customFormat="false" ht="12.75" hidden="false" customHeight="true" outlineLevel="0" collapsed="false"/>
    <row r="1046089" customFormat="false" ht="12.75" hidden="false" customHeight="true" outlineLevel="0" collapsed="false"/>
    <row r="1046090" customFormat="false" ht="12.75" hidden="false" customHeight="true" outlineLevel="0" collapsed="false"/>
    <row r="1046091" customFormat="false" ht="12.75" hidden="false" customHeight="true" outlineLevel="0" collapsed="false"/>
    <row r="1046092" customFormat="false" ht="12.75" hidden="false" customHeight="true" outlineLevel="0" collapsed="false"/>
    <row r="1046093" customFormat="false" ht="12.75" hidden="false" customHeight="true" outlineLevel="0" collapsed="false"/>
    <row r="1046094" customFormat="false" ht="12.75" hidden="false" customHeight="true" outlineLevel="0" collapsed="false"/>
    <row r="1046095" customFormat="false" ht="12.75" hidden="false" customHeight="true" outlineLevel="0" collapsed="false"/>
    <row r="1046096" customFormat="false" ht="12.75" hidden="false" customHeight="true" outlineLevel="0" collapsed="false"/>
    <row r="1046097" customFormat="false" ht="12.75" hidden="false" customHeight="true" outlineLevel="0" collapsed="false"/>
    <row r="1046098" customFormat="false" ht="12.75" hidden="false" customHeight="true" outlineLevel="0" collapsed="false"/>
    <row r="1046099" customFormat="false" ht="12.75" hidden="false" customHeight="true" outlineLevel="0" collapsed="false"/>
    <row r="1046100" customFormat="false" ht="12.75" hidden="false" customHeight="true" outlineLevel="0" collapsed="false"/>
    <row r="1046101" customFormat="false" ht="12.75" hidden="false" customHeight="true" outlineLevel="0" collapsed="false"/>
    <row r="1046102" customFormat="false" ht="12.75" hidden="false" customHeight="true" outlineLevel="0" collapsed="false"/>
    <row r="1046103" customFormat="false" ht="12.75" hidden="false" customHeight="true" outlineLevel="0" collapsed="false"/>
    <row r="1046104" customFormat="false" ht="12.75" hidden="false" customHeight="true" outlineLevel="0" collapsed="false"/>
    <row r="1046105" customFormat="false" ht="12.75" hidden="false" customHeight="true" outlineLevel="0" collapsed="false"/>
    <row r="1046106" customFormat="false" ht="12.75" hidden="false" customHeight="true" outlineLevel="0" collapsed="false"/>
    <row r="1046107" customFormat="false" ht="12.75" hidden="false" customHeight="true" outlineLevel="0" collapsed="false"/>
    <row r="1046108" customFormat="false" ht="12.75" hidden="false" customHeight="true" outlineLevel="0" collapsed="false"/>
    <row r="1046109" customFormat="false" ht="12.75" hidden="false" customHeight="true" outlineLevel="0" collapsed="false"/>
    <row r="1046110" customFormat="false" ht="12.75" hidden="false" customHeight="true" outlineLevel="0" collapsed="false"/>
    <row r="1046111" customFormat="false" ht="12.75" hidden="false" customHeight="true" outlineLevel="0" collapsed="false"/>
    <row r="1046112" customFormat="false" ht="12.75" hidden="false" customHeight="true" outlineLevel="0" collapsed="false"/>
    <row r="1046113" customFormat="false" ht="12.75" hidden="false" customHeight="true" outlineLevel="0" collapsed="false"/>
    <row r="1046114" customFormat="false" ht="12.75" hidden="false" customHeight="true" outlineLevel="0" collapsed="false"/>
    <row r="1046115" customFormat="false" ht="12.75" hidden="false" customHeight="true" outlineLevel="0" collapsed="false"/>
    <row r="1046116" customFormat="false" ht="12.75" hidden="false" customHeight="true" outlineLevel="0" collapsed="false"/>
    <row r="1046117" customFormat="false" ht="12.75" hidden="false" customHeight="true" outlineLevel="0" collapsed="false"/>
    <row r="1046118" customFormat="false" ht="12.75" hidden="false" customHeight="true" outlineLevel="0" collapsed="false"/>
    <row r="1046119" customFormat="false" ht="12.75" hidden="false" customHeight="true" outlineLevel="0" collapsed="false"/>
    <row r="1046120" customFormat="false" ht="12.75" hidden="false" customHeight="true" outlineLevel="0" collapsed="false"/>
    <row r="1046121" customFormat="false" ht="12.75" hidden="false" customHeight="true" outlineLevel="0" collapsed="false"/>
    <row r="1046122" customFormat="false" ht="12.75" hidden="false" customHeight="true" outlineLevel="0" collapsed="false"/>
    <row r="1046123" customFormat="false" ht="12.75" hidden="false" customHeight="true" outlineLevel="0" collapsed="false"/>
    <row r="1046124" customFormat="false" ht="12.75" hidden="false" customHeight="true" outlineLevel="0" collapsed="false"/>
    <row r="1046125" customFormat="false" ht="12.75" hidden="false" customHeight="true" outlineLevel="0" collapsed="false"/>
    <row r="1046126" customFormat="false" ht="12.75" hidden="false" customHeight="true" outlineLevel="0" collapsed="false"/>
    <row r="1046127" customFormat="false" ht="12.75" hidden="false" customHeight="true" outlineLevel="0" collapsed="false"/>
    <row r="1046128" customFormat="false" ht="12.75" hidden="false" customHeight="true" outlineLevel="0" collapsed="false"/>
    <row r="1046129" customFormat="false" ht="12.75" hidden="false" customHeight="true" outlineLevel="0" collapsed="false"/>
    <row r="1046130" customFormat="false" ht="12.75" hidden="false" customHeight="true" outlineLevel="0" collapsed="false"/>
    <row r="1046131" customFormat="false" ht="12.75" hidden="false" customHeight="true" outlineLevel="0" collapsed="false"/>
    <row r="1046132" customFormat="false" ht="12.75" hidden="false" customHeight="true" outlineLevel="0" collapsed="false"/>
    <row r="1046133" customFormat="false" ht="12.75" hidden="false" customHeight="true" outlineLevel="0" collapsed="false"/>
    <row r="1046134" customFormat="false" ht="12.75" hidden="false" customHeight="true" outlineLevel="0" collapsed="false"/>
    <row r="1046135" customFormat="false" ht="12.75" hidden="false" customHeight="true" outlineLevel="0" collapsed="false"/>
    <row r="1046136" customFormat="false" ht="12.75" hidden="false" customHeight="true" outlineLevel="0" collapsed="false"/>
    <row r="1046137" customFormat="false" ht="12.75" hidden="false" customHeight="true" outlineLevel="0" collapsed="false"/>
    <row r="1046138" customFormat="false" ht="12.75" hidden="false" customHeight="true" outlineLevel="0" collapsed="false"/>
    <row r="1046139" customFormat="false" ht="12.75" hidden="false" customHeight="true" outlineLevel="0" collapsed="false"/>
    <row r="1046140" customFormat="false" ht="12.75" hidden="false" customHeight="true" outlineLevel="0" collapsed="false"/>
    <row r="1046141" customFormat="false" ht="12.75" hidden="false" customHeight="true" outlineLevel="0" collapsed="false"/>
    <row r="1046142" customFormat="false" ht="12.75" hidden="false" customHeight="true" outlineLevel="0" collapsed="false"/>
    <row r="1046143" customFormat="false" ht="12.75" hidden="false" customHeight="true" outlineLevel="0" collapsed="false"/>
    <row r="1046144" customFormat="false" ht="12.75" hidden="false" customHeight="true" outlineLevel="0" collapsed="false"/>
    <row r="1046145" customFormat="false" ht="12.75" hidden="false" customHeight="true" outlineLevel="0" collapsed="false"/>
    <row r="1046146" customFormat="false" ht="12.75" hidden="false" customHeight="true" outlineLevel="0" collapsed="false"/>
    <row r="1046147" customFormat="false" ht="12.75" hidden="false" customHeight="true" outlineLevel="0" collapsed="false"/>
    <row r="1046148" customFormat="false" ht="12.75" hidden="false" customHeight="true" outlineLevel="0" collapsed="false"/>
    <row r="1046149" customFormat="false" ht="12.75" hidden="false" customHeight="true" outlineLevel="0" collapsed="false"/>
    <row r="1046150" customFormat="false" ht="12.75" hidden="false" customHeight="true" outlineLevel="0" collapsed="false"/>
    <row r="1046151" customFormat="false" ht="12.75" hidden="false" customHeight="true" outlineLevel="0" collapsed="false"/>
    <row r="1046152" customFormat="false" ht="12.75" hidden="false" customHeight="true" outlineLevel="0" collapsed="false"/>
    <row r="1046153" customFormat="false" ht="12.75" hidden="false" customHeight="true" outlineLevel="0" collapsed="false"/>
    <row r="1046154" customFormat="false" ht="12.75" hidden="false" customHeight="true" outlineLevel="0" collapsed="false"/>
    <row r="1046155" customFormat="false" ht="12.75" hidden="false" customHeight="true" outlineLevel="0" collapsed="false"/>
    <row r="1046156" customFormat="false" ht="12.75" hidden="false" customHeight="true" outlineLevel="0" collapsed="false"/>
    <row r="1046157" customFormat="false" ht="12.75" hidden="false" customHeight="true" outlineLevel="0" collapsed="false"/>
    <row r="1046158" customFormat="false" ht="12.75" hidden="false" customHeight="true" outlineLevel="0" collapsed="false"/>
    <row r="1046159" customFormat="false" ht="12.75" hidden="false" customHeight="true" outlineLevel="0" collapsed="false"/>
    <row r="1046160" customFormat="false" ht="12.75" hidden="false" customHeight="true" outlineLevel="0" collapsed="false"/>
    <row r="1046161" customFormat="false" ht="12.75" hidden="false" customHeight="true" outlineLevel="0" collapsed="false"/>
    <row r="1046162" customFormat="false" ht="12.75" hidden="false" customHeight="true" outlineLevel="0" collapsed="false"/>
    <row r="1046163" customFormat="false" ht="12.75" hidden="false" customHeight="true" outlineLevel="0" collapsed="false"/>
    <row r="1046164" customFormat="false" ht="12.75" hidden="false" customHeight="true" outlineLevel="0" collapsed="false"/>
    <row r="1046165" customFormat="false" ht="12.75" hidden="false" customHeight="true" outlineLevel="0" collapsed="false"/>
    <row r="1046166" customFormat="false" ht="12.75" hidden="false" customHeight="true" outlineLevel="0" collapsed="false"/>
    <row r="1046167" customFormat="false" ht="12.75" hidden="false" customHeight="true" outlineLevel="0" collapsed="false"/>
    <row r="1046168" customFormat="false" ht="12.75" hidden="false" customHeight="true" outlineLevel="0" collapsed="false"/>
    <row r="1046169" customFormat="false" ht="12.75" hidden="false" customHeight="true" outlineLevel="0" collapsed="false"/>
    <row r="1046170" customFormat="false" ht="12.75" hidden="false" customHeight="true" outlineLevel="0" collapsed="false"/>
    <row r="1046171" customFormat="false" ht="12.75" hidden="false" customHeight="true" outlineLevel="0" collapsed="false"/>
    <row r="1046172" customFormat="false" ht="12.75" hidden="false" customHeight="true" outlineLevel="0" collapsed="false"/>
    <row r="1046173" customFormat="false" ht="12.75" hidden="false" customHeight="true" outlineLevel="0" collapsed="false"/>
    <row r="1046174" customFormat="false" ht="12.75" hidden="false" customHeight="true" outlineLevel="0" collapsed="false"/>
    <row r="1046175" customFormat="false" ht="12.75" hidden="false" customHeight="true" outlineLevel="0" collapsed="false"/>
    <row r="1046176" customFormat="false" ht="12.75" hidden="false" customHeight="true" outlineLevel="0" collapsed="false"/>
    <row r="1046177" customFormat="false" ht="12.75" hidden="false" customHeight="true" outlineLevel="0" collapsed="false"/>
    <row r="1046178" customFormat="false" ht="12.75" hidden="false" customHeight="true" outlineLevel="0" collapsed="false"/>
    <row r="1046179" customFormat="false" ht="12.75" hidden="false" customHeight="true" outlineLevel="0" collapsed="false"/>
    <row r="1046180" customFormat="false" ht="12.75" hidden="false" customHeight="true" outlineLevel="0" collapsed="false"/>
    <row r="1046181" customFormat="false" ht="12.75" hidden="false" customHeight="true" outlineLevel="0" collapsed="false"/>
    <row r="1046182" customFormat="false" ht="12.75" hidden="false" customHeight="true" outlineLevel="0" collapsed="false"/>
    <row r="1046183" customFormat="false" ht="12.75" hidden="false" customHeight="true" outlineLevel="0" collapsed="false"/>
    <row r="1046184" customFormat="false" ht="12.75" hidden="false" customHeight="true" outlineLevel="0" collapsed="false"/>
    <row r="1046185" customFormat="false" ht="12.75" hidden="false" customHeight="true" outlineLevel="0" collapsed="false"/>
    <row r="1046186" customFormat="false" ht="12.75" hidden="false" customHeight="true" outlineLevel="0" collapsed="false"/>
    <row r="1046187" customFormat="false" ht="12.75" hidden="false" customHeight="true" outlineLevel="0" collapsed="false"/>
    <row r="1046188" customFormat="false" ht="12.75" hidden="false" customHeight="true" outlineLevel="0" collapsed="false"/>
    <row r="1046189" customFormat="false" ht="12.75" hidden="false" customHeight="true" outlineLevel="0" collapsed="false"/>
    <row r="1046190" customFormat="false" ht="12.75" hidden="false" customHeight="true" outlineLevel="0" collapsed="false"/>
    <row r="1046191" customFormat="false" ht="12.75" hidden="false" customHeight="true" outlineLevel="0" collapsed="false"/>
    <row r="1046192" customFormat="false" ht="12.75" hidden="false" customHeight="true" outlineLevel="0" collapsed="false"/>
    <row r="1046193" customFormat="false" ht="12.75" hidden="false" customHeight="true" outlineLevel="0" collapsed="false"/>
    <row r="1046194" customFormat="false" ht="12.75" hidden="false" customHeight="true" outlineLevel="0" collapsed="false"/>
    <row r="1046195" customFormat="false" ht="12.75" hidden="false" customHeight="true" outlineLevel="0" collapsed="false"/>
    <row r="1046196" customFormat="false" ht="12.75" hidden="false" customHeight="true" outlineLevel="0" collapsed="false"/>
    <row r="1046197" customFormat="false" ht="12.75" hidden="false" customHeight="true" outlineLevel="0" collapsed="false"/>
    <row r="1046198" customFormat="false" ht="12.75" hidden="false" customHeight="true" outlineLevel="0" collapsed="false"/>
    <row r="1046199" customFormat="false" ht="12.75" hidden="false" customHeight="true" outlineLevel="0" collapsed="false"/>
    <row r="1046200" customFormat="false" ht="12.75" hidden="false" customHeight="true" outlineLevel="0" collapsed="false"/>
    <row r="1046201" customFormat="false" ht="12.75" hidden="false" customHeight="true" outlineLevel="0" collapsed="false"/>
    <row r="1046202" customFormat="false" ht="12.75" hidden="false" customHeight="true" outlineLevel="0" collapsed="false"/>
    <row r="1046203" customFormat="false" ht="12.75" hidden="false" customHeight="true" outlineLevel="0" collapsed="false"/>
    <row r="1046204" customFormat="false" ht="12.75" hidden="false" customHeight="true" outlineLevel="0" collapsed="false"/>
    <row r="1046205" customFormat="false" ht="12.75" hidden="false" customHeight="true" outlineLevel="0" collapsed="false"/>
    <row r="1046206" customFormat="false" ht="12.75" hidden="false" customHeight="true" outlineLevel="0" collapsed="false"/>
    <row r="1046207" customFormat="false" ht="12.75" hidden="false" customHeight="true" outlineLevel="0" collapsed="false"/>
    <row r="1046208" customFormat="false" ht="12.75" hidden="false" customHeight="true" outlineLevel="0" collapsed="false"/>
    <row r="1046209" customFormat="false" ht="12.75" hidden="false" customHeight="true" outlineLevel="0" collapsed="false"/>
    <row r="1046210" customFormat="false" ht="12.75" hidden="false" customHeight="true" outlineLevel="0" collapsed="false"/>
    <row r="1046211" customFormat="false" ht="12.75" hidden="false" customHeight="true" outlineLevel="0" collapsed="false"/>
    <row r="1046212" customFormat="false" ht="12.75" hidden="false" customHeight="true" outlineLevel="0" collapsed="false"/>
    <row r="1046213" customFormat="false" ht="12.75" hidden="false" customHeight="true" outlineLevel="0" collapsed="false"/>
    <row r="1046214" customFormat="false" ht="12.75" hidden="false" customHeight="true" outlineLevel="0" collapsed="false"/>
    <row r="1046215" customFormat="false" ht="12.75" hidden="false" customHeight="true" outlineLevel="0" collapsed="false"/>
    <row r="1046216" customFormat="false" ht="12.75" hidden="false" customHeight="true" outlineLevel="0" collapsed="false"/>
    <row r="1046217" customFormat="false" ht="12.75" hidden="false" customHeight="true" outlineLevel="0" collapsed="false"/>
    <row r="1046218" customFormat="false" ht="12.75" hidden="false" customHeight="true" outlineLevel="0" collapsed="false"/>
    <row r="1046219" customFormat="false" ht="12.75" hidden="false" customHeight="true" outlineLevel="0" collapsed="false"/>
    <row r="1046220" customFormat="false" ht="12.75" hidden="false" customHeight="true" outlineLevel="0" collapsed="false"/>
    <row r="1046221" customFormat="false" ht="12.75" hidden="false" customHeight="true" outlineLevel="0" collapsed="false"/>
    <row r="1046222" customFormat="false" ht="12.75" hidden="false" customHeight="true" outlineLevel="0" collapsed="false"/>
    <row r="1046223" customFormat="false" ht="12.75" hidden="false" customHeight="true" outlineLevel="0" collapsed="false"/>
    <row r="1046224" customFormat="false" ht="12.75" hidden="false" customHeight="true" outlineLevel="0" collapsed="false"/>
    <row r="1046225" customFormat="false" ht="12.75" hidden="false" customHeight="true" outlineLevel="0" collapsed="false"/>
    <row r="1046226" customFormat="false" ht="12.75" hidden="false" customHeight="true" outlineLevel="0" collapsed="false"/>
    <row r="1046227" customFormat="false" ht="12.75" hidden="false" customHeight="true" outlineLevel="0" collapsed="false"/>
    <row r="1046228" customFormat="false" ht="12.75" hidden="false" customHeight="true" outlineLevel="0" collapsed="false"/>
    <row r="1046229" customFormat="false" ht="12.75" hidden="false" customHeight="true" outlineLevel="0" collapsed="false"/>
    <row r="1046230" customFormat="false" ht="12.75" hidden="false" customHeight="true" outlineLevel="0" collapsed="false"/>
    <row r="1046231" customFormat="false" ht="12.75" hidden="false" customHeight="true" outlineLevel="0" collapsed="false"/>
    <row r="1046232" customFormat="false" ht="12.75" hidden="false" customHeight="true" outlineLevel="0" collapsed="false"/>
    <row r="1046233" customFormat="false" ht="12.75" hidden="false" customHeight="true" outlineLevel="0" collapsed="false"/>
    <row r="1046234" customFormat="false" ht="12.75" hidden="false" customHeight="true" outlineLevel="0" collapsed="false"/>
    <row r="1046235" customFormat="false" ht="12.75" hidden="false" customHeight="true" outlineLevel="0" collapsed="false"/>
    <row r="1046236" customFormat="false" ht="12.75" hidden="false" customHeight="true" outlineLevel="0" collapsed="false"/>
    <row r="1046237" customFormat="false" ht="12.75" hidden="false" customHeight="true" outlineLevel="0" collapsed="false"/>
    <row r="1046238" customFormat="false" ht="12.75" hidden="false" customHeight="true" outlineLevel="0" collapsed="false"/>
    <row r="1046239" customFormat="false" ht="12.75" hidden="false" customHeight="true" outlineLevel="0" collapsed="false"/>
    <row r="1046240" customFormat="false" ht="12.75" hidden="false" customHeight="true" outlineLevel="0" collapsed="false"/>
    <row r="1046241" customFormat="false" ht="12.75" hidden="false" customHeight="true" outlineLevel="0" collapsed="false"/>
    <row r="1046242" customFormat="false" ht="12.75" hidden="false" customHeight="true" outlineLevel="0" collapsed="false"/>
    <row r="1046243" customFormat="false" ht="12.75" hidden="false" customHeight="true" outlineLevel="0" collapsed="false"/>
    <row r="1046244" customFormat="false" ht="12.75" hidden="false" customHeight="true" outlineLevel="0" collapsed="false"/>
    <row r="1046245" customFormat="false" ht="12.75" hidden="false" customHeight="true" outlineLevel="0" collapsed="false"/>
    <row r="1046246" customFormat="false" ht="12.75" hidden="false" customHeight="true" outlineLevel="0" collapsed="false"/>
    <row r="1046247" customFormat="false" ht="12.75" hidden="false" customHeight="true" outlineLevel="0" collapsed="false"/>
    <row r="1046248" customFormat="false" ht="12.75" hidden="false" customHeight="true" outlineLevel="0" collapsed="false"/>
    <row r="1046249" customFormat="false" ht="12.75" hidden="false" customHeight="true" outlineLevel="0" collapsed="false"/>
    <row r="1046250" customFormat="false" ht="12.75" hidden="false" customHeight="true" outlineLevel="0" collapsed="false"/>
    <row r="1046251" customFormat="false" ht="12.75" hidden="false" customHeight="true" outlineLevel="0" collapsed="false"/>
    <row r="1046252" customFormat="false" ht="12.75" hidden="false" customHeight="true" outlineLevel="0" collapsed="false"/>
    <row r="1046253" customFormat="false" ht="12.75" hidden="false" customHeight="true" outlineLevel="0" collapsed="false"/>
    <row r="1046254" customFormat="false" ht="12.75" hidden="false" customHeight="true" outlineLevel="0" collapsed="false"/>
    <row r="1046255" customFormat="false" ht="12.75" hidden="false" customHeight="true" outlineLevel="0" collapsed="false"/>
    <row r="1046256" customFormat="false" ht="12.75" hidden="false" customHeight="true" outlineLevel="0" collapsed="false"/>
    <row r="1046257" customFormat="false" ht="12.75" hidden="false" customHeight="true" outlineLevel="0" collapsed="false"/>
    <row r="1046258" customFormat="false" ht="12.75" hidden="false" customHeight="true" outlineLevel="0" collapsed="false"/>
    <row r="1046259" customFormat="false" ht="12.75" hidden="false" customHeight="true" outlineLevel="0" collapsed="false"/>
    <row r="1046260" customFormat="false" ht="12.75" hidden="false" customHeight="true" outlineLevel="0" collapsed="false"/>
    <row r="1046261" customFormat="false" ht="12.75" hidden="false" customHeight="true" outlineLevel="0" collapsed="false"/>
    <row r="1046262" customFormat="false" ht="12.75" hidden="false" customHeight="true" outlineLevel="0" collapsed="false"/>
    <row r="1046263" customFormat="false" ht="12.75" hidden="false" customHeight="true" outlineLevel="0" collapsed="false"/>
    <row r="1046264" customFormat="false" ht="12.75" hidden="false" customHeight="true" outlineLevel="0" collapsed="false"/>
    <row r="1046265" customFormat="false" ht="12.75" hidden="false" customHeight="true" outlineLevel="0" collapsed="false"/>
    <row r="1046266" customFormat="false" ht="12.75" hidden="false" customHeight="true" outlineLevel="0" collapsed="false"/>
    <row r="1046267" customFormat="false" ht="12.75" hidden="false" customHeight="true" outlineLevel="0" collapsed="false"/>
    <row r="1046268" customFormat="false" ht="12.75" hidden="false" customHeight="true" outlineLevel="0" collapsed="false"/>
    <row r="1046269" customFormat="false" ht="12.75" hidden="false" customHeight="true" outlineLevel="0" collapsed="false"/>
    <row r="1046270" customFormat="false" ht="12.75" hidden="false" customHeight="true" outlineLevel="0" collapsed="false"/>
    <row r="1046271" customFormat="false" ht="12.75" hidden="false" customHeight="true" outlineLevel="0" collapsed="false"/>
    <row r="1046272" customFormat="false" ht="12.75" hidden="false" customHeight="true" outlineLevel="0" collapsed="false"/>
    <row r="1046273" customFormat="false" ht="12.75" hidden="false" customHeight="true" outlineLevel="0" collapsed="false"/>
    <row r="1046274" customFormat="false" ht="12.75" hidden="false" customHeight="true" outlineLevel="0" collapsed="false"/>
    <row r="1046275" customFormat="false" ht="12.75" hidden="false" customHeight="true" outlineLevel="0" collapsed="false"/>
    <row r="1046276" customFormat="false" ht="12.75" hidden="false" customHeight="true" outlineLevel="0" collapsed="false"/>
    <row r="1046277" customFormat="false" ht="12.75" hidden="false" customHeight="true" outlineLevel="0" collapsed="false"/>
    <row r="1046278" customFormat="false" ht="12.75" hidden="false" customHeight="true" outlineLevel="0" collapsed="false"/>
    <row r="1046279" customFormat="false" ht="12.75" hidden="false" customHeight="true" outlineLevel="0" collapsed="false"/>
    <row r="1046280" customFormat="false" ht="12.75" hidden="false" customHeight="true" outlineLevel="0" collapsed="false"/>
    <row r="1046281" customFormat="false" ht="12.75" hidden="false" customHeight="true" outlineLevel="0" collapsed="false"/>
    <row r="1046282" customFormat="false" ht="12.75" hidden="false" customHeight="true" outlineLevel="0" collapsed="false"/>
    <row r="1046283" customFormat="false" ht="12.75" hidden="false" customHeight="true" outlineLevel="0" collapsed="false"/>
    <row r="1046284" customFormat="false" ht="12.75" hidden="false" customHeight="true" outlineLevel="0" collapsed="false"/>
    <row r="1046285" customFormat="false" ht="12.75" hidden="false" customHeight="true" outlineLevel="0" collapsed="false"/>
    <row r="1046286" customFormat="false" ht="12.75" hidden="false" customHeight="true" outlineLevel="0" collapsed="false"/>
    <row r="1046287" customFormat="false" ht="12.75" hidden="false" customHeight="true" outlineLevel="0" collapsed="false"/>
    <row r="1046288" customFormat="false" ht="12.75" hidden="false" customHeight="true" outlineLevel="0" collapsed="false"/>
    <row r="1046289" customFormat="false" ht="12.75" hidden="false" customHeight="true" outlineLevel="0" collapsed="false"/>
    <row r="1046290" customFormat="false" ht="12.75" hidden="false" customHeight="true" outlineLevel="0" collapsed="false"/>
    <row r="1046291" customFormat="false" ht="12.75" hidden="false" customHeight="true" outlineLevel="0" collapsed="false"/>
    <row r="1046292" customFormat="false" ht="12.75" hidden="false" customHeight="true" outlineLevel="0" collapsed="false"/>
    <row r="1046293" customFormat="false" ht="12.75" hidden="false" customHeight="true" outlineLevel="0" collapsed="false"/>
    <row r="1046294" customFormat="false" ht="12.75" hidden="false" customHeight="true" outlineLevel="0" collapsed="false"/>
    <row r="1046295" customFormat="false" ht="12.75" hidden="false" customHeight="true" outlineLevel="0" collapsed="false"/>
    <row r="1046296" customFormat="false" ht="12.75" hidden="false" customHeight="true" outlineLevel="0" collapsed="false"/>
    <row r="1046297" customFormat="false" ht="12.75" hidden="false" customHeight="true" outlineLevel="0" collapsed="false"/>
    <row r="1046298" customFormat="false" ht="12.75" hidden="false" customHeight="true" outlineLevel="0" collapsed="false"/>
    <row r="1046299" customFormat="false" ht="12.75" hidden="false" customHeight="true" outlineLevel="0" collapsed="false"/>
    <row r="1046300" customFormat="false" ht="12.75" hidden="false" customHeight="true" outlineLevel="0" collapsed="false"/>
    <row r="1046301" customFormat="false" ht="12.75" hidden="false" customHeight="true" outlineLevel="0" collapsed="false"/>
    <row r="1046302" customFormat="false" ht="12.75" hidden="false" customHeight="true" outlineLevel="0" collapsed="false"/>
    <row r="1046303" customFormat="false" ht="12.75" hidden="false" customHeight="true" outlineLevel="0" collapsed="false"/>
    <row r="1046304" customFormat="false" ht="12.75" hidden="false" customHeight="true" outlineLevel="0" collapsed="false"/>
    <row r="1046305" customFormat="false" ht="12.75" hidden="false" customHeight="true" outlineLevel="0" collapsed="false"/>
    <row r="1046306" customFormat="false" ht="12.75" hidden="false" customHeight="true" outlineLevel="0" collapsed="false"/>
    <row r="1046307" customFormat="false" ht="12.75" hidden="false" customHeight="true" outlineLevel="0" collapsed="false"/>
    <row r="1046308" customFormat="false" ht="12.75" hidden="false" customHeight="true" outlineLevel="0" collapsed="false"/>
    <row r="1046309" customFormat="false" ht="12.75" hidden="false" customHeight="true" outlineLevel="0" collapsed="false"/>
    <row r="1046310" customFormat="false" ht="12.75" hidden="false" customHeight="true" outlineLevel="0" collapsed="false"/>
    <row r="1046311" customFormat="false" ht="12.75" hidden="false" customHeight="true" outlineLevel="0" collapsed="false"/>
    <row r="1046312" customFormat="false" ht="12.75" hidden="false" customHeight="true" outlineLevel="0" collapsed="false"/>
    <row r="1046313" customFormat="false" ht="12.75" hidden="false" customHeight="true" outlineLevel="0" collapsed="false"/>
    <row r="1046314" customFormat="false" ht="12.75" hidden="false" customHeight="true" outlineLevel="0" collapsed="false"/>
    <row r="1046315" customFormat="false" ht="12.75" hidden="false" customHeight="true" outlineLevel="0" collapsed="false"/>
    <row r="1046316" customFormat="false" ht="12.75" hidden="false" customHeight="true" outlineLevel="0" collapsed="false"/>
    <row r="1046317" customFormat="false" ht="12.75" hidden="false" customHeight="true" outlineLevel="0" collapsed="false"/>
    <row r="1046318" customFormat="false" ht="12.75" hidden="false" customHeight="true" outlineLevel="0" collapsed="false"/>
    <row r="1046319" customFormat="false" ht="12.75" hidden="false" customHeight="true" outlineLevel="0" collapsed="false"/>
    <row r="1046320" customFormat="false" ht="12.75" hidden="false" customHeight="true" outlineLevel="0" collapsed="false"/>
    <row r="1046321" customFormat="false" ht="12.75" hidden="false" customHeight="true" outlineLevel="0" collapsed="false"/>
    <row r="1046322" customFormat="false" ht="12.75" hidden="false" customHeight="true" outlineLevel="0" collapsed="false"/>
    <row r="1046323" customFormat="false" ht="12.75" hidden="false" customHeight="true" outlineLevel="0" collapsed="false"/>
    <row r="1046324" customFormat="false" ht="12.75" hidden="false" customHeight="true" outlineLevel="0" collapsed="false"/>
    <row r="1046325" customFormat="false" ht="12.75" hidden="false" customHeight="true" outlineLevel="0" collapsed="false"/>
    <row r="1046326" customFormat="false" ht="12.75" hidden="false" customHeight="true" outlineLevel="0" collapsed="false"/>
    <row r="1046327" customFormat="false" ht="12.75" hidden="false" customHeight="true" outlineLevel="0" collapsed="false"/>
    <row r="1046328" customFormat="false" ht="12.75" hidden="false" customHeight="true" outlineLevel="0" collapsed="false"/>
    <row r="1046329" customFormat="false" ht="12.75" hidden="false" customHeight="true" outlineLevel="0" collapsed="false"/>
    <row r="1046330" customFormat="false" ht="12.75" hidden="false" customHeight="true" outlineLevel="0" collapsed="false"/>
    <row r="1046331" customFormat="false" ht="12.75" hidden="false" customHeight="true" outlineLevel="0" collapsed="false"/>
    <row r="1046332" customFormat="false" ht="12.75" hidden="false" customHeight="true" outlineLevel="0" collapsed="false"/>
    <row r="1046333" customFormat="false" ht="12.75" hidden="false" customHeight="true" outlineLevel="0" collapsed="false"/>
    <row r="1046334" customFormat="false" ht="12.75" hidden="false" customHeight="true" outlineLevel="0" collapsed="false"/>
    <row r="1046335" customFormat="false" ht="12.75" hidden="false" customHeight="true" outlineLevel="0" collapsed="false"/>
    <row r="1046336" customFormat="false" ht="12.75" hidden="false" customHeight="true" outlineLevel="0" collapsed="false"/>
    <row r="1046337" customFormat="false" ht="12.75" hidden="false" customHeight="true" outlineLevel="0" collapsed="false"/>
    <row r="1046338" customFormat="false" ht="12.75" hidden="false" customHeight="true" outlineLevel="0" collapsed="false"/>
    <row r="1046339" customFormat="false" ht="12.75" hidden="false" customHeight="true" outlineLevel="0" collapsed="false"/>
    <row r="1046340" customFormat="false" ht="12.75" hidden="false" customHeight="true" outlineLevel="0" collapsed="false"/>
    <row r="1046341" customFormat="false" ht="12.75" hidden="false" customHeight="true" outlineLevel="0" collapsed="false"/>
    <row r="1046342" customFormat="false" ht="12.75" hidden="false" customHeight="true" outlineLevel="0" collapsed="false"/>
    <row r="1046343" customFormat="false" ht="12.75" hidden="false" customHeight="true" outlineLevel="0" collapsed="false"/>
    <row r="1046344" customFormat="false" ht="12.75" hidden="false" customHeight="true" outlineLevel="0" collapsed="false"/>
    <row r="1046345" customFormat="false" ht="12.75" hidden="false" customHeight="true" outlineLevel="0" collapsed="false"/>
    <row r="1046346" customFormat="false" ht="12.75" hidden="false" customHeight="true" outlineLevel="0" collapsed="false"/>
    <row r="1046347" customFormat="false" ht="12.75" hidden="false" customHeight="true" outlineLevel="0" collapsed="false"/>
    <row r="1046348" customFormat="false" ht="12.75" hidden="false" customHeight="true" outlineLevel="0" collapsed="false"/>
    <row r="1046349" customFormat="false" ht="12.75" hidden="false" customHeight="true" outlineLevel="0" collapsed="false"/>
    <row r="1046350" customFormat="false" ht="12.75" hidden="false" customHeight="true" outlineLevel="0" collapsed="false"/>
    <row r="1046351" customFormat="false" ht="12.75" hidden="false" customHeight="true" outlineLevel="0" collapsed="false"/>
    <row r="1046352" customFormat="false" ht="12.75" hidden="false" customHeight="true" outlineLevel="0" collapsed="false"/>
    <row r="1046353" customFormat="false" ht="12.75" hidden="false" customHeight="true" outlineLevel="0" collapsed="false"/>
    <row r="1046354" customFormat="false" ht="12.75" hidden="false" customHeight="true" outlineLevel="0" collapsed="false"/>
    <row r="1046355" customFormat="false" ht="12.75" hidden="false" customHeight="true" outlineLevel="0" collapsed="false"/>
    <row r="1046356" customFormat="false" ht="12.75" hidden="false" customHeight="true" outlineLevel="0" collapsed="false"/>
    <row r="1046357" customFormat="false" ht="12.75" hidden="false" customHeight="true" outlineLevel="0" collapsed="false"/>
    <row r="1046358" customFormat="false" ht="12.75" hidden="false" customHeight="true" outlineLevel="0" collapsed="false"/>
    <row r="1046359" customFormat="false" ht="12.75" hidden="false" customHeight="true" outlineLevel="0" collapsed="false"/>
    <row r="1046360" customFormat="false" ht="12.75" hidden="false" customHeight="true" outlineLevel="0" collapsed="false"/>
    <row r="1046361" customFormat="false" ht="12.75" hidden="false" customHeight="true" outlineLevel="0" collapsed="false"/>
    <row r="1046362" customFormat="false" ht="12.75" hidden="false" customHeight="true" outlineLevel="0" collapsed="false"/>
    <row r="1046363" customFormat="false" ht="12.75" hidden="false" customHeight="true" outlineLevel="0" collapsed="false"/>
    <row r="1046364" customFormat="false" ht="12.75" hidden="false" customHeight="true" outlineLevel="0" collapsed="false"/>
    <row r="1046365" customFormat="false" ht="12.75" hidden="false" customHeight="true" outlineLevel="0" collapsed="false"/>
    <row r="1046366" customFormat="false" ht="12.75" hidden="false" customHeight="true" outlineLevel="0" collapsed="false"/>
    <row r="1046367" customFormat="false" ht="12.75" hidden="false" customHeight="true" outlineLevel="0" collapsed="false"/>
    <row r="1046368" customFormat="false" ht="12.75" hidden="false" customHeight="true" outlineLevel="0" collapsed="false"/>
    <row r="1046369" customFormat="false" ht="12.75" hidden="false" customHeight="true" outlineLevel="0" collapsed="false"/>
    <row r="1046370" customFormat="false" ht="12.75" hidden="false" customHeight="true" outlineLevel="0" collapsed="false"/>
    <row r="1046371" customFormat="false" ht="12.75" hidden="false" customHeight="true" outlineLevel="0" collapsed="false"/>
    <row r="1046372" customFormat="false" ht="12.75" hidden="false" customHeight="true" outlineLevel="0" collapsed="false"/>
    <row r="1046373" customFormat="false" ht="12.75" hidden="false" customHeight="true" outlineLevel="0" collapsed="false"/>
    <row r="1046374" customFormat="false" ht="12.75" hidden="false" customHeight="true" outlineLevel="0" collapsed="false"/>
    <row r="1046375" customFormat="false" ht="12.75" hidden="false" customHeight="true" outlineLevel="0" collapsed="false"/>
    <row r="1046376" customFormat="false" ht="12.75" hidden="false" customHeight="true" outlineLevel="0" collapsed="false"/>
    <row r="1046377" customFormat="false" ht="12.75" hidden="false" customHeight="true" outlineLevel="0" collapsed="false"/>
    <row r="1046378" customFormat="false" ht="12.75" hidden="false" customHeight="true" outlineLevel="0" collapsed="false"/>
    <row r="1046379" customFormat="false" ht="12.75" hidden="false" customHeight="true" outlineLevel="0" collapsed="false"/>
    <row r="1046380" customFormat="false" ht="12.75" hidden="false" customHeight="true" outlineLevel="0" collapsed="false"/>
    <row r="1046381" customFormat="false" ht="12.75" hidden="false" customHeight="true" outlineLevel="0" collapsed="false"/>
    <row r="1046382" customFormat="false" ht="12.75" hidden="false" customHeight="true" outlineLevel="0" collapsed="false"/>
    <row r="1046383" customFormat="false" ht="12.75" hidden="false" customHeight="true" outlineLevel="0" collapsed="false"/>
    <row r="1046384" customFormat="false" ht="12.75" hidden="false" customHeight="true" outlineLevel="0" collapsed="false"/>
    <row r="1046385" customFormat="false" ht="12.75" hidden="false" customHeight="true" outlineLevel="0" collapsed="false"/>
    <row r="1046386" customFormat="false" ht="12.75" hidden="false" customHeight="true" outlineLevel="0" collapsed="false"/>
    <row r="1046387" customFormat="false" ht="12.75" hidden="false" customHeight="true" outlineLevel="0" collapsed="false"/>
    <row r="1046388" customFormat="false" ht="12.75" hidden="false" customHeight="true" outlineLevel="0" collapsed="false"/>
    <row r="1046389" customFormat="false" ht="12.75" hidden="false" customHeight="true" outlineLevel="0" collapsed="false"/>
    <row r="1046390" customFormat="false" ht="12.75" hidden="false" customHeight="true" outlineLevel="0" collapsed="false"/>
    <row r="1046391" customFormat="false" ht="12.75" hidden="false" customHeight="true" outlineLevel="0" collapsed="false"/>
    <row r="1046392" customFormat="false" ht="12.75" hidden="false" customHeight="true" outlineLevel="0" collapsed="false"/>
    <row r="1046393" customFormat="false" ht="12.75" hidden="false" customHeight="true" outlineLevel="0" collapsed="false"/>
    <row r="1046394" customFormat="false" ht="12.75" hidden="false" customHeight="true" outlineLevel="0" collapsed="false"/>
    <row r="1046395" customFormat="false" ht="12.75" hidden="false" customHeight="true" outlineLevel="0" collapsed="false"/>
    <row r="1046396" customFormat="false" ht="12.75" hidden="false" customHeight="true" outlineLevel="0" collapsed="false"/>
    <row r="1046397" customFormat="false" ht="12.75" hidden="false" customHeight="true" outlineLevel="0" collapsed="false"/>
    <row r="1046398" customFormat="false" ht="12.75" hidden="false" customHeight="true" outlineLevel="0" collapsed="false"/>
    <row r="1046399" customFormat="false" ht="12.75" hidden="false" customHeight="true" outlineLevel="0" collapsed="false"/>
    <row r="1046400" customFormat="false" ht="12.75" hidden="false" customHeight="true" outlineLevel="0" collapsed="false"/>
    <row r="1046401" customFormat="false" ht="12.75" hidden="false" customHeight="true" outlineLevel="0" collapsed="false"/>
    <row r="1046402" customFormat="false" ht="12.75" hidden="false" customHeight="true" outlineLevel="0" collapsed="false"/>
    <row r="1046403" customFormat="false" ht="12.75" hidden="false" customHeight="true" outlineLevel="0" collapsed="false"/>
    <row r="1046404" customFormat="false" ht="12.75" hidden="false" customHeight="true" outlineLevel="0" collapsed="false"/>
    <row r="1046405" customFormat="false" ht="12.75" hidden="false" customHeight="true" outlineLevel="0" collapsed="false"/>
    <row r="1046406" customFormat="false" ht="12.75" hidden="false" customHeight="true" outlineLevel="0" collapsed="false"/>
    <row r="1046407" customFormat="false" ht="12.75" hidden="false" customHeight="true" outlineLevel="0" collapsed="false"/>
    <row r="1046408" customFormat="false" ht="12.75" hidden="false" customHeight="true" outlineLevel="0" collapsed="false"/>
    <row r="1046409" customFormat="false" ht="12.75" hidden="false" customHeight="true" outlineLevel="0" collapsed="false"/>
    <row r="1046410" customFormat="false" ht="12.75" hidden="false" customHeight="true" outlineLevel="0" collapsed="false"/>
    <row r="1046411" customFormat="false" ht="12.75" hidden="false" customHeight="true" outlineLevel="0" collapsed="false"/>
    <row r="1046412" customFormat="false" ht="12.75" hidden="false" customHeight="true" outlineLevel="0" collapsed="false"/>
    <row r="1046413" customFormat="false" ht="12.75" hidden="false" customHeight="true" outlineLevel="0" collapsed="false"/>
    <row r="1046414" customFormat="false" ht="12.75" hidden="false" customHeight="true" outlineLevel="0" collapsed="false"/>
    <row r="1046415" customFormat="false" ht="12.75" hidden="false" customHeight="true" outlineLevel="0" collapsed="false"/>
    <row r="1046416" customFormat="false" ht="12.75" hidden="false" customHeight="true" outlineLevel="0" collapsed="false"/>
    <row r="1046417" customFormat="false" ht="12.75" hidden="false" customHeight="true" outlineLevel="0" collapsed="false"/>
    <row r="1046418" customFormat="false" ht="12.75" hidden="false" customHeight="true" outlineLevel="0" collapsed="false"/>
    <row r="1046419" customFormat="false" ht="12.75" hidden="false" customHeight="true" outlineLevel="0" collapsed="false"/>
    <row r="1046420" customFormat="false" ht="12.75" hidden="false" customHeight="true" outlineLevel="0" collapsed="false"/>
    <row r="1046421" customFormat="false" ht="12.75" hidden="false" customHeight="true" outlineLevel="0" collapsed="false"/>
    <row r="1046422" customFormat="false" ht="12.75" hidden="false" customHeight="true" outlineLevel="0" collapsed="false"/>
    <row r="1046423" customFormat="false" ht="12.75" hidden="false" customHeight="true" outlineLevel="0" collapsed="false"/>
    <row r="1046424" customFormat="false" ht="12.75" hidden="false" customHeight="true" outlineLevel="0" collapsed="false"/>
    <row r="1046425" customFormat="false" ht="12.75" hidden="false" customHeight="true" outlineLevel="0" collapsed="false"/>
    <row r="1046426" customFormat="false" ht="12.75" hidden="false" customHeight="true" outlineLevel="0" collapsed="false"/>
    <row r="1046427" customFormat="false" ht="12.75" hidden="false" customHeight="true" outlineLevel="0" collapsed="false"/>
    <row r="1046428" customFormat="false" ht="12.75" hidden="false" customHeight="true" outlineLevel="0" collapsed="false"/>
    <row r="1046429" customFormat="false" ht="12.75" hidden="false" customHeight="true" outlineLevel="0" collapsed="false"/>
    <row r="1046430" customFormat="false" ht="12.75" hidden="false" customHeight="true" outlineLevel="0" collapsed="false"/>
    <row r="1046431" customFormat="false" ht="12.75" hidden="false" customHeight="true" outlineLevel="0" collapsed="false"/>
    <row r="1046432" customFormat="false" ht="12.75" hidden="false" customHeight="true" outlineLevel="0" collapsed="false"/>
    <row r="1046433" customFormat="false" ht="12.75" hidden="false" customHeight="true" outlineLevel="0" collapsed="false"/>
    <row r="1046434" customFormat="false" ht="12.75" hidden="false" customHeight="true" outlineLevel="0" collapsed="false"/>
    <row r="1046435" customFormat="false" ht="12.75" hidden="false" customHeight="true" outlineLevel="0" collapsed="false"/>
    <row r="1046436" customFormat="false" ht="12.75" hidden="false" customHeight="true" outlineLevel="0" collapsed="false"/>
    <row r="1046437" customFormat="false" ht="12.75" hidden="false" customHeight="true" outlineLevel="0" collapsed="false"/>
    <row r="1046438" customFormat="false" ht="12.75" hidden="false" customHeight="true" outlineLevel="0" collapsed="false"/>
    <row r="1046439" customFormat="false" ht="12.75" hidden="false" customHeight="true" outlineLevel="0" collapsed="false"/>
    <row r="1046440" customFormat="false" ht="12.75" hidden="false" customHeight="true" outlineLevel="0" collapsed="false"/>
    <row r="1046441" customFormat="false" ht="12.75" hidden="false" customHeight="true" outlineLevel="0" collapsed="false"/>
    <row r="1046442" customFormat="false" ht="12.75" hidden="false" customHeight="true" outlineLevel="0" collapsed="false"/>
    <row r="1046443" customFormat="false" ht="12.75" hidden="false" customHeight="true" outlineLevel="0" collapsed="false"/>
    <row r="1046444" customFormat="false" ht="12.75" hidden="false" customHeight="true" outlineLevel="0" collapsed="false"/>
    <row r="1046445" customFormat="false" ht="12.75" hidden="false" customHeight="true" outlineLevel="0" collapsed="false"/>
    <row r="1046446" customFormat="false" ht="12.75" hidden="false" customHeight="true" outlineLevel="0" collapsed="false"/>
    <row r="1046447" customFormat="false" ht="12.75" hidden="false" customHeight="true" outlineLevel="0" collapsed="false"/>
    <row r="1046448" customFormat="false" ht="12.75" hidden="false" customHeight="true" outlineLevel="0" collapsed="false"/>
    <row r="1046449" customFormat="false" ht="12.75" hidden="false" customHeight="true" outlineLevel="0" collapsed="false"/>
    <row r="1046450" customFormat="false" ht="12.75" hidden="false" customHeight="true" outlineLevel="0" collapsed="false"/>
    <row r="1046451" customFormat="false" ht="12.75" hidden="false" customHeight="true" outlineLevel="0" collapsed="false"/>
    <row r="1046452" customFormat="false" ht="12.75" hidden="false" customHeight="true" outlineLevel="0" collapsed="false"/>
    <row r="1046453" customFormat="false" ht="12.75" hidden="false" customHeight="true" outlineLevel="0" collapsed="false"/>
    <row r="1046454" customFormat="false" ht="12.75" hidden="false" customHeight="true" outlineLevel="0" collapsed="false"/>
    <row r="1046455" customFormat="false" ht="12.75" hidden="false" customHeight="true" outlineLevel="0" collapsed="false"/>
    <row r="1046456" customFormat="false" ht="12.75" hidden="false" customHeight="true" outlineLevel="0" collapsed="false"/>
    <row r="1046457" customFormat="false" ht="12.75" hidden="false" customHeight="true" outlineLevel="0" collapsed="false"/>
    <row r="1046458" customFormat="false" ht="12.75" hidden="false" customHeight="true" outlineLevel="0" collapsed="false"/>
    <row r="1046459" customFormat="false" ht="12.75" hidden="false" customHeight="true" outlineLevel="0" collapsed="false"/>
    <row r="1046460" customFormat="false" ht="12.75" hidden="false" customHeight="true" outlineLevel="0" collapsed="false"/>
    <row r="1046461" customFormat="false" ht="12.75" hidden="false" customHeight="true" outlineLevel="0" collapsed="false"/>
    <row r="1046462" customFormat="false" ht="12.75" hidden="false" customHeight="true" outlineLevel="0" collapsed="false"/>
    <row r="1046463" customFormat="false" ht="12.75" hidden="false" customHeight="true" outlineLevel="0" collapsed="false"/>
    <row r="1046464" customFormat="false" ht="12.75" hidden="false" customHeight="true" outlineLevel="0" collapsed="false"/>
    <row r="1046465" customFormat="false" ht="12.75" hidden="false" customHeight="true" outlineLevel="0" collapsed="false"/>
    <row r="1046466" customFormat="false" ht="12.75" hidden="false" customHeight="true" outlineLevel="0" collapsed="false"/>
    <row r="1046467" customFormat="false" ht="12.75" hidden="false" customHeight="true" outlineLevel="0" collapsed="false"/>
    <row r="1046468" customFormat="false" ht="12.75" hidden="false" customHeight="true" outlineLevel="0" collapsed="false"/>
    <row r="1046469" customFormat="false" ht="12.75" hidden="false" customHeight="true" outlineLevel="0" collapsed="false"/>
    <row r="1046470" customFormat="false" ht="12.75" hidden="false" customHeight="true" outlineLevel="0" collapsed="false"/>
    <row r="1046471" customFormat="false" ht="12.75" hidden="false" customHeight="true" outlineLevel="0" collapsed="false"/>
    <row r="1046472" customFormat="false" ht="12.75" hidden="false" customHeight="true" outlineLevel="0" collapsed="false"/>
    <row r="1046473" customFormat="false" ht="12.75" hidden="false" customHeight="true" outlineLevel="0" collapsed="false"/>
    <row r="1046474" customFormat="false" ht="12.75" hidden="false" customHeight="true" outlineLevel="0" collapsed="false"/>
    <row r="1046475" customFormat="false" ht="12.75" hidden="false" customHeight="true" outlineLevel="0" collapsed="false"/>
    <row r="1046476" customFormat="false" ht="12.75" hidden="false" customHeight="true" outlineLevel="0" collapsed="false"/>
    <row r="1046477" customFormat="false" ht="12.75" hidden="false" customHeight="true" outlineLevel="0" collapsed="false"/>
    <row r="1046478" customFormat="false" ht="12.75" hidden="false" customHeight="true" outlineLevel="0" collapsed="false"/>
    <row r="1046479" customFormat="false" ht="12.75" hidden="false" customHeight="true" outlineLevel="0" collapsed="false"/>
    <row r="1046480" customFormat="false" ht="12.75" hidden="false" customHeight="true" outlineLevel="0" collapsed="false"/>
    <row r="1046481" customFormat="false" ht="12.75" hidden="false" customHeight="true" outlineLevel="0" collapsed="false"/>
    <row r="1046482" customFormat="false" ht="12.75" hidden="false" customHeight="true" outlineLevel="0" collapsed="false"/>
    <row r="1046483" customFormat="false" ht="12.75" hidden="false" customHeight="true" outlineLevel="0" collapsed="false"/>
    <row r="1046484" customFormat="false" ht="12.75" hidden="false" customHeight="true" outlineLevel="0" collapsed="false"/>
    <row r="1046485" customFormat="false" ht="12.75" hidden="false" customHeight="true" outlineLevel="0" collapsed="false"/>
    <row r="1046486" customFormat="false" ht="12.75" hidden="false" customHeight="true" outlineLevel="0" collapsed="false"/>
    <row r="1046487" customFormat="false" ht="12.75" hidden="false" customHeight="true" outlineLevel="0" collapsed="false"/>
    <row r="1046488" customFormat="false" ht="12.75" hidden="false" customHeight="true" outlineLevel="0" collapsed="false"/>
    <row r="1046489" customFormat="false" ht="12.75" hidden="false" customHeight="true" outlineLevel="0" collapsed="false"/>
    <row r="1046490" customFormat="false" ht="12.75" hidden="false" customHeight="true" outlineLevel="0" collapsed="false"/>
    <row r="1046491" customFormat="false" ht="12.75" hidden="false" customHeight="true" outlineLevel="0" collapsed="false"/>
    <row r="1046492" customFormat="false" ht="12.75" hidden="false" customHeight="true" outlineLevel="0" collapsed="false"/>
    <row r="1046493" customFormat="false" ht="12.75" hidden="false" customHeight="true" outlineLevel="0" collapsed="false"/>
    <row r="1046494" customFormat="false" ht="12.75" hidden="false" customHeight="true" outlineLevel="0" collapsed="false"/>
    <row r="1046495" customFormat="false" ht="12.75" hidden="false" customHeight="true" outlineLevel="0" collapsed="false"/>
    <row r="1046496" customFormat="false" ht="12.75" hidden="false" customHeight="true" outlineLevel="0" collapsed="false"/>
    <row r="1046497" customFormat="false" ht="12.75" hidden="false" customHeight="true" outlineLevel="0" collapsed="false"/>
    <row r="1046498" customFormat="false" ht="12.75" hidden="false" customHeight="true" outlineLevel="0" collapsed="false"/>
    <row r="1046499" customFormat="false" ht="12.75" hidden="false" customHeight="true" outlineLevel="0" collapsed="false"/>
    <row r="1046500" customFormat="false" ht="12.75" hidden="false" customHeight="true" outlineLevel="0" collapsed="false"/>
    <row r="1046501" customFormat="false" ht="12.75" hidden="false" customHeight="true" outlineLevel="0" collapsed="false"/>
    <row r="1046502" customFormat="false" ht="12.75" hidden="false" customHeight="true" outlineLevel="0" collapsed="false"/>
    <row r="1046503" customFormat="false" ht="12.75" hidden="false" customHeight="true" outlineLevel="0" collapsed="false"/>
    <row r="1046504" customFormat="false" ht="12.75" hidden="false" customHeight="true" outlineLevel="0" collapsed="false"/>
    <row r="1046505" customFormat="false" ht="12.75" hidden="false" customHeight="true" outlineLevel="0" collapsed="false"/>
    <row r="1046506" customFormat="false" ht="12.75" hidden="false" customHeight="true" outlineLevel="0" collapsed="false"/>
    <row r="1046507" customFormat="false" ht="12.75" hidden="false" customHeight="true" outlineLevel="0" collapsed="false"/>
    <row r="1046508" customFormat="false" ht="12.75" hidden="false" customHeight="true" outlineLevel="0" collapsed="false"/>
    <row r="1046509" customFormat="false" ht="12.75" hidden="false" customHeight="true" outlineLevel="0" collapsed="false"/>
    <row r="1046510" customFormat="false" ht="12.75" hidden="false" customHeight="true" outlineLevel="0" collapsed="false"/>
    <row r="1046511" customFormat="false" ht="12.75" hidden="false" customHeight="true" outlineLevel="0" collapsed="false"/>
    <row r="1046512" customFormat="false" ht="12.75" hidden="false" customHeight="true" outlineLevel="0" collapsed="false"/>
    <row r="1046513" customFormat="false" ht="12.75" hidden="false" customHeight="true" outlineLevel="0" collapsed="false"/>
    <row r="1046514" customFormat="false" ht="12.75" hidden="false" customHeight="true" outlineLevel="0" collapsed="false"/>
    <row r="1046515" customFormat="false" ht="12.75" hidden="false" customHeight="true" outlineLevel="0" collapsed="false"/>
    <row r="1046516" customFormat="false" ht="12.75" hidden="false" customHeight="true" outlineLevel="0" collapsed="false"/>
    <row r="1046517" customFormat="false" ht="12.75" hidden="false" customHeight="true" outlineLevel="0" collapsed="false"/>
    <row r="1046518" customFormat="false" ht="12.75" hidden="false" customHeight="true" outlineLevel="0" collapsed="false"/>
    <row r="1046519" customFormat="false" ht="12.75" hidden="false" customHeight="true" outlineLevel="0" collapsed="false"/>
    <row r="1046520" customFormat="false" ht="12.75" hidden="false" customHeight="true" outlineLevel="0" collapsed="false"/>
    <row r="1046521" customFormat="false" ht="12.75" hidden="false" customHeight="true" outlineLevel="0" collapsed="false"/>
    <row r="1046522" customFormat="false" ht="12.75" hidden="false" customHeight="true" outlineLevel="0" collapsed="false"/>
    <row r="1046523" customFormat="false" ht="12.75" hidden="false" customHeight="true" outlineLevel="0" collapsed="false"/>
    <row r="1046524" customFormat="false" ht="12.75" hidden="false" customHeight="true" outlineLevel="0" collapsed="false"/>
    <row r="1046525" customFormat="false" ht="12.75" hidden="false" customHeight="true" outlineLevel="0" collapsed="false"/>
    <row r="1046526" customFormat="false" ht="12.75" hidden="false" customHeight="true" outlineLevel="0" collapsed="false"/>
    <row r="1046527" customFormat="false" ht="12.75" hidden="false" customHeight="true" outlineLevel="0" collapsed="false"/>
    <row r="1046528" customFormat="false" ht="12.75" hidden="false" customHeight="true" outlineLevel="0" collapsed="false"/>
    <row r="1046529" customFormat="false" ht="12.75" hidden="false" customHeight="true" outlineLevel="0" collapsed="false"/>
    <row r="1046530" customFormat="false" ht="12.75" hidden="false" customHeight="true" outlineLevel="0" collapsed="false"/>
    <row r="1046531" customFormat="false" ht="12.75" hidden="false" customHeight="true" outlineLevel="0" collapsed="false"/>
    <row r="1046532" customFormat="false" ht="12.75" hidden="false" customHeight="true" outlineLevel="0" collapsed="false"/>
    <row r="1046533" customFormat="false" ht="12.75" hidden="false" customHeight="true" outlineLevel="0" collapsed="false"/>
    <row r="1046534" customFormat="false" ht="12.75" hidden="false" customHeight="true" outlineLevel="0" collapsed="false"/>
    <row r="1046535" customFormat="false" ht="12.75" hidden="false" customHeight="true" outlineLevel="0" collapsed="false"/>
    <row r="1046536" customFormat="false" ht="12.75" hidden="false" customHeight="true" outlineLevel="0" collapsed="false"/>
    <row r="1046537" customFormat="false" ht="12.75" hidden="false" customHeight="true" outlineLevel="0" collapsed="false"/>
    <row r="1046538" customFormat="false" ht="12.75" hidden="false" customHeight="true" outlineLevel="0" collapsed="false"/>
    <row r="1046539" customFormat="false" ht="12.75" hidden="false" customHeight="true" outlineLevel="0" collapsed="false"/>
    <row r="1046540" customFormat="false" ht="12.75" hidden="false" customHeight="true" outlineLevel="0" collapsed="false"/>
    <row r="1046541" customFormat="false" ht="12.75" hidden="false" customHeight="true" outlineLevel="0" collapsed="false"/>
    <row r="1046542" customFormat="false" ht="12.75" hidden="false" customHeight="true" outlineLevel="0" collapsed="false"/>
    <row r="1046543" customFormat="false" ht="12.75" hidden="false" customHeight="true" outlineLevel="0" collapsed="false"/>
    <row r="1046544" customFormat="false" ht="12.75" hidden="false" customHeight="true" outlineLevel="0" collapsed="false"/>
    <row r="1046545" customFormat="false" ht="12.75" hidden="false" customHeight="true" outlineLevel="0" collapsed="false"/>
    <row r="1046546" customFormat="false" ht="12.75" hidden="false" customHeight="true" outlineLevel="0" collapsed="false"/>
    <row r="1046547" customFormat="false" ht="12.75" hidden="false" customHeight="true" outlineLevel="0" collapsed="false"/>
    <row r="1046548" customFormat="false" ht="12.75" hidden="false" customHeight="true" outlineLevel="0" collapsed="false"/>
    <row r="1046549" customFormat="false" ht="12.75" hidden="false" customHeight="true" outlineLevel="0" collapsed="false"/>
    <row r="1046550" customFormat="false" ht="12.75" hidden="false" customHeight="true" outlineLevel="0" collapsed="false"/>
    <row r="1046551" customFormat="false" ht="12.75" hidden="false" customHeight="true" outlineLevel="0" collapsed="false"/>
    <row r="1046552" customFormat="false" ht="12.75" hidden="false" customHeight="true" outlineLevel="0" collapsed="false"/>
    <row r="1046553" customFormat="false" ht="12.75" hidden="false" customHeight="true" outlineLevel="0" collapsed="false"/>
    <row r="1046554" customFormat="false" ht="12.75" hidden="false" customHeight="true" outlineLevel="0" collapsed="false"/>
    <row r="1046555" customFormat="false" ht="12.75" hidden="false" customHeight="true" outlineLevel="0" collapsed="false"/>
    <row r="1046556" customFormat="false" ht="12.75" hidden="false" customHeight="true" outlineLevel="0" collapsed="false"/>
    <row r="1046557" customFormat="false" ht="12.75" hidden="false" customHeight="true" outlineLevel="0" collapsed="false"/>
    <row r="1046558" customFormat="false" ht="12.75" hidden="false" customHeight="true" outlineLevel="0" collapsed="false"/>
    <row r="1046559" customFormat="false" ht="12.75" hidden="false" customHeight="true" outlineLevel="0" collapsed="false"/>
    <row r="1046560" customFormat="false" ht="12.75" hidden="false" customHeight="true" outlineLevel="0" collapsed="false"/>
    <row r="1046561" customFormat="false" ht="12.75" hidden="false" customHeight="true" outlineLevel="0" collapsed="false"/>
    <row r="1046562" customFormat="false" ht="12.75" hidden="false" customHeight="true" outlineLevel="0" collapsed="false"/>
    <row r="1046563" customFormat="false" ht="12.75" hidden="false" customHeight="true" outlineLevel="0" collapsed="false"/>
    <row r="1046564" customFormat="false" ht="12.75" hidden="false" customHeight="true" outlineLevel="0" collapsed="false"/>
    <row r="1046565" customFormat="false" ht="12.75" hidden="false" customHeight="true" outlineLevel="0" collapsed="false"/>
    <row r="1046566" customFormat="false" ht="12.75" hidden="false" customHeight="true" outlineLevel="0" collapsed="false"/>
    <row r="1046567" customFormat="false" ht="12.75" hidden="false" customHeight="true" outlineLevel="0" collapsed="false"/>
    <row r="1046568" customFormat="false" ht="12.75" hidden="false" customHeight="true" outlineLevel="0" collapsed="false"/>
    <row r="1046569" customFormat="false" ht="12.75" hidden="false" customHeight="true" outlineLevel="0" collapsed="false"/>
    <row r="1046570" customFormat="false" ht="12.75" hidden="false" customHeight="true" outlineLevel="0" collapsed="false"/>
    <row r="1046571" customFormat="false" ht="12.75" hidden="false" customHeight="true" outlineLevel="0" collapsed="false"/>
    <row r="1046572" customFormat="false" ht="12.75" hidden="false" customHeight="true" outlineLevel="0" collapsed="false"/>
    <row r="1046573" customFormat="false" ht="12.75" hidden="false" customHeight="true" outlineLevel="0" collapsed="false"/>
    <row r="1046574" customFormat="false" ht="12.75" hidden="false" customHeight="true" outlineLevel="0" collapsed="false"/>
    <row r="1046575" customFormat="false" ht="12.75" hidden="false" customHeight="true" outlineLevel="0" collapsed="false"/>
    <row r="1046576" customFormat="false" ht="12.75" hidden="false" customHeight="true" outlineLevel="0" collapsed="false"/>
    <row r="1046577" customFormat="false" ht="12.75" hidden="false" customHeight="true" outlineLevel="0" collapsed="false"/>
    <row r="1046578" customFormat="false" ht="12.75" hidden="false" customHeight="true" outlineLevel="0" collapsed="false"/>
    <row r="1046579" customFormat="false" ht="12.75" hidden="false" customHeight="true" outlineLevel="0" collapsed="false"/>
    <row r="1046580" customFormat="false" ht="12.75" hidden="false" customHeight="true" outlineLevel="0" collapsed="false"/>
    <row r="1046581" customFormat="false" ht="12.75" hidden="false" customHeight="true" outlineLevel="0" collapsed="false"/>
    <row r="1046582" customFormat="false" ht="12.75" hidden="false" customHeight="true" outlineLevel="0" collapsed="false"/>
    <row r="1046583" customFormat="false" ht="12.75" hidden="false" customHeight="true" outlineLevel="0" collapsed="false"/>
    <row r="1046584" customFormat="false" ht="12.75" hidden="false" customHeight="true" outlineLevel="0" collapsed="false"/>
    <row r="1046585" customFormat="false" ht="12.75" hidden="false" customHeight="true" outlineLevel="0" collapsed="false"/>
    <row r="1046586" customFormat="false" ht="12.75" hidden="false" customHeight="true" outlineLevel="0" collapsed="false"/>
    <row r="1046587" customFormat="false" ht="12.75" hidden="false" customHeight="true" outlineLevel="0" collapsed="false"/>
    <row r="1046588" customFormat="false" ht="12.75" hidden="false" customHeight="true" outlineLevel="0" collapsed="false"/>
    <row r="1046589" customFormat="false" ht="12.75" hidden="false" customHeight="true" outlineLevel="0" collapsed="false"/>
    <row r="1046590" customFormat="false" ht="12.75" hidden="false" customHeight="true" outlineLevel="0" collapsed="false"/>
    <row r="1046591" customFormat="false" ht="12.75" hidden="false" customHeight="true" outlineLevel="0" collapsed="false"/>
    <row r="1046592" customFormat="false" ht="12.75" hidden="false" customHeight="true" outlineLevel="0" collapsed="false"/>
    <row r="1046593" customFormat="false" ht="12.75" hidden="false" customHeight="true" outlineLevel="0" collapsed="false"/>
    <row r="1046594" customFormat="false" ht="12.75" hidden="false" customHeight="true" outlineLevel="0" collapsed="false"/>
    <row r="1046595" customFormat="false" ht="12.75" hidden="false" customHeight="true" outlineLevel="0" collapsed="false"/>
    <row r="1046596" customFormat="false" ht="12.75" hidden="false" customHeight="true" outlineLevel="0" collapsed="false"/>
    <row r="1046597" customFormat="false" ht="12.75" hidden="false" customHeight="true" outlineLevel="0" collapsed="false"/>
    <row r="1046598" customFormat="false" ht="12.75" hidden="false" customHeight="true" outlineLevel="0" collapsed="false"/>
    <row r="1046599" customFormat="false" ht="12.75" hidden="false" customHeight="true" outlineLevel="0" collapsed="false"/>
    <row r="1046600" customFormat="false" ht="12.75" hidden="false" customHeight="true" outlineLevel="0" collapsed="false"/>
    <row r="1046601" customFormat="false" ht="12.75" hidden="false" customHeight="true" outlineLevel="0" collapsed="false"/>
    <row r="1046602" customFormat="false" ht="12.75" hidden="false" customHeight="true" outlineLevel="0" collapsed="false"/>
    <row r="1046603" customFormat="false" ht="12.75" hidden="false" customHeight="true" outlineLevel="0" collapsed="false"/>
    <row r="1046604" customFormat="false" ht="12.75" hidden="false" customHeight="true" outlineLevel="0" collapsed="false"/>
    <row r="1046605" customFormat="false" ht="12.75" hidden="false" customHeight="true" outlineLevel="0" collapsed="false"/>
    <row r="1046606" customFormat="false" ht="12.75" hidden="false" customHeight="true" outlineLevel="0" collapsed="false"/>
    <row r="1046607" customFormat="false" ht="12.75" hidden="false" customHeight="true" outlineLevel="0" collapsed="false"/>
    <row r="1046608" customFormat="false" ht="12.75" hidden="false" customHeight="true" outlineLevel="0" collapsed="false"/>
    <row r="1046609" customFormat="false" ht="12.75" hidden="false" customHeight="true" outlineLevel="0" collapsed="false"/>
    <row r="1046610" customFormat="false" ht="12.75" hidden="false" customHeight="true" outlineLevel="0" collapsed="false"/>
    <row r="1046611" customFormat="false" ht="12.75" hidden="false" customHeight="true" outlineLevel="0" collapsed="false"/>
    <row r="1046612" customFormat="false" ht="12.75" hidden="false" customHeight="true" outlineLevel="0" collapsed="false"/>
    <row r="1046613" customFormat="false" ht="12.75" hidden="false" customHeight="true" outlineLevel="0" collapsed="false"/>
    <row r="1046614" customFormat="false" ht="12.75" hidden="false" customHeight="true" outlineLevel="0" collapsed="false"/>
    <row r="1046615" customFormat="false" ht="12.75" hidden="false" customHeight="true" outlineLevel="0" collapsed="false"/>
    <row r="1046616" customFormat="false" ht="12.75" hidden="false" customHeight="true" outlineLevel="0" collapsed="false"/>
    <row r="1046617" customFormat="false" ht="12.75" hidden="false" customHeight="true" outlineLevel="0" collapsed="false"/>
    <row r="1046618" customFormat="false" ht="12.75" hidden="false" customHeight="true" outlineLevel="0" collapsed="false"/>
    <row r="1046619" customFormat="false" ht="12.75" hidden="false" customHeight="true" outlineLevel="0" collapsed="false"/>
    <row r="1046620" customFormat="false" ht="12.75" hidden="false" customHeight="true" outlineLevel="0" collapsed="false"/>
    <row r="1046621" customFormat="false" ht="12.75" hidden="false" customHeight="true" outlineLevel="0" collapsed="false"/>
    <row r="1046622" customFormat="false" ht="12.75" hidden="false" customHeight="true" outlineLevel="0" collapsed="false"/>
    <row r="1046623" customFormat="false" ht="12.75" hidden="false" customHeight="true" outlineLevel="0" collapsed="false"/>
    <row r="1046624" customFormat="false" ht="12.75" hidden="false" customHeight="true" outlineLevel="0" collapsed="false"/>
    <row r="1046625" customFormat="false" ht="12.75" hidden="false" customHeight="true" outlineLevel="0" collapsed="false"/>
    <row r="1046626" customFormat="false" ht="12.75" hidden="false" customHeight="true" outlineLevel="0" collapsed="false"/>
    <row r="1046627" customFormat="false" ht="12.75" hidden="false" customHeight="true" outlineLevel="0" collapsed="false"/>
    <row r="1046628" customFormat="false" ht="12.75" hidden="false" customHeight="true" outlineLevel="0" collapsed="false"/>
    <row r="1046629" customFormat="false" ht="12.75" hidden="false" customHeight="true" outlineLevel="0" collapsed="false"/>
    <row r="1046630" customFormat="false" ht="12.75" hidden="false" customHeight="true" outlineLevel="0" collapsed="false"/>
    <row r="1046631" customFormat="false" ht="12.75" hidden="false" customHeight="true" outlineLevel="0" collapsed="false"/>
    <row r="1046632" customFormat="false" ht="12.75" hidden="false" customHeight="true" outlineLevel="0" collapsed="false"/>
    <row r="1046633" customFormat="false" ht="12.75" hidden="false" customHeight="true" outlineLevel="0" collapsed="false"/>
    <row r="1046634" customFormat="false" ht="12.75" hidden="false" customHeight="true" outlineLevel="0" collapsed="false"/>
    <row r="1046635" customFormat="false" ht="12.75" hidden="false" customHeight="true" outlineLevel="0" collapsed="false"/>
    <row r="1046636" customFormat="false" ht="12.75" hidden="false" customHeight="true" outlineLevel="0" collapsed="false"/>
    <row r="1046637" customFormat="false" ht="12.75" hidden="false" customHeight="true" outlineLevel="0" collapsed="false"/>
    <row r="1046638" customFormat="false" ht="12.75" hidden="false" customHeight="true" outlineLevel="0" collapsed="false"/>
    <row r="1046639" customFormat="false" ht="12.75" hidden="false" customHeight="true" outlineLevel="0" collapsed="false"/>
    <row r="1046640" customFormat="false" ht="12.75" hidden="false" customHeight="true" outlineLevel="0" collapsed="false"/>
    <row r="1046641" customFormat="false" ht="12.75" hidden="false" customHeight="true" outlineLevel="0" collapsed="false"/>
    <row r="1046642" customFormat="false" ht="12.75" hidden="false" customHeight="true" outlineLevel="0" collapsed="false"/>
    <row r="1046643" customFormat="false" ht="12.75" hidden="false" customHeight="true" outlineLevel="0" collapsed="false"/>
    <row r="1046644" customFormat="false" ht="12.75" hidden="false" customHeight="true" outlineLevel="0" collapsed="false"/>
    <row r="1046645" customFormat="false" ht="12.75" hidden="false" customHeight="true" outlineLevel="0" collapsed="false"/>
    <row r="1046646" customFormat="false" ht="12.75" hidden="false" customHeight="true" outlineLevel="0" collapsed="false"/>
    <row r="1046647" customFormat="false" ht="12.75" hidden="false" customHeight="true" outlineLevel="0" collapsed="false"/>
    <row r="1046648" customFormat="false" ht="12.75" hidden="false" customHeight="true" outlineLevel="0" collapsed="false"/>
    <row r="1046649" customFormat="false" ht="12.75" hidden="false" customHeight="true" outlineLevel="0" collapsed="false"/>
    <row r="1046650" customFormat="false" ht="12.75" hidden="false" customHeight="true" outlineLevel="0" collapsed="false"/>
    <row r="1046651" customFormat="false" ht="12.75" hidden="false" customHeight="true" outlineLevel="0" collapsed="false"/>
    <row r="1046652" customFormat="false" ht="12.75" hidden="false" customHeight="true" outlineLevel="0" collapsed="false"/>
    <row r="1046653" customFormat="false" ht="12.75" hidden="false" customHeight="true" outlineLevel="0" collapsed="false"/>
    <row r="1046654" customFormat="false" ht="12.75" hidden="false" customHeight="true" outlineLevel="0" collapsed="false"/>
    <row r="1046655" customFormat="false" ht="12.75" hidden="false" customHeight="true" outlineLevel="0" collapsed="false"/>
    <row r="1046656" customFormat="false" ht="12.75" hidden="false" customHeight="true" outlineLevel="0" collapsed="false"/>
    <row r="1046657" customFormat="false" ht="12.75" hidden="false" customHeight="true" outlineLevel="0" collapsed="false"/>
    <row r="1046658" customFormat="false" ht="12.75" hidden="false" customHeight="true" outlineLevel="0" collapsed="false"/>
    <row r="1046659" customFormat="false" ht="12.75" hidden="false" customHeight="true" outlineLevel="0" collapsed="false"/>
    <row r="1046660" customFormat="false" ht="12.75" hidden="false" customHeight="true" outlineLevel="0" collapsed="false"/>
    <row r="1046661" customFormat="false" ht="12.75" hidden="false" customHeight="true" outlineLevel="0" collapsed="false"/>
    <row r="1046662" customFormat="false" ht="12.75" hidden="false" customHeight="true" outlineLevel="0" collapsed="false"/>
    <row r="1046663" customFormat="false" ht="12.75" hidden="false" customHeight="true" outlineLevel="0" collapsed="false"/>
    <row r="1046664" customFormat="false" ht="12.75" hidden="false" customHeight="true" outlineLevel="0" collapsed="false"/>
    <row r="1046665" customFormat="false" ht="12.75" hidden="false" customHeight="true" outlineLevel="0" collapsed="false"/>
    <row r="1046666" customFormat="false" ht="12.75" hidden="false" customHeight="true" outlineLevel="0" collapsed="false"/>
    <row r="1046667" customFormat="false" ht="12.75" hidden="false" customHeight="true" outlineLevel="0" collapsed="false"/>
    <row r="1046668" customFormat="false" ht="12.75" hidden="false" customHeight="true" outlineLevel="0" collapsed="false"/>
    <row r="1046669" customFormat="false" ht="12.75" hidden="false" customHeight="true" outlineLevel="0" collapsed="false"/>
    <row r="1046670" customFormat="false" ht="12.75" hidden="false" customHeight="true" outlineLevel="0" collapsed="false"/>
    <row r="1046671" customFormat="false" ht="12.75" hidden="false" customHeight="true" outlineLevel="0" collapsed="false"/>
    <row r="1046672" customFormat="false" ht="12.75" hidden="false" customHeight="true" outlineLevel="0" collapsed="false"/>
    <row r="1046673" customFormat="false" ht="12.75" hidden="false" customHeight="true" outlineLevel="0" collapsed="false"/>
    <row r="1046674" customFormat="false" ht="12.75" hidden="false" customHeight="true" outlineLevel="0" collapsed="false"/>
    <row r="1046675" customFormat="false" ht="12.75" hidden="false" customHeight="true" outlineLevel="0" collapsed="false"/>
    <row r="1046676" customFormat="false" ht="12.75" hidden="false" customHeight="true" outlineLevel="0" collapsed="false"/>
    <row r="1046677" customFormat="false" ht="12.75" hidden="false" customHeight="true" outlineLevel="0" collapsed="false"/>
    <row r="1046678" customFormat="false" ht="12.75" hidden="false" customHeight="true" outlineLevel="0" collapsed="false"/>
    <row r="1046679" customFormat="false" ht="12.75" hidden="false" customHeight="true" outlineLevel="0" collapsed="false"/>
    <row r="1046680" customFormat="false" ht="12.75" hidden="false" customHeight="true" outlineLevel="0" collapsed="false"/>
    <row r="1046681" customFormat="false" ht="12.75" hidden="false" customHeight="true" outlineLevel="0" collapsed="false"/>
    <row r="1046682" customFormat="false" ht="12.75" hidden="false" customHeight="true" outlineLevel="0" collapsed="false"/>
    <row r="1046683" customFormat="false" ht="12.75" hidden="false" customHeight="true" outlineLevel="0" collapsed="false"/>
    <row r="1046684" customFormat="false" ht="12.75" hidden="false" customHeight="true" outlineLevel="0" collapsed="false"/>
    <row r="1046685" customFormat="false" ht="12.75" hidden="false" customHeight="true" outlineLevel="0" collapsed="false"/>
    <row r="1046686" customFormat="false" ht="12.75" hidden="false" customHeight="true" outlineLevel="0" collapsed="false"/>
    <row r="1046687" customFormat="false" ht="12.75" hidden="false" customHeight="true" outlineLevel="0" collapsed="false"/>
    <row r="1046688" customFormat="false" ht="12.75" hidden="false" customHeight="true" outlineLevel="0" collapsed="false"/>
    <row r="1046689" customFormat="false" ht="12.75" hidden="false" customHeight="true" outlineLevel="0" collapsed="false"/>
    <row r="1046690" customFormat="false" ht="12.75" hidden="false" customHeight="true" outlineLevel="0" collapsed="false"/>
    <row r="1046691" customFormat="false" ht="12.75" hidden="false" customHeight="true" outlineLevel="0" collapsed="false"/>
    <row r="1046692" customFormat="false" ht="12.75" hidden="false" customHeight="true" outlineLevel="0" collapsed="false"/>
    <row r="1046693" customFormat="false" ht="12.75" hidden="false" customHeight="true" outlineLevel="0" collapsed="false"/>
    <row r="1046694" customFormat="false" ht="12.75" hidden="false" customHeight="true" outlineLevel="0" collapsed="false"/>
    <row r="1046695" customFormat="false" ht="12.75" hidden="false" customHeight="true" outlineLevel="0" collapsed="false"/>
    <row r="1046696" customFormat="false" ht="12.75" hidden="false" customHeight="true" outlineLevel="0" collapsed="false"/>
    <row r="1046697" customFormat="false" ht="12.75" hidden="false" customHeight="true" outlineLevel="0" collapsed="false"/>
    <row r="1046698" customFormat="false" ht="12.75" hidden="false" customHeight="true" outlineLevel="0" collapsed="false"/>
    <row r="1046699" customFormat="false" ht="12.75" hidden="false" customHeight="true" outlineLevel="0" collapsed="false"/>
    <row r="1046700" customFormat="false" ht="12.75" hidden="false" customHeight="true" outlineLevel="0" collapsed="false"/>
    <row r="1046701" customFormat="false" ht="12.75" hidden="false" customHeight="true" outlineLevel="0" collapsed="false"/>
    <row r="1046702" customFormat="false" ht="12.75" hidden="false" customHeight="true" outlineLevel="0" collapsed="false"/>
    <row r="1046703" customFormat="false" ht="12.75" hidden="false" customHeight="true" outlineLevel="0" collapsed="false"/>
    <row r="1046704" customFormat="false" ht="12.75" hidden="false" customHeight="true" outlineLevel="0" collapsed="false"/>
    <row r="1046705" customFormat="false" ht="12.75" hidden="false" customHeight="true" outlineLevel="0" collapsed="false"/>
    <row r="1046706" customFormat="false" ht="12.75" hidden="false" customHeight="true" outlineLevel="0" collapsed="false"/>
    <row r="1046707" customFormat="false" ht="12.75" hidden="false" customHeight="true" outlineLevel="0" collapsed="false"/>
    <row r="1046708" customFormat="false" ht="12.75" hidden="false" customHeight="true" outlineLevel="0" collapsed="false"/>
    <row r="1046709" customFormat="false" ht="12.75" hidden="false" customHeight="true" outlineLevel="0" collapsed="false"/>
    <row r="1046710" customFormat="false" ht="12.75" hidden="false" customHeight="true" outlineLevel="0" collapsed="false"/>
    <row r="1046711" customFormat="false" ht="12.75" hidden="false" customHeight="true" outlineLevel="0" collapsed="false"/>
    <row r="1046712" customFormat="false" ht="12.75" hidden="false" customHeight="true" outlineLevel="0" collapsed="false"/>
    <row r="1046713" customFormat="false" ht="12.75" hidden="false" customHeight="true" outlineLevel="0" collapsed="false"/>
    <row r="1046714" customFormat="false" ht="12.75" hidden="false" customHeight="true" outlineLevel="0" collapsed="false"/>
    <row r="1046715" customFormat="false" ht="12.75" hidden="false" customHeight="true" outlineLevel="0" collapsed="false"/>
    <row r="1046716" customFormat="false" ht="12.75" hidden="false" customHeight="true" outlineLevel="0" collapsed="false"/>
    <row r="1046717" customFormat="false" ht="12.75" hidden="false" customHeight="true" outlineLevel="0" collapsed="false"/>
    <row r="1046718" customFormat="false" ht="12.75" hidden="false" customHeight="true" outlineLevel="0" collapsed="false"/>
    <row r="1046719" customFormat="false" ht="12.75" hidden="false" customHeight="true" outlineLevel="0" collapsed="false"/>
    <row r="1046720" customFormat="false" ht="12.75" hidden="false" customHeight="true" outlineLevel="0" collapsed="false"/>
    <row r="1046721" customFormat="false" ht="12.75" hidden="false" customHeight="true" outlineLevel="0" collapsed="false"/>
    <row r="1046722" customFormat="false" ht="12.75" hidden="false" customHeight="true" outlineLevel="0" collapsed="false"/>
    <row r="1046723" customFormat="false" ht="12.75" hidden="false" customHeight="true" outlineLevel="0" collapsed="false"/>
    <row r="1046724" customFormat="false" ht="12.75" hidden="false" customHeight="true" outlineLevel="0" collapsed="false"/>
    <row r="1046725" customFormat="false" ht="12.75" hidden="false" customHeight="true" outlineLevel="0" collapsed="false"/>
    <row r="1046726" customFormat="false" ht="12.75" hidden="false" customHeight="true" outlineLevel="0" collapsed="false"/>
    <row r="1046727" customFormat="false" ht="12.75" hidden="false" customHeight="true" outlineLevel="0" collapsed="false"/>
    <row r="1046728" customFormat="false" ht="12.75" hidden="false" customHeight="true" outlineLevel="0" collapsed="false"/>
    <row r="1046729" customFormat="false" ht="12.75" hidden="false" customHeight="true" outlineLevel="0" collapsed="false"/>
    <row r="1046730" customFormat="false" ht="12.75" hidden="false" customHeight="true" outlineLevel="0" collapsed="false"/>
    <row r="1046731" customFormat="false" ht="12.75" hidden="false" customHeight="true" outlineLevel="0" collapsed="false"/>
    <row r="1046732" customFormat="false" ht="12.75" hidden="false" customHeight="true" outlineLevel="0" collapsed="false"/>
    <row r="1046733" customFormat="false" ht="12.75" hidden="false" customHeight="true" outlineLevel="0" collapsed="false"/>
    <row r="1046734" customFormat="false" ht="12.75" hidden="false" customHeight="true" outlineLevel="0" collapsed="false"/>
    <row r="1046735" customFormat="false" ht="12.75" hidden="false" customHeight="true" outlineLevel="0" collapsed="false"/>
    <row r="1046736" customFormat="false" ht="12.75" hidden="false" customHeight="true" outlineLevel="0" collapsed="false"/>
    <row r="1046737" customFormat="false" ht="12.75" hidden="false" customHeight="true" outlineLevel="0" collapsed="false"/>
    <row r="1046738" customFormat="false" ht="12.75" hidden="false" customHeight="true" outlineLevel="0" collapsed="false"/>
    <row r="1046739" customFormat="false" ht="12.75" hidden="false" customHeight="true" outlineLevel="0" collapsed="false"/>
    <row r="1046740" customFormat="false" ht="12.75" hidden="false" customHeight="true" outlineLevel="0" collapsed="false"/>
    <row r="1046741" customFormat="false" ht="12.75" hidden="false" customHeight="true" outlineLevel="0" collapsed="false"/>
    <row r="1046742" customFormat="false" ht="12.75" hidden="false" customHeight="true" outlineLevel="0" collapsed="false"/>
    <row r="1046743" customFormat="false" ht="12.75" hidden="false" customHeight="true" outlineLevel="0" collapsed="false"/>
    <row r="1046744" customFormat="false" ht="12.75" hidden="false" customHeight="true" outlineLevel="0" collapsed="false"/>
    <row r="1046745" customFormat="false" ht="12.75" hidden="false" customHeight="true" outlineLevel="0" collapsed="false"/>
    <row r="1046746" customFormat="false" ht="12.75" hidden="false" customHeight="true" outlineLevel="0" collapsed="false"/>
    <row r="1046747" customFormat="false" ht="12.75" hidden="false" customHeight="true" outlineLevel="0" collapsed="false"/>
    <row r="1046748" customFormat="false" ht="12.75" hidden="false" customHeight="true" outlineLevel="0" collapsed="false"/>
    <row r="1046749" customFormat="false" ht="12.75" hidden="false" customHeight="true" outlineLevel="0" collapsed="false"/>
    <row r="1046750" customFormat="false" ht="12.75" hidden="false" customHeight="true" outlineLevel="0" collapsed="false"/>
    <row r="1046751" customFormat="false" ht="12.75" hidden="false" customHeight="true" outlineLevel="0" collapsed="false"/>
    <row r="1046752" customFormat="false" ht="12.75" hidden="false" customHeight="true" outlineLevel="0" collapsed="false"/>
    <row r="1046753" customFormat="false" ht="12.75" hidden="false" customHeight="true" outlineLevel="0" collapsed="false"/>
    <row r="1046754" customFormat="false" ht="12.75" hidden="false" customHeight="true" outlineLevel="0" collapsed="false"/>
    <row r="1046755" customFormat="false" ht="12.75" hidden="false" customHeight="true" outlineLevel="0" collapsed="false"/>
    <row r="1046756" customFormat="false" ht="12.75" hidden="false" customHeight="true" outlineLevel="0" collapsed="false"/>
    <row r="1046757" customFormat="false" ht="12.75" hidden="false" customHeight="true" outlineLevel="0" collapsed="false"/>
    <row r="1046758" customFormat="false" ht="12.75" hidden="false" customHeight="true" outlineLevel="0" collapsed="false"/>
    <row r="1046759" customFormat="false" ht="12.75" hidden="false" customHeight="true" outlineLevel="0" collapsed="false"/>
    <row r="1046760" customFormat="false" ht="12.75" hidden="false" customHeight="true" outlineLevel="0" collapsed="false"/>
    <row r="1046761" customFormat="false" ht="12.75" hidden="false" customHeight="true" outlineLevel="0" collapsed="false"/>
    <row r="1046762" customFormat="false" ht="12.75" hidden="false" customHeight="true" outlineLevel="0" collapsed="false"/>
    <row r="1046763" customFormat="false" ht="12.75" hidden="false" customHeight="true" outlineLevel="0" collapsed="false"/>
    <row r="1046764" customFormat="false" ht="12.75" hidden="false" customHeight="true" outlineLevel="0" collapsed="false"/>
    <row r="1046765" customFormat="false" ht="12.75" hidden="false" customHeight="true" outlineLevel="0" collapsed="false"/>
    <row r="1046766" customFormat="false" ht="12.75" hidden="false" customHeight="true" outlineLevel="0" collapsed="false"/>
    <row r="1046767" customFormat="false" ht="12.75" hidden="false" customHeight="true" outlineLevel="0" collapsed="false"/>
    <row r="1046768" customFormat="false" ht="12.75" hidden="false" customHeight="true" outlineLevel="0" collapsed="false"/>
    <row r="1046769" customFormat="false" ht="12.75" hidden="false" customHeight="true" outlineLevel="0" collapsed="false"/>
    <row r="1046770" customFormat="false" ht="12.75" hidden="false" customHeight="true" outlineLevel="0" collapsed="false"/>
    <row r="1046771" customFormat="false" ht="12.75" hidden="false" customHeight="true" outlineLevel="0" collapsed="false"/>
    <row r="1046772" customFormat="false" ht="12.75" hidden="false" customHeight="true" outlineLevel="0" collapsed="false"/>
    <row r="1046773" customFormat="false" ht="12.75" hidden="false" customHeight="true" outlineLevel="0" collapsed="false"/>
    <row r="1046774" customFormat="false" ht="12.75" hidden="false" customHeight="true" outlineLevel="0" collapsed="false"/>
    <row r="1046775" customFormat="false" ht="12.75" hidden="false" customHeight="true" outlineLevel="0" collapsed="false"/>
    <row r="1046776" customFormat="false" ht="12.75" hidden="false" customHeight="true" outlineLevel="0" collapsed="false"/>
    <row r="1046777" customFormat="false" ht="12.75" hidden="false" customHeight="true" outlineLevel="0" collapsed="false"/>
    <row r="1046778" customFormat="false" ht="12.75" hidden="false" customHeight="true" outlineLevel="0" collapsed="false"/>
    <row r="1046779" customFormat="false" ht="12.75" hidden="false" customHeight="true" outlineLevel="0" collapsed="false"/>
    <row r="1046780" customFormat="false" ht="12.75" hidden="false" customHeight="true" outlineLevel="0" collapsed="false"/>
    <row r="1046781" customFormat="false" ht="12.75" hidden="false" customHeight="true" outlineLevel="0" collapsed="false"/>
    <row r="1046782" customFormat="false" ht="12.75" hidden="false" customHeight="true" outlineLevel="0" collapsed="false"/>
    <row r="1046783" customFormat="false" ht="12.75" hidden="false" customHeight="true" outlineLevel="0" collapsed="false"/>
    <row r="1046784" customFormat="false" ht="12.75" hidden="false" customHeight="true" outlineLevel="0" collapsed="false"/>
    <row r="1046785" customFormat="false" ht="12.75" hidden="false" customHeight="true" outlineLevel="0" collapsed="false"/>
    <row r="1046786" customFormat="false" ht="12.75" hidden="false" customHeight="true" outlineLevel="0" collapsed="false"/>
    <row r="1046787" customFormat="false" ht="12.75" hidden="false" customHeight="true" outlineLevel="0" collapsed="false"/>
    <row r="1046788" customFormat="false" ht="12.75" hidden="false" customHeight="true" outlineLevel="0" collapsed="false"/>
    <row r="1046789" customFormat="false" ht="12.75" hidden="false" customHeight="true" outlineLevel="0" collapsed="false"/>
    <row r="1046790" customFormat="false" ht="12.75" hidden="false" customHeight="true" outlineLevel="0" collapsed="false"/>
    <row r="1046791" customFormat="false" ht="12.75" hidden="false" customHeight="true" outlineLevel="0" collapsed="false"/>
    <row r="1046792" customFormat="false" ht="12.75" hidden="false" customHeight="true" outlineLevel="0" collapsed="false"/>
    <row r="1046793" customFormat="false" ht="12.75" hidden="false" customHeight="true" outlineLevel="0" collapsed="false"/>
    <row r="1046794" customFormat="false" ht="12.75" hidden="false" customHeight="true" outlineLevel="0" collapsed="false"/>
    <row r="1046795" customFormat="false" ht="12.75" hidden="false" customHeight="true" outlineLevel="0" collapsed="false"/>
    <row r="1046796" customFormat="false" ht="12.75" hidden="false" customHeight="true" outlineLevel="0" collapsed="false"/>
    <row r="1046797" customFormat="false" ht="12.75" hidden="false" customHeight="true" outlineLevel="0" collapsed="false"/>
    <row r="1046798" customFormat="false" ht="12.75" hidden="false" customHeight="true" outlineLevel="0" collapsed="false"/>
    <row r="1046799" customFormat="false" ht="12.75" hidden="false" customHeight="true" outlineLevel="0" collapsed="false"/>
    <row r="1046800" customFormat="false" ht="12.75" hidden="false" customHeight="true" outlineLevel="0" collapsed="false"/>
    <row r="1046801" customFormat="false" ht="12.75" hidden="false" customHeight="true" outlineLevel="0" collapsed="false"/>
    <row r="1046802" customFormat="false" ht="12.75" hidden="false" customHeight="true" outlineLevel="0" collapsed="false"/>
    <row r="1046803" customFormat="false" ht="12.75" hidden="false" customHeight="true" outlineLevel="0" collapsed="false"/>
    <row r="1046804" customFormat="false" ht="12.75" hidden="false" customHeight="true" outlineLevel="0" collapsed="false"/>
    <row r="1046805" customFormat="false" ht="12.75" hidden="false" customHeight="true" outlineLevel="0" collapsed="false"/>
    <row r="1046806" customFormat="false" ht="12.75" hidden="false" customHeight="true" outlineLevel="0" collapsed="false"/>
    <row r="1046807" customFormat="false" ht="12.75" hidden="false" customHeight="true" outlineLevel="0" collapsed="false"/>
    <row r="1046808" customFormat="false" ht="12.75" hidden="false" customHeight="true" outlineLevel="0" collapsed="false"/>
    <row r="1046809" customFormat="false" ht="12.75" hidden="false" customHeight="true" outlineLevel="0" collapsed="false"/>
    <row r="1046810" customFormat="false" ht="12.75" hidden="false" customHeight="true" outlineLevel="0" collapsed="false"/>
    <row r="1046811" customFormat="false" ht="12.75" hidden="false" customHeight="true" outlineLevel="0" collapsed="false"/>
    <row r="1046812" customFormat="false" ht="12.75" hidden="false" customHeight="true" outlineLevel="0" collapsed="false"/>
    <row r="1046813" customFormat="false" ht="12.75" hidden="false" customHeight="true" outlineLevel="0" collapsed="false"/>
    <row r="1046814" customFormat="false" ht="12.75" hidden="false" customHeight="true" outlineLevel="0" collapsed="false"/>
    <row r="1046815" customFormat="false" ht="12.75" hidden="false" customHeight="true" outlineLevel="0" collapsed="false"/>
    <row r="1046816" customFormat="false" ht="12.75" hidden="false" customHeight="true" outlineLevel="0" collapsed="false"/>
    <row r="1046817" customFormat="false" ht="12.75" hidden="false" customHeight="true" outlineLevel="0" collapsed="false"/>
    <row r="1046818" customFormat="false" ht="12.75" hidden="false" customHeight="true" outlineLevel="0" collapsed="false"/>
    <row r="1046819" customFormat="false" ht="12.75" hidden="false" customHeight="true" outlineLevel="0" collapsed="false"/>
    <row r="1046820" customFormat="false" ht="12.75" hidden="false" customHeight="true" outlineLevel="0" collapsed="false"/>
    <row r="1046821" customFormat="false" ht="12.75" hidden="false" customHeight="true" outlineLevel="0" collapsed="false"/>
    <row r="1046822" customFormat="false" ht="12.75" hidden="false" customHeight="true" outlineLevel="0" collapsed="false"/>
    <row r="1046823" customFormat="false" ht="12.75" hidden="false" customHeight="true" outlineLevel="0" collapsed="false"/>
    <row r="1046824" customFormat="false" ht="12.75" hidden="false" customHeight="true" outlineLevel="0" collapsed="false"/>
    <row r="1046825" customFormat="false" ht="12.75" hidden="false" customHeight="true" outlineLevel="0" collapsed="false"/>
    <row r="1046826" customFormat="false" ht="12.75" hidden="false" customHeight="true" outlineLevel="0" collapsed="false"/>
    <row r="1046827" customFormat="false" ht="12.75" hidden="false" customHeight="true" outlineLevel="0" collapsed="false"/>
    <row r="1046828" customFormat="false" ht="12.75" hidden="false" customHeight="true" outlineLevel="0" collapsed="false"/>
    <row r="1046829" customFormat="false" ht="12.75" hidden="false" customHeight="true" outlineLevel="0" collapsed="false"/>
    <row r="1046830" customFormat="false" ht="12.75" hidden="false" customHeight="true" outlineLevel="0" collapsed="false"/>
    <row r="1046831" customFormat="false" ht="12.75" hidden="false" customHeight="true" outlineLevel="0" collapsed="false"/>
    <row r="1046832" customFormat="false" ht="12.75" hidden="false" customHeight="true" outlineLevel="0" collapsed="false"/>
    <row r="1046833" customFormat="false" ht="12.75" hidden="false" customHeight="true" outlineLevel="0" collapsed="false"/>
    <row r="1046834" customFormat="false" ht="12.75" hidden="false" customHeight="true" outlineLevel="0" collapsed="false"/>
    <row r="1046835" customFormat="false" ht="12.75" hidden="false" customHeight="true" outlineLevel="0" collapsed="false"/>
    <row r="1046836" customFormat="false" ht="12.75" hidden="false" customHeight="true" outlineLevel="0" collapsed="false"/>
    <row r="1046837" customFormat="false" ht="12.75" hidden="false" customHeight="true" outlineLevel="0" collapsed="false"/>
    <row r="1046838" customFormat="false" ht="12.75" hidden="false" customHeight="true" outlineLevel="0" collapsed="false"/>
    <row r="1046839" customFormat="false" ht="12.75" hidden="false" customHeight="true" outlineLevel="0" collapsed="false"/>
    <row r="1046840" customFormat="false" ht="12.75" hidden="false" customHeight="true" outlineLevel="0" collapsed="false"/>
    <row r="1046841" customFormat="false" ht="12.75" hidden="false" customHeight="true" outlineLevel="0" collapsed="false"/>
    <row r="1046842" customFormat="false" ht="12.75" hidden="false" customHeight="true" outlineLevel="0" collapsed="false"/>
    <row r="1046843" customFormat="false" ht="12.75" hidden="false" customHeight="true" outlineLevel="0" collapsed="false"/>
    <row r="1046844" customFormat="false" ht="12.75" hidden="false" customHeight="true" outlineLevel="0" collapsed="false"/>
    <row r="1046845" customFormat="false" ht="12.75" hidden="false" customHeight="true" outlineLevel="0" collapsed="false"/>
    <row r="1046846" customFormat="false" ht="12.75" hidden="false" customHeight="true" outlineLevel="0" collapsed="false"/>
    <row r="1046847" customFormat="false" ht="12.75" hidden="false" customHeight="true" outlineLevel="0" collapsed="false"/>
    <row r="1046848" customFormat="false" ht="12.75" hidden="false" customHeight="true" outlineLevel="0" collapsed="false"/>
    <row r="1046849" customFormat="false" ht="12.75" hidden="false" customHeight="true" outlineLevel="0" collapsed="false"/>
    <row r="1046850" customFormat="false" ht="12.75" hidden="false" customHeight="true" outlineLevel="0" collapsed="false"/>
    <row r="1046851" customFormat="false" ht="12.75" hidden="false" customHeight="true" outlineLevel="0" collapsed="false"/>
    <row r="1046852" customFormat="false" ht="12.75" hidden="false" customHeight="true" outlineLevel="0" collapsed="false"/>
    <row r="1046853" customFormat="false" ht="12.75" hidden="false" customHeight="true" outlineLevel="0" collapsed="false"/>
    <row r="1046854" customFormat="false" ht="12.75" hidden="false" customHeight="true" outlineLevel="0" collapsed="false"/>
    <row r="1046855" customFormat="false" ht="12.75" hidden="false" customHeight="true" outlineLevel="0" collapsed="false"/>
    <row r="1046856" customFormat="false" ht="12.75" hidden="false" customHeight="true" outlineLevel="0" collapsed="false"/>
    <row r="1046857" customFormat="false" ht="12.75" hidden="false" customHeight="true" outlineLevel="0" collapsed="false"/>
    <row r="1046858" customFormat="false" ht="12.75" hidden="false" customHeight="true" outlineLevel="0" collapsed="false"/>
    <row r="1046859" customFormat="false" ht="12.75" hidden="false" customHeight="true" outlineLevel="0" collapsed="false"/>
    <row r="1046860" customFormat="false" ht="12.75" hidden="false" customHeight="true" outlineLevel="0" collapsed="false"/>
    <row r="1046861" customFormat="false" ht="12.75" hidden="false" customHeight="true" outlineLevel="0" collapsed="false"/>
    <row r="1046862" customFormat="false" ht="12.75" hidden="false" customHeight="true" outlineLevel="0" collapsed="false"/>
    <row r="1046863" customFormat="false" ht="12.75" hidden="false" customHeight="true" outlineLevel="0" collapsed="false"/>
    <row r="1046864" customFormat="false" ht="12.75" hidden="false" customHeight="true" outlineLevel="0" collapsed="false"/>
    <row r="1046865" customFormat="false" ht="12.75" hidden="false" customHeight="true" outlineLevel="0" collapsed="false"/>
    <row r="1046866" customFormat="false" ht="12.75" hidden="false" customHeight="true" outlineLevel="0" collapsed="false"/>
    <row r="1046867" customFormat="false" ht="12.75" hidden="false" customHeight="true" outlineLevel="0" collapsed="false"/>
    <row r="1046868" customFormat="false" ht="12.75" hidden="false" customHeight="true" outlineLevel="0" collapsed="false"/>
    <row r="1046869" customFormat="false" ht="12.75" hidden="false" customHeight="true" outlineLevel="0" collapsed="false"/>
    <row r="1046870" customFormat="false" ht="12.75" hidden="false" customHeight="true" outlineLevel="0" collapsed="false"/>
    <row r="1046871" customFormat="false" ht="12.75" hidden="false" customHeight="true" outlineLevel="0" collapsed="false"/>
    <row r="1046872" customFormat="false" ht="12.75" hidden="false" customHeight="true" outlineLevel="0" collapsed="false"/>
    <row r="1046873" customFormat="false" ht="12.75" hidden="false" customHeight="true" outlineLevel="0" collapsed="false"/>
    <row r="1046874" customFormat="false" ht="12.75" hidden="false" customHeight="true" outlineLevel="0" collapsed="false"/>
    <row r="1046875" customFormat="false" ht="12.75" hidden="false" customHeight="true" outlineLevel="0" collapsed="false"/>
    <row r="1046876" customFormat="false" ht="12.75" hidden="false" customHeight="true" outlineLevel="0" collapsed="false"/>
    <row r="1046877" customFormat="false" ht="12.75" hidden="false" customHeight="true" outlineLevel="0" collapsed="false"/>
    <row r="1046878" customFormat="false" ht="12.75" hidden="false" customHeight="true" outlineLevel="0" collapsed="false"/>
    <row r="1046879" customFormat="false" ht="12.75" hidden="false" customHeight="true" outlineLevel="0" collapsed="false"/>
    <row r="1046880" customFormat="false" ht="12.75" hidden="false" customHeight="true" outlineLevel="0" collapsed="false"/>
    <row r="1046881" customFormat="false" ht="12.75" hidden="false" customHeight="true" outlineLevel="0" collapsed="false"/>
    <row r="1046882" customFormat="false" ht="12.75" hidden="false" customHeight="true" outlineLevel="0" collapsed="false"/>
    <row r="1046883" customFormat="false" ht="12.75" hidden="false" customHeight="true" outlineLevel="0" collapsed="false"/>
    <row r="1046884" customFormat="false" ht="12.75" hidden="false" customHeight="true" outlineLevel="0" collapsed="false"/>
    <row r="1046885" customFormat="false" ht="12.75" hidden="false" customHeight="true" outlineLevel="0" collapsed="false"/>
    <row r="1046886" customFormat="false" ht="12.75" hidden="false" customHeight="true" outlineLevel="0" collapsed="false"/>
    <row r="1046887" customFormat="false" ht="12.75" hidden="false" customHeight="true" outlineLevel="0" collapsed="false"/>
    <row r="1046888" customFormat="false" ht="12.75" hidden="false" customHeight="true" outlineLevel="0" collapsed="false"/>
    <row r="1046889" customFormat="false" ht="12.75" hidden="false" customHeight="true" outlineLevel="0" collapsed="false"/>
    <row r="1046890" customFormat="false" ht="12.75" hidden="false" customHeight="true" outlineLevel="0" collapsed="false"/>
    <row r="1046891" customFormat="false" ht="12.75" hidden="false" customHeight="true" outlineLevel="0" collapsed="false"/>
    <row r="1046892" customFormat="false" ht="12.75" hidden="false" customHeight="true" outlineLevel="0" collapsed="false"/>
    <row r="1046893" customFormat="false" ht="12.75" hidden="false" customHeight="true" outlineLevel="0" collapsed="false"/>
    <row r="1046894" customFormat="false" ht="12.75" hidden="false" customHeight="true" outlineLevel="0" collapsed="false"/>
    <row r="1046895" customFormat="false" ht="12.75" hidden="false" customHeight="true" outlineLevel="0" collapsed="false"/>
    <row r="1046896" customFormat="false" ht="12.75" hidden="false" customHeight="true" outlineLevel="0" collapsed="false"/>
    <row r="1046897" customFormat="false" ht="12.75" hidden="false" customHeight="true" outlineLevel="0" collapsed="false"/>
    <row r="1046898" customFormat="false" ht="12.75" hidden="false" customHeight="true" outlineLevel="0" collapsed="false"/>
    <row r="1046899" customFormat="false" ht="12.75" hidden="false" customHeight="true" outlineLevel="0" collapsed="false"/>
    <row r="1046900" customFormat="false" ht="12.75" hidden="false" customHeight="true" outlineLevel="0" collapsed="false"/>
    <row r="1046901" customFormat="false" ht="12.75" hidden="false" customHeight="true" outlineLevel="0" collapsed="false"/>
    <row r="1046902" customFormat="false" ht="12.75" hidden="false" customHeight="true" outlineLevel="0" collapsed="false"/>
    <row r="1046903" customFormat="false" ht="12.75" hidden="false" customHeight="true" outlineLevel="0" collapsed="false"/>
    <row r="1046904" customFormat="false" ht="12.75" hidden="false" customHeight="true" outlineLevel="0" collapsed="false"/>
    <row r="1046905" customFormat="false" ht="12.75" hidden="false" customHeight="true" outlineLevel="0" collapsed="false"/>
    <row r="1046906" customFormat="false" ht="12.75" hidden="false" customHeight="true" outlineLevel="0" collapsed="false"/>
    <row r="1046907" customFormat="false" ht="12.75" hidden="false" customHeight="true" outlineLevel="0" collapsed="false"/>
    <row r="1046908" customFormat="false" ht="12.75" hidden="false" customHeight="true" outlineLevel="0" collapsed="false"/>
    <row r="1046909" customFormat="false" ht="12.75" hidden="false" customHeight="true" outlineLevel="0" collapsed="false"/>
    <row r="1046910" customFormat="false" ht="12.75" hidden="false" customHeight="true" outlineLevel="0" collapsed="false"/>
    <row r="1046911" customFormat="false" ht="12.75" hidden="false" customHeight="true" outlineLevel="0" collapsed="false"/>
    <row r="1046912" customFormat="false" ht="12.75" hidden="false" customHeight="true" outlineLevel="0" collapsed="false"/>
    <row r="1046913" customFormat="false" ht="12.75" hidden="false" customHeight="true" outlineLevel="0" collapsed="false"/>
    <row r="1046914" customFormat="false" ht="12.75" hidden="false" customHeight="true" outlineLevel="0" collapsed="false"/>
    <row r="1046915" customFormat="false" ht="12.75" hidden="false" customHeight="true" outlineLevel="0" collapsed="false"/>
    <row r="1046916" customFormat="false" ht="12.75" hidden="false" customHeight="true" outlineLevel="0" collapsed="false"/>
    <row r="1046917" customFormat="false" ht="12.75" hidden="false" customHeight="true" outlineLevel="0" collapsed="false"/>
    <row r="1046918" customFormat="false" ht="12.75" hidden="false" customHeight="true" outlineLevel="0" collapsed="false"/>
    <row r="1046919" customFormat="false" ht="12.75" hidden="false" customHeight="true" outlineLevel="0" collapsed="false"/>
    <row r="1046920" customFormat="false" ht="12.75" hidden="false" customHeight="true" outlineLevel="0" collapsed="false"/>
    <row r="1046921" customFormat="false" ht="12.75" hidden="false" customHeight="true" outlineLevel="0" collapsed="false"/>
    <row r="1046922" customFormat="false" ht="12.75" hidden="false" customHeight="true" outlineLevel="0" collapsed="false"/>
    <row r="1046923" customFormat="false" ht="12.75" hidden="false" customHeight="true" outlineLevel="0" collapsed="false"/>
    <row r="1046924" customFormat="false" ht="12.75" hidden="false" customHeight="true" outlineLevel="0" collapsed="false"/>
    <row r="1046925" customFormat="false" ht="12.75" hidden="false" customHeight="true" outlineLevel="0" collapsed="false"/>
    <row r="1046926" customFormat="false" ht="12.75" hidden="false" customHeight="true" outlineLevel="0" collapsed="false"/>
    <row r="1046927" customFormat="false" ht="12.75" hidden="false" customHeight="true" outlineLevel="0" collapsed="false"/>
    <row r="1046928" customFormat="false" ht="12.75" hidden="false" customHeight="true" outlineLevel="0" collapsed="false"/>
    <row r="1046929" customFormat="false" ht="12.75" hidden="false" customHeight="true" outlineLevel="0" collapsed="false"/>
    <row r="1046930" customFormat="false" ht="12.75" hidden="false" customHeight="true" outlineLevel="0" collapsed="false"/>
    <row r="1046931" customFormat="false" ht="12.75" hidden="false" customHeight="true" outlineLevel="0" collapsed="false"/>
    <row r="1046932" customFormat="false" ht="12.75" hidden="false" customHeight="true" outlineLevel="0" collapsed="false"/>
    <row r="1046933" customFormat="false" ht="12.75" hidden="false" customHeight="true" outlineLevel="0" collapsed="false"/>
    <row r="1046934" customFormat="false" ht="12.75" hidden="false" customHeight="true" outlineLevel="0" collapsed="false"/>
    <row r="1046935" customFormat="false" ht="12.75" hidden="false" customHeight="true" outlineLevel="0" collapsed="false"/>
    <row r="1046936" customFormat="false" ht="12.75" hidden="false" customHeight="true" outlineLevel="0" collapsed="false"/>
    <row r="1046937" customFormat="false" ht="12.75" hidden="false" customHeight="true" outlineLevel="0" collapsed="false"/>
    <row r="1046938" customFormat="false" ht="12.75" hidden="false" customHeight="true" outlineLevel="0" collapsed="false"/>
    <row r="1046939" customFormat="false" ht="12.75" hidden="false" customHeight="true" outlineLevel="0" collapsed="false"/>
    <row r="1046940" customFormat="false" ht="12.75" hidden="false" customHeight="true" outlineLevel="0" collapsed="false"/>
    <row r="1046941" customFormat="false" ht="12.75" hidden="false" customHeight="true" outlineLevel="0" collapsed="false"/>
    <row r="1046942" customFormat="false" ht="12.75" hidden="false" customHeight="true" outlineLevel="0" collapsed="false"/>
    <row r="1046943" customFormat="false" ht="12.75" hidden="false" customHeight="true" outlineLevel="0" collapsed="false"/>
    <row r="1046944" customFormat="false" ht="12.75" hidden="false" customHeight="true" outlineLevel="0" collapsed="false"/>
    <row r="1046945" customFormat="false" ht="12.75" hidden="false" customHeight="true" outlineLevel="0" collapsed="false"/>
    <row r="1046946" customFormat="false" ht="12.75" hidden="false" customHeight="true" outlineLevel="0" collapsed="false"/>
    <row r="1046947" customFormat="false" ht="12.75" hidden="false" customHeight="true" outlineLevel="0" collapsed="false"/>
    <row r="1046948" customFormat="false" ht="12.75" hidden="false" customHeight="true" outlineLevel="0" collapsed="false"/>
    <row r="1046949" customFormat="false" ht="12.75" hidden="false" customHeight="true" outlineLevel="0" collapsed="false"/>
    <row r="1046950" customFormat="false" ht="12.75" hidden="false" customHeight="true" outlineLevel="0" collapsed="false"/>
    <row r="1046951" customFormat="false" ht="12.75" hidden="false" customHeight="true" outlineLevel="0" collapsed="false"/>
    <row r="1046952" customFormat="false" ht="12.75" hidden="false" customHeight="true" outlineLevel="0" collapsed="false"/>
    <row r="1046953" customFormat="false" ht="12.75" hidden="false" customHeight="true" outlineLevel="0" collapsed="false"/>
    <row r="1046954" customFormat="false" ht="12.75" hidden="false" customHeight="true" outlineLevel="0" collapsed="false"/>
    <row r="1046955" customFormat="false" ht="12.75" hidden="false" customHeight="true" outlineLevel="0" collapsed="false"/>
    <row r="1046956" customFormat="false" ht="12.75" hidden="false" customHeight="true" outlineLevel="0" collapsed="false"/>
    <row r="1046957" customFormat="false" ht="12.75" hidden="false" customHeight="true" outlineLevel="0" collapsed="false"/>
    <row r="1046958" customFormat="false" ht="12.75" hidden="false" customHeight="true" outlineLevel="0" collapsed="false"/>
    <row r="1046959" customFormat="false" ht="12.75" hidden="false" customHeight="true" outlineLevel="0" collapsed="false"/>
    <row r="1046960" customFormat="false" ht="12.75" hidden="false" customHeight="true" outlineLevel="0" collapsed="false"/>
    <row r="1046961" customFormat="false" ht="12.75" hidden="false" customHeight="true" outlineLevel="0" collapsed="false"/>
    <row r="1046962" customFormat="false" ht="12.75" hidden="false" customHeight="true" outlineLevel="0" collapsed="false"/>
    <row r="1046963" customFormat="false" ht="12.75" hidden="false" customHeight="true" outlineLevel="0" collapsed="false"/>
    <row r="1046964" customFormat="false" ht="12.75" hidden="false" customHeight="true" outlineLevel="0" collapsed="false"/>
    <row r="1046965" customFormat="false" ht="12.75" hidden="false" customHeight="true" outlineLevel="0" collapsed="false"/>
    <row r="1046966" customFormat="false" ht="12.75" hidden="false" customHeight="true" outlineLevel="0" collapsed="false"/>
    <row r="1046967" customFormat="false" ht="12.75" hidden="false" customHeight="true" outlineLevel="0" collapsed="false"/>
    <row r="1046968" customFormat="false" ht="12.75" hidden="false" customHeight="true" outlineLevel="0" collapsed="false"/>
    <row r="1046969" customFormat="false" ht="12.75" hidden="false" customHeight="true" outlineLevel="0" collapsed="false"/>
    <row r="1046970" customFormat="false" ht="12.75" hidden="false" customHeight="true" outlineLevel="0" collapsed="false"/>
    <row r="1046971" customFormat="false" ht="12.75" hidden="false" customHeight="true" outlineLevel="0" collapsed="false"/>
    <row r="1046972" customFormat="false" ht="12.75" hidden="false" customHeight="true" outlineLevel="0" collapsed="false"/>
    <row r="1046973" customFormat="false" ht="12.75" hidden="false" customHeight="true" outlineLevel="0" collapsed="false"/>
    <row r="1046974" customFormat="false" ht="12.75" hidden="false" customHeight="true" outlineLevel="0" collapsed="false"/>
    <row r="1046975" customFormat="false" ht="12.75" hidden="false" customHeight="true" outlineLevel="0" collapsed="false"/>
    <row r="1046976" customFormat="false" ht="12.75" hidden="false" customHeight="true" outlineLevel="0" collapsed="false"/>
    <row r="1046977" customFormat="false" ht="12.75" hidden="false" customHeight="true" outlineLevel="0" collapsed="false"/>
    <row r="1046978" customFormat="false" ht="12.75" hidden="false" customHeight="true" outlineLevel="0" collapsed="false"/>
    <row r="1046979" customFormat="false" ht="12.75" hidden="false" customHeight="true" outlineLevel="0" collapsed="false"/>
    <row r="1046980" customFormat="false" ht="12.75" hidden="false" customHeight="true" outlineLevel="0" collapsed="false"/>
    <row r="1046981" customFormat="false" ht="12.75" hidden="false" customHeight="true" outlineLevel="0" collapsed="false"/>
    <row r="1046982" customFormat="false" ht="12.75" hidden="false" customHeight="true" outlineLevel="0" collapsed="false"/>
    <row r="1046983" customFormat="false" ht="12.75" hidden="false" customHeight="true" outlineLevel="0" collapsed="false"/>
    <row r="1046984" customFormat="false" ht="12.75" hidden="false" customHeight="true" outlineLevel="0" collapsed="false"/>
    <row r="1046985" customFormat="false" ht="12.75" hidden="false" customHeight="true" outlineLevel="0" collapsed="false"/>
    <row r="1046986" customFormat="false" ht="12.75" hidden="false" customHeight="true" outlineLevel="0" collapsed="false"/>
    <row r="1046987" customFormat="false" ht="12.75" hidden="false" customHeight="true" outlineLevel="0" collapsed="false"/>
    <row r="1046988" customFormat="false" ht="12.75" hidden="false" customHeight="true" outlineLevel="0" collapsed="false"/>
    <row r="1046989" customFormat="false" ht="12.75" hidden="false" customHeight="true" outlineLevel="0" collapsed="false"/>
    <row r="1046990" customFormat="false" ht="12.75" hidden="false" customHeight="true" outlineLevel="0" collapsed="false"/>
    <row r="1046991" customFormat="false" ht="12.75" hidden="false" customHeight="true" outlineLevel="0" collapsed="false"/>
    <row r="1046992" customFormat="false" ht="12.75" hidden="false" customHeight="true" outlineLevel="0" collapsed="false"/>
    <row r="1046993" customFormat="false" ht="12.75" hidden="false" customHeight="true" outlineLevel="0" collapsed="false"/>
    <row r="1046994" customFormat="false" ht="12.75" hidden="false" customHeight="true" outlineLevel="0" collapsed="false"/>
    <row r="1046995" customFormat="false" ht="12.75" hidden="false" customHeight="true" outlineLevel="0" collapsed="false"/>
    <row r="1046996" customFormat="false" ht="12.75" hidden="false" customHeight="true" outlineLevel="0" collapsed="false"/>
    <row r="1046997" customFormat="false" ht="12.75" hidden="false" customHeight="true" outlineLevel="0" collapsed="false"/>
    <row r="1046998" customFormat="false" ht="12.75" hidden="false" customHeight="true" outlineLevel="0" collapsed="false"/>
    <row r="1046999" customFormat="false" ht="12.75" hidden="false" customHeight="true" outlineLevel="0" collapsed="false"/>
    <row r="1047000" customFormat="false" ht="12.75" hidden="false" customHeight="true" outlineLevel="0" collapsed="false"/>
    <row r="1047001" customFormat="false" ht="12.75" hidden="false" customHeight="true" outlineLevel="0" collapsed="false"/>
    <row r="1047002" customFormat="false" ht="12.75" hidden="false" customHeight="true" outlineLevel="0" collapsed="false"/>
    <row r="1047003" customFormat="false" ht="12.75" hidden="false" customHeight="true" outlineLevel="0" collapsed="false"/>
    <row r="1047004" customFormat="false" ht="12.75" hidden="false" customHeight="true" outlineLevel="0" collapsed="false"/>
    <row r="1047005" customFormat="false" ht="12.75" hidden="false" customHeight="true" outlineLevel="0" collapsed="false"/>
    <row r="1047006" customFormat="false" ht="12.75" hidden="false" customHeight="true" outlineLevel="0" collapsed="false"/>
    <row r="1047007" customFormat="false" ht="12.75" hidden="false" customHeight="true" outlineLevel="0" collapsed="false"/>
    <row r="1047008" customFormat="false" ht="12.75" hidden="false" customHeight="true" outlineLevel="0" collapsed="false"/>
    <row r="1047009" customFormat="false" ht="12.75" hidden="false" customHeight="true" outlineLevel="0" collapsed="false"/>
    <row r="1047010" customFormat="false" ht="12.75" hidden="false" customHeight="true" outlineLevel="0" collapsed="false"/>
    <row r="1047011" customFormat="false" ht="12.75" hidden="false" customHeight="true" outlineLevel="0" collapsed="false"/>
    <row r="1047012" customFormat="false" ht="12.75" hidden="false" customHeight="true" outlineLevel="0" collapsed="false"/>
    <row r="1047013" customFormat="false" ht="12.75" hidden="false" customHeight="true" outlineLevel="0" collapsed="false"/>
    <row r="1047014" customFormat="false" ht="12.75" hidden="false" customHeight="true" outlineLevel="0" collapsed="false"/>
    <row r="1047015" customFormat="false" ht="12.75" hidden="false" customHeight="true" outlineLevel="0" collapsed="false"/>
    <row r="1047016" customFormat="false" ht="12.75" hidden="false" customHeight="true" outlineLevel="0" collapsed="false"/>
    <row r="1047017" customFormat="false" ht="12.75" hidden="false" customHeight="true" outlineLevel="0" collapsed="false"/>
    <row r="1047018" customFormat="false" ht="12.75" hidden="false" customHeight="true" outlineLevel="0" collapsed="false"/>
    <row r="1047019" customFormat="false" ht="12.75" hidden="false" customHeight="true" outlineLevel="0" collapsed="false"/>
    <row r="1047020" customFormat="false" ht="12.75" hidden="false" customHeight="true" outlineLevel="0" collapsed="false"/>
    <row r="1047021" customFormat="false" ht="12.75" hidden="false" customHeight="true" outlineLevel="0" collapsed="false"/>
    <row r="1047022" customFormat="false" ht="12.75" hidden="false" customHeight="true" outlineLevel="0" collapsed="false"/>
    <row r="1047023" customFormat="false" ht="12.75" hidden="false" customHeight="true" outlineLevel="0" collapsed="false"/>
    <row r="1047024" customFormat="false" ht="12.75" hidden="false" customHeight="true" outlineLevel="0" collapsed="false"/>
    <row r="1047025" customFormat="false" ht="12.75" hidden="false" customHeight="true" outlineLevel="0" collapsed="false"/>
    <row r="1047026" customFormat="false" ht="12.75" hidden="false" customHeight="true" outlineLevel="0" collapsed="false"/>
    <row r="1047027" customFormat="false" ht="12.75" hidden="false" customHeight="true" outlineLevel="0" collapsed="false"/>
    <row r="1047028" customFormat="false" ht="12.75" hidden="false" customHeight="true" outlineLevel="0" collapsed="false"/>
    <row r="1047029" customFormat="false" ht="12.75" hidden="false" customHeight="true" outlineLevel="0" collapsed="false"/>
    <row r="1047030" customFormat="false" ht="12.75" hidden="false" customHeight="true" outlineLevel="0" collapsed="false"/>
    <row r="1047031" customFormat="false" ht="12.75" hidden="false" customHeight="true" outlineLevel="0" collapsed="false"/>
    <row r="1047032" customFormat="false" ht="12.75" hidden="false" customHeight="true" outlineLevel="0" collapsed="false"/>
    <row r="1047033" customFormat="false" ht="12.75" hidden="false" customHeight="true" outlineLevel="0" collapsed="false"/>
    <row r="1047034" customFormat="false" ht="12.75" hidden="false" customHeight="true" outlineLevel="0" collapsed="false"/>
    <row r="1047035" customFormat="false" ht="12.75" hidden="false" customHeight="true" outlineLevel="0" collapsed="false"/>
    <row r="1047036" customFormat="false" ht="12.75" hidden="false" customHeight="true" outlineLevel="0" collapsed="false"/>
    <row r="1047037" customFormat="false" ht="12.75" hidden="false" customHeight="true" outlineLevel="0" collapsed="false"/>
    <row r="1047038" customFormat="false" ht="12.75" hidden="false" customHeight="true" outlineLevel="0" collapsed="false"/>
    <row r="1047039" customFormat="false" ht="12.75" hidden="false" customHeight="true" outlineLevel="0" collapsed="false"/>
    <row r="1047040" customFormat="false" ht="12.75" hidden="false" customHeight="true" outlineLevel="0" collapsed="false"/>
    <row r="1047041" customFormat="false" ht="12.75" hidden="false" customHeight="true" outlineLevel="0" collapsed="false"/>
    <row r="1047042" customFormat="false" ht="12.75" hidden="false" customHeight="true" outlineLevel="0" collapsed="false"/>
    <row r="1047043" customFormat="false" ht="12.75" hidden="false" customHeight="true" outlineLevel="0" collapsed="false"/>
    <row r="1047044" customFormat="false" ht="12.75" hidden="false" customHeight="true" outlineLevel="0" collapsed="false"/>
    <row r="1047045" customFormat="false" ht="12.75" hidden="false" customHeight="true" outlineLevel="0" collapsed="false"/>
    <row r="1047046" customFormat="false" ht="12.75" hidden="false" customHeight="true" outlineLevel="0" collapsed="false"/>
    <row r="1047047" customFormat="false" ht="12.75" hidden="false" customHeight="true" outlineLevel="0" collapsed="false"/>
    <row r="1047048" customFormat="false" ht="12.75" hidden="false" customHeight="true" outlineLevel="0" collapsed="false"/>
    <row r="1047049" customFormat="false" ht="12.75" hidden="false" customHeight="true" outlineLevel="0" collapsed="false"/>
    <row r="1047050" customFormat="false" ht="12.75" hidden="false" customHeight="true" outlineLevel="0" collapsed="false"/>
    <row r="1047051" customFormat="false" ht="12.75" hidden="false" customHeight="true" outlineLevel="0" collapsed="false"/>
    <row r="1047052" customFormat="false" ht="12.75" hidden="false" customHeight="true" outlineLevel="0" collapsed="false"/>
    <row r="1047053" customFormat="false" ht="12.75" hidden="false" customHeight="true" outlineLevel="0" collapsed="false"/>
    <row r="1047054" customFormat="false" ht="12.75" hidden="false" customHeight="true" outlineLevel="0" collapsed="false"/>
    <row r="1047055" customFormat="false" ht="12.75" hidden="false" customHeight="true" outlineLevel="0" collapsed="false"/>
    <row r="1047056" customFormat="false" ht="12.75" hidden="false" customHeight="true" outlineLevel="0" collapsed="false"/>
    <row r="1047057" customFormat="false" ht="12.75" hidden="false" customHeight="true" outlineLevel="0" collapsed="false"/>
    <row r="1047058" customFormat="false" ht="12.75" hidden="false" customHeight="true" outlineLevel="0" collapsed="false"/>
    <row r="1047059" customFormat="false" ht="12.75" hidden="false" customHeight="true" outlineLevel="0" collapsed="false"/>
    <row r="1047060" customFormat="false" ht="12.75" hidden="false" customHeight="true" outlineLevel="0" collapsed="false"/>
    <row r="1047061" customFormat="false" ht="12.75" hidden="false" customHeight="true" outlineLevel="0" collapsed="false"/>
    <row r="1047062" customFormat="false" ht="12.75" hidden="false" customHeight="true" outlineLevel="0" collapsed="false"/>
    <row r="1047063" customFormat="false" ht="12.75" hidden="false" customHeight="true" outlineLevel="0" collapsed="false"/>
    <row r="1047064" customFormat="false" ht="12.75" hidden="false" customHeight="true" outlineLevel="0" collapsed="false"/>
    <row r="1047065" customFormat="false" ht="12.75" hidden="false" customHeight="true" outlineLevel="0" collapsed="false"/>
    <row r="1047066" customFormat="false" ht="12.75" hidden="false" customHeight="true" outlineLevel="0" collapsed="false"/>
    <row r="1047067" customFormat="false" ht="12.75" hidden="false" customHeight="true" outlineLevel="0" collapsed="false"/>
    <row r="1047068" customFormat="false" ht="12.75" hidden="false" customHeight="true" outlineLevel="0" collapsed="false"/>
    <row r="1047069" customFormat="false" ht="12.75" hidden="false" customHeight="true" outlineLevel="0" collapsed="false"/>
    <row r="1047070" customFormat="false" ht="12.75" hidden="false" customHeight="true" outlineLevel="0" collapsed="false"/>
    <row r="1047071" customFormat="false" ht="12.75" hidden="false" customHeight="true" outlineLevel="0" collapsed="false"/>
    <row r="1047072" customFormat="false" ht="12.75" hidden="false" customHeight="true" outlineLevel="0" collapsed="false"/>
    <row r="1047073" customFormat="false" ht="12.75" hidden="false" customHeight="true" outlineLevel="0" collapsed="false"/>
    <row r="1047074" customFormat="false" ht="12.75" hidden="false" customHeight="true" outlineLevel="0" collapsed="false"/>
    <row r="1047075" customFormat="false" ht="12.75" hidden="false" customHeight="true" outlineLevel="0" collapsed="false"/>
    <row r="1047076" customFormat="false" ht="12.75" hidden="false" customHeight="true" outlineLevel="0" collapsed="false"/>
    <row r="1047077" customFormat="false" ht="12.75" hidden="false" customHeight="true" outlineLevel="0" collapsed="false"/>
    <row r="1047078" customFormat="false" ht="12.75" hidden="false" customHeight="true" outlineLevel="0" collapsed="false"/>
    <row r="1047079" customFormat="false" ht="12.75" hidden="false" customHeight="true" outlineLevel="0" collapsed="false"/>
    <row r="1047080" customFormat="false" ht="12.75" hidden="false" customHeight="true" outlineLevel="0" collapsed="false"/>
    <row r="1047081" customFormat="false" ht="12.75" hidden="false" customHeight="true" outlineLevel="0" collapsed="false"/>
    <row r="1047082" customFormat="false" ht="12.75" hidden="false" customHeight="true" outlineLevel="0" collapsed="false"/>
    <row r="1047083" customFormat="false" ht="12.75" hidden="false" customHeight="true" outlineLevel="0" collapsed="false"/>
    <row r="1047084" customFormat="false" ht="12.75" hidden="false" customHeight="true" outlineLevel="0" collapsed="false"/>
    <row r="1047085" customFormat="false" ht="12.75" hidden="false" customHeight="true" outlineLevel="0" collapsed="false"/>
    <row r="1047086" customFormat="false" ht="12.75" hidden="false" customHeight="true" outlineLevel="0" collapsed="false"/>
    <row r="1047087" customFormat="false" ht="12.75" hidden="false" customHeight="true" outlineLevel="0" collapsed="false"/>
    <row r="1047088" customFormat="false" ht="12.75" hidden="false" customHeight="true" outlineLevel="0" collapsed="false"/>
    <row r="1047089" customFormat="false" ht="12.75" hidden="false" customHeight="true" outlineLevel="0" collapsed="false"/>
    <row r="1047090" customFormat="false" ht="12.75" hidden="false" customHeight="true" outlineLevel="0" collapsed="false"/>
    <row r="1047091" customFormat="false" ht="12.75" hidden="false" customHeight="true" outlineLevel="0" collapsed="false"/>
    <row r="1047092" customFormat="false" ht="12.75" hidden="false" customHeight="true" outlineLevel="0" collapsed="false"/>
    <row r="1047093" customFormat="false" ht="12.75" hidden="false" customHeight="true" outlineLevel="0" collapsed="false"/>
    <row r="1047094" customFormat="false" ht="12.75" hidden="false" customHeight="true" outlineLevel="0" collapsed="false"/>
    <row r="1047095" customFormat="false" ht="12.75" hidden="false" customHeight="true" outlineLevel="0" collapsed="false"/>
    <row r="1047096" customFormat="false" ht="12.75" hidden="false" customHeight="true" outlineLevel="0" collapsed="false"/>
    <row r="1047097" customFormat="false" ht="12.75" hidden="false" customHeight="true" outlineLevel="0" collapsed="false"/>
    <row r="1047098" customFormat="false" ht="12.75" hidden="false" customHeight="true" outlineLevel="0" collapsed="false"/>
    <row r="1047099" customFormat="false" ht="12.75" hidden="false" customHeight="true" outlineLevel="0" collapsed="false"/>
    <row r="1047100" customFormat="false" ht="12.75" hidden="false" customHeight="true" outlineLevel="0" collapsed="false"/>
    <row r="1047101" customFormat="false" ht="12.75" hidden="false" customHeight="true" outlineLevel="0" collapsed="false"/>
    <row r="1047102" customFormat="false" ht="12.75" hidden="false" customHeight="true" outlineLevel="0" collapsed="false"/>
    <row r="1047103" customFormat="false" ht="12.75" hidden="false" customHeight="true" outlineLevel="0" collapsed="false"/>
    <row r="1047104" customFormat="false" ht="12.75" hidden="false" customHeight="true" outlineLevel="0" collapsed="false"/>
    <row r="1047105" customFormat="false" ht="12.75" hidden="false" customHeight="true" outlineLevel="0" collapsed="false"/>
    <row r="1047106" customFormat="false" ht="12.75" hidden="false" customHeight="true" outlineLevel="0" collapsed="false"/>
    <row r="1047107" customFormat="false" ht="12.75" hidden="false" customHeight="true" outlineLevel="0" collapsed="false"/>
    <row r="1047108" customFormat="false" ht="12.75" hidden="false" customHeight="true" outlineLevel="0" collapsed="false"/>
    <row r="1047109" customFormat="false" ht="12.75" hidden="false" customHeight="true" outlineLevel="0" collapsed="false"/>
    <row r="1047110" customFormat="false" ht="12.75" hidden="false" customHeight="true" outlineLevel="0" collapsed="false"/>
    <row r="1047111" customFormat="false" ht="12.75" hidden="false" customHeight="true" outlineLevel="0" collapsed="false"/>
    <row r="1047112" customFormat="false" ht="12.75" hidden="false" customHeight="true" outlineLevel="0" collapsed="false"/>
    <row r="1047113" customFormat="false" ht="12.75" hidden="false" customHeight="true" outlineLevel="0" collapsed="false"/>
    <row r="1047114" customFormat="false" ht="12.75" hidden="false" customHeight="true" outlineLevel="0" collapsed="false"/>
    <row r="1047115" customFormat="false" ht="12.75" hidden="false" customHeight="true" outlineLevel="0" collapsed="false"/>
    <row r="1047116" customFormat="false" ht="12.75" hidden="false" customHeight="true" outlineLevel="0" collapsed="false"/>
    <row r="1047117" customFormat="false" ht="12.75" hidden="false" customHeight="true" outlineLevel="0" collapsed="false"/>
    <row r="1047118" customFormat="false" ht="12.75" hidden="false" customHeight="true" outlineLevel="0" collapsed="false"/>
    <row r="1047119" customFormat="false" ht="12.75" hidden="false" customHeight="true" outlineLevel="0" collapsed="false"/>
    <row r="1047120" customFormat="false" ht="12.75" hidden="false" customHeight="true" outlineLevel="0" collapsed="false"/>
    <row r="1047121" customFormat="false" ht="12.75" hidden="false" customHeight="true" outlineLevel="0" collapsed="false"/>
    <row r="1047122" customFormat="false" ht="12.75" hidden="false" customHeight="true" outlineLevel="0" collapsed="false"/>
    <row r="1047123" customFormat="false" ht="12.75" hidden="false" customHeight="true" outlineLevel="0" collapsed="false"/>
    <row r="1047124" customFormat="false" ht="12.75" hidden="false" customHeight="true" outlineLevel="0" collapsed="false"/>
    <row r="1047125" customFormat="false" ht="12.75" hidden="false" customHeight="true" outlineLevel="0" collapsed="false"/>
    <row r="1047126" customFormat="false" ht="12.75" hidden="false" customHeight="true" outlineLevel="0" collapsed="false"/>
    <row r="1047127" customFormat="false" ht="12.75" hidden="false" customHeight="true" outlineLevel="0" collapsed="false"/>
    <row r="1047128" customFormat="false" ht="12.75" hidden="false" customHeight="true" outlineLevel="0" collapsed="false"/>
    <row r="1047129" customFormat="false" ht="12.75" hidden="false" customHeight="true" outlineLevel="0" collapsed="false"/>
    <row r="1047130" customFormat="false" ht="12.75" hidden="false" customHeight="true" outlineLevel="0" collapsed="false"/>
    <row r="1047131" customFormat="false" ht="12.75" hidden="false" customHeight="true" outlineLevel="0" collapsed="false"/>
    <row r="1047132" customFormat="false" ht="12.75" hidden="false" customHeight="true" outlineLevel="0" collapsed="false"/>
    <row r="1047133" customFormat="false" ht="12.75" hidden="false" customHeight="true" outlineLevel="0" collapsed="false"/>
    <row r="1047134" customFormat="false" ht="12.75" hidden="false" customHeight="true" outlineLevel="0" collapsed="false"/>
    <row r="1047135" customFormat="false" ht="12.75" hidden="false" customHeight="true" outlineLevel="0" collapsed="false"/>
    <row r="1047136" customFormat="false" ht="12.75" hidden="false" customHeight="true" outlineLevel="0" collapsed="false"/>
    <row r="1047137" customFormat="false" ht="12.75" hidden="false" customHeight="true" outlineLevel="0" collapsed="false"/>
    <row r="1047138" customFormat="false" ht="12.75" hidden="false" customHeight="true" outlineLevel="0" collapsed="false"/>
    <row r="1047139" customFormat="false" ht="12.75" hidden="false" customHeight="true" outlineLevel="0" collapsed="false"/>
    <row r="1047140" customFormat="false" ht="12.75" hidden="false" customHeight="true" outlineLevel="0" collapsed="false"/>
    <row r="1047141" customFormat="false" ht="12.75" hidden="false" customHeight="true" outlineLevel="0" collapsed="false"/>
    <row r="1047142" customFormat="false" ht="12.75" hidden="false" customHeight="true" outlineLevel="0" collapsed="false"/>
    <row r="1047143" customFormat="false" ht="12.75" hidden="false" customHeight="true" outlineLevel="0" collapsed="false"/>
    <row r="1047144" customFormat="false" ht="12.75" hidden="false" customHeight="true" outlineLevel="0" collapsed="false"/>
    <row r="1047145" customFormat="false" ht="12.75" hidden="false" customHeight="true" outlineLevel="0" collapsed="false"/>
    <row r="1047146" customFormat="false" ht="12.75" hidden="false" customHeight="true" outlineLevel="0" collapsed="false"/>
    <row r="1047147" customFormat="false" ht="12.75" hidden="false" customHeight="true" outlineLevel="0" collapsed="false"/>
    <row r="1047148" customFormat="false" ht="12.75" hidden="false" customHeight="true" outlineLevel="0" collapsed="false"/>
    <row r="1047149" customFormat="false" ht="12.75" hidden="false" customHeight="true" outlineLevel="0" collapsed="false"/>
    <row r="1047150" customFormat="false" ht="12.75" hidden="false" customHeight="true" outlineLevel="0" collapsed="false"/>
    <row r="1047151" customFormat="false" ht="12.75" hidden="false" customHeight="true" outlineLevel="0" collapsed="false"/>
    <row r="1047152" customFormat="false" ht="12.75" hidden="false" customHeight="true" outlineLevel="0" collapsed="false"/>
    <row r="1047153" customFormat="false" ht="12.75" hidden="false" customHeight="true" outlineLevel="0" collapsed="false"/>
    <row r="1047154" customFormat="false" ht="12.75" hidden="false" customHeight="true" outlineLevel="0" collapsed="false"/>
    <row r="1047155" customFormat="false" ht="12.75" hidden="false" customHeight="true" outlineLevel="0" collapsed="false"/>
    <row r="1047156" customFormat="false" ht="12.75" hidden="false" customHeight="true" outlineLevel="0" collapsed="false"/>
    <row r="1047157" customFormat="false" ht="12.75" hidden="false" customHeight="true" outlineLevel="0" collapsed="false"/>
    <row r="1047158" customFormat="false" ht="12.75" hidden="false" customHeight="true" outlineLevel="0" collapsed="false"/>
    <row r="1047159" customFormat="false" ht="12.75" hidden="false" customHeight="true" outlineLevel="0" collapsed="false"/>
    <row r="1047160" customFormat="false" ht="12.75" hidden="false" customHeight="true" outlineLevel="0" collapsed="false"/>
    <row r="1047161" customFormat="false" ht="12.75" hidden="false" customHeight="true" outlineLevel="0" collapsed="false"/>
    <row r="1047162" customFormat="false" ht="12.75" hidden="false" customHeight="true" outlineLevel="0" collapsed="false"/>
    <row r="1047163" customFormat="false" ht="12.75" hidden="false" customHeight="true" outlineLevel="0" collapsed="false"/>
    <row r="1047164" customFormat="false" ht="12.75" hidden="false" customHeight="true" outlineLevel="0" collapsed="false"/>
    <row r="1047165" customFormat="false" ht="12.75" hidden="false" customHeight="true" outlineLevel="0" collapsed="false"/>
    <row r="1047166" customFormat="false" ht="12.75" hidden="false" customHeight="true" outlineLevel="0" collapsed="false"/>
    <row r="1047167" customFormat="false" ht="12.75" hidden="false" customHeight="true" outlineLevel="0" collapsed="false"/>
    <row r="1047168" customFormat="false" ht="12.75" hidden="false" customHeight="true" outlineLevel="0" collapsed="false"/>
    <row r="1047169" customFormat="false" ht="12.75" hidden="false" customHeight="true" outlineLevel="0" collapsed="false"/>
    <row r="1047170" customFormat="false" ht="12.75" hidden="false" customHeight="true" outlineLevel="0" collapsed="false"/>
    <row r="1047171" customFormat="false" ht="12.75" hidden="false" customHeight="true" outlineLevel="0" collapsed="false"/>
    <row r="1047172" customFormat="false" ht="12.75" hidden="false" customHeight="true" outlineLevel="0" collapsed="false"/>
    <row r="1047173" customFormat="false" ht="12.75" hidden="false" customHeight="true" outlineLevel="0" collapsed="false"/>
    <row r="1047174" customFormat="false" ht="12.75" hidden="false" customHeight="true" outlineLevel="0" collapsed="false"/>
    <row r="1047175" customFormat="false" ht="12.75" hidden="false" customHeight="true" outlineLevel="0" collapsed="false"/>
    <row r="1047176" customFormat="false" ht="12.75" hidden="false" customHeight="true" outlineLevel="0" collapsed="false"/>
    <row r="1047177" customFormat="false" ht="12.75" hidden="false" customHeight="true" outlineLevel="0" collapsed="false"/>
    <row r="1047178" customFormat="false" ht="12.75" hidden="false" customHeight="true" outlineLevel="0" collapsed="false"/>
    <row r="1047179" customFormat="false" ht="12.75" hidden="false" customHeight="true" outlineLevel="0" collapsed="false"/>
    <row r="1047180" customFormat="false" ht="12.75" hidden="false" customHeight="true" outlineLevel="0" collapsed="false"/>
    <row r="1047181" customFormat="false" ht="12.75" hidden="false" customHeight="true" outlineLevel="0" collapsed="false"/>
    <row r="1047182" customFormat="false" ht="12.75" hidden="false" customHeight="true" outlineLevel="0" collapsed="false"/>
    <row r="1047183" customFormat="false" ht="12.75" hidden="false" customHeight="true" outlineLevel="0" collapsed="false"/>
    <row r="1047184" customFormat="false" ht="12.75" hidden="false" customHeight="true" outlineLevel="0" collapsed="false"/>
    <row r="1047185" customFormat="false" ht="12.75" hidden="false" customHeight="true" outlineLevel="0" collapsed="false"/>
    <row r="1047186" customFormat="false" ht="12.75" hidden="false" customHeight="true" outlineLevel="0" collapsed="false"/>
    <row r="1047187" customFormat="false" ht="12.75" hidden="false" customHeight="true" outlineLevel="0" collapsed="false"/>
    <row r="1047188" customFormat="false" ht="12.75" hidden="false" customHeight="true" outlineLevel="0" collapsed="false"/>
    <row r="1047189" customFormat="false" ht="12.75" hidden="false" customHeight="true" outlineLevel="0" collapsed="false"/>
    <row r="1047190" customFormat="false" ht="12.75" hidden="false" customHeight="true" outlineLevel="0" collapsed="false"/>
    <row r="1047191" customFormat="false" ht="12.75" hidden="false" customHeight="true" outlineLevel="0" collapsed="false"/>
    <row r="1047192" customFormat="false" ht="12.75" hidden="false" customHeight="true" outlineLevel="0" collapsed="false"/>
    <row r="1047193" customFormat="false" ht="12.75" hidden="false" customHeight="true" outlineLevel="0" collapsed="false"/>
    <row r="1047194" customFormat="false" ht="12.75" hidden="false" customHeight="true" outlineLevel="0" collapsed="false"/>
    <row r="1047195" customFormat="false" ht="12.75" hidden="false" customHeight="true" outlineLevel="0" collapsed="false"/>
    <row r="1047196" customFormat="false" ht="12.75" hidden="false" customHeight="true" outlineLevel="0" collapsed="false"/>
    <row r="1047197" customFormat="false" ht="12.75" hidden="false" customHeight="true" outlineLevel="0" collapsed="false"/>
    <row r="1047198" customFormat="false" ht="12.75" hidden="false" customHeight="true" outlineLevel="0" collapsed="false"/>
    <row r="1047199" customFormat="false" ht="12.75" hidden="false" customHeight="true" outlineLevel="0" collapsed="false"/>
    <row r="1047200" customFormat="false" ht="12.75" hidden="false" customHeight="true" outlineLevel="0" collapsed="false"/>
    <row r="1047201" customFormat="false" ht="12.75" hidden="false" customHeight="true" outlineLevel="0" collapsed="false"/>
    <row r="1047202" customFormat="false" ht="12.75" hidden="false" customHeight="true" outlineLevel="0" collapsed="false"/>
    <row r="1047203" customFormat="false" ht="12.75" hidden="false" customHeight="true" outlineLevel="0" collapsed="false"/>
    <row r="1047204" customFormat="false" ht="12.75" hidden="false" customHeight="true" outlineLevel="0" collapsed="false"/>
    <row r="1047205" customFormat="false" ht="12.75" hidden="false" customHeight="true" outlineLevel="0" collapsed="false"/>
    <row r="1047206" customFormat="false" ht="12.75" hidden="false" customHeight="true" outlineLevel="0" collapsed="false"/>
    <row r="1047207" customFormat="false" ht="12.75" hidden="false" customHeight="true" outlineLevel="0" collapsed="false"/>
    <row r="1047208" customFormat="false" ht="12.75" hidden="false" customHeight="true" outlineLevel="0" collapsed="false"/>
    <row r="1047209" customFormat="false" ht="12.75" hidden="false" customHeight="true" outlineLevel="0" collapsed="false"/>
    <row r="1047210" customFormat="false" ht="12.75" hidden="false" customHeight="true" outlineLevel="0" collapsed="false"/>
    <row r="1047211" customFormat="false" ht="12.75" hidden="false" customHeight="true" outlineLevel="0" collapsed="false"/>
    <row r="1047212" customFormat="false" ht="12.75" hidden="false" customHeight="true" outlineLevel="0" collapsed="false"/>
    <row r="1047213" customFormat="false" ht="12.75" hidden="false" customHeight="true" outlineLevel="0" collapsed="false"/>
    <row r="1047214" customFormat="false" ht="12.75" hidden="false" customHeight="true" outlineLevel="0" collapsed="false"/>
    <row r="1047215" customFormat="false" ht="12.75" hidden="false" customHeight="true" outlineLevel="0" collapsed="false"/>
    <row r="1047216" customFormat="false" ht="12.75" hidden="false" customHeight="true" outlineLevel="0" collapsed="false"/>
    <row r="1047217" customFormat="false" ht="12.75" hidden="false" customHeight="true" outlineLevel="0" collapsed="false"/>
    <row r="1047218" customFormat="false" ht="12.75" hidden="false" customHeight="true" outlineLevel="0" collapsed="false"/>
    <row r="1047219" customFormat="false" ht="12.75" hidden="false" customHeight="true" outlineLevel="0" collapsed="false"/>
    <row r="1047220" customFormat="false" ht="12.75" hidden="false" customHeight="true" outlineLevel="0" collapsed="false"/>
    <row r="1047221" customFormat="false" ht="12.75" hidden="false" customHeight="true" outlineLevel="0" collapsed="false"/>
    <row r="1047222" customFormat="false" ht="12.75" hidden="false" customHeight="true" outlineLevel="0" collapsed="false"/>
    <row r="1047223" customFormat="false" ht="12.75" hidden="false" customHeight="true" outlineLevel="0" collapsed="false"/>
    <row r="1047224" customFormat="false" ht="12.75" hidden="false" customHeight="true" outlineLevel="0" collapsed="false"/>
    <row r="1047225" customFormat="false" ht="12.75" hidden="false" customHeight="true" outlineLevel="0" collapsed="false"/>
    <row r="1047226" customFormat="false" ht="12.75" hidden="false" customHeight="true" outlineLevel="0" collapsed="false"/>
    <row r="1047227" customFormat="false" ht="12.75" hidden="false" customHeight="true" outlineLevel="0" collapsed="false"/>
    <row r="1047228" customFormat="false" ht="12.75" hidden="false" customHeight="true" outlineLevel="0" collapsed="false"/>
    <row r="1047229" customFormat="false" ht="12.75" hidden="false" customHeight="true" outlineLevel="0" collapsed="false"/>
    <row r="1047230" customFormat="false" ht="12.75" hidden="false" customHeight="true" outlineLevel="0" collapsed="false"/>
    <row r="1047231" customFormat="false" ht="12.75" hidden="false" customHeight="true" outlineLevel="0" collapsed="false"/>
    <row r="1047232" customFormat="false" ht="12.75" hidden="false" customHeight="true" outlineLevel="0" collapsed="false"/>
    <row r="1047233" customFormat="false" ht="12.75" hidden="false" customHeight="true" outlineLevel="0" collapsed="false"/>
    <row r="1047234" customFormat="false" ht="12.75" hidden="false" customHeight="true" outlineLevel="0" collapsed="false"/>
    <row r="1047235" customFormat="false" ht="12.75" hidden="false" customHeight="true" outlineLevel="0" collapsed="false"/>
    <row r="1047236" customFormat="false" ht="12.75" hidden="false" customHeight="true" outlineLevel="0" collapsed="false"/>
    <row r="1047237" customFormat="false" ht="12.75" hidden="false" customHeight="true" outlineLevel="0" collapsed="false"/>
    <row r="1047238" customFormat="false" ht="12.75" hidden="false" customHeight="true" outlineLevel="0" collapsed="false"/>
    <row r="1047239" customFormat="false" ht="12.75" hidden="false" customHeight="true" outlineLevel="0" collapsed="false"/>
    <row r="1047240" customFormat="false" ht="12.75" hidden="false" customHeight="true" outlineLevel="0" collapsed="false"/>
    <row r="1047241" customFormat="false" ht="12.75" hidden="false" customHeight="true" outlineLevel="0" collapsed="false"/>
    <row r="1047242" customFormat="false" ht="12.75" hidden="false" customHeight="true" outlineLevel="0" collapsed="false"/>
    <row r="1047243" customFormat="false" ht="12.75" hidden="false" customHeight="true" outlineLevel="0" collapsed="false"/>
    <row r="1047244" customFormat="false" ht="12.75" hidden="false" customHeight="true" outlineLevel="0" collapsed="false"/>
    <row r="1047245" customFormat="false" ht="12.75" hidden="false" customHeight="true" outlineLevel="0" collapsed="false"/>
    <row r="1047246" customFormat="false" ht="12.75" hidden="false" customHeight="true" outlineLevel="0" collapsed="false"/>
    <row r="1047247" customFormat="false" ht="12.75" hidden="false" customHeight="true" outlineLevel="0" collapsed="false"/>
    <row r="1047248" customFormat="false" ht="12.75" hidden="false" customHeight="true" outlineLevel="0" collapsed="false"/>
    <row r="1047249" customFormat="false" ht="12.75" hidden="false" customHeight="true" outlineLevel="0" collapsed="false"/>
    <row r="1047250" customFormat="false" ht="12.75" hidden="false" customHeight="true" outlineLevel="0" collapsed="false"/>
    <row r="1047251" customFormat="false" ht="12.75" hidden="false" customHeight="true" outlineLevel="0" collapsed="false"/>
    <row r="1047252" customFormat="false" ht="12.75" hidden="false" customHeight="true" outlineLevel="0" collapsed="false"/>
    <row r="1047253" customFormat="false" ht="12.75" hidden="false" customHeight="true" outlineLevel="0" collapsed="false"/>
    <row r="1047254" customFormat="false" ht="12.75" hidden="false" customHeight="true" outlineLevel="0" collapsed="false"/>
    <row r="1047255" customFormat="false" ht="12.75" hidden="false" customHeight="true" outlineLevel="0" collapsed="false"/>
    <row r="1047256" customFormat="false" ht="12.75" hidden="false" customHeight="true" outlineLevel="0" collapsed="false"/>
    <row r="1047257" customFormat="false" ht="12.75" hidden="false" customHeight="true" outlineLevel="0" collapsed="false"/>
    <row r="1047258" customFormat="false" ht="12.75" hidden="false" customHeight="true" outlineLevel="0" collapsed="false"/>
    <row r="1047259" customFormat="false" ht="12.75" hidden="false" customHeight="true" outlineLevel="0" collapsed="false"/>
    <row r="1047260" customFormat="false" ht="12.75" hidden="false" customHeight="true" outlineLevel="0" collapsed="false"/>
    <row r="1047261" customFormat="false" ht="12.75" hidden="false" customHeight="true" outlineLevel="0" collapsed="false"/>
    <row r="1047262" customFormat="false" ht="12.75" hidden="false" customHeight="true" outlineLevel="0" collapsed="false"/>
    <row r="1047263" customFormat="false" ht="12.75" hidden="false" customHeight="true" outlineLevel="0" collapsed="false"/>
    <row r="1047264" customFormat="false" ht="12.75" hidden="false" customHeight="true" outlineLevel="0" collapsed="false"/>
    <row r="1047265" customFormat="false" ht="12.75" hidden="false" customHeight="true" outlineLevel="0" collapsed="false"/>
    <row r="1047266" customFormat="false" ht="12.75" hidden="false" customHeight="true" outlineLevel="0" collapsed="false"/>
    <row r="1047267" customFormat="false" ht="12.75" hidden="false" customHeight="true" outlineLevel="0" collapsed="false"/>
    <row r="1047268" customFormat="false" ht="12.75" hidden="false" customHeight="true" outlineLevel="0" collapsed="false"/>
    <row r="1047269" customFormat="false" ht="12.75" hidden="false" customHeight="true" outlineLevel="0" collapsed="false"/>
    <row r="1047270" customFormat="false" ht="12.75" hidden="false" customHeight="true" outlineLevel="0" collapsed="false"/>
    <row r="1047271" customFormat="false" ht="12.75" hidden="false" customHeight="true" outlineLevel="0" collapsed="false"/>
    <row r="1047272" customFormat="false" ht="12.75" hidden="false" customHeight="true" outlineLevel="0" collapsed="false"/>
    <row r="1047273" customFormat="false" ht="12.75" hidden="false" customHeight="true" outlineLevel="0" collapsed="false"/>
    <row r="1047274" customFormat="false" ht="12.75" hidden="false" customHeight="true" outlineLevel="0" collapsed="false"/>
    <row r="1047275" customFormat="false" ht="12.75" hidden="false" customHeight="true" outlineLevel="0" collapsed="false"/>
    <row r="1047276" customFormat="false" ht="12.75" hidden="false" customHeight="true" outlineLevel="0" collapsed="false"/>
    <row r="1047277" customFormat="false" ht="12.75" hidden="false" customHeight="true" outlineLevel="0" collapsed="false"/>
    <row r="1047278" customFormat="false" ht="12.75" hidden="false" customHeight="true" outlineLevel="0" collapsed="false"/>
    <row r="1047279" customFormat="false" ht="12.75" hidden="false" customHeight="true" outlineLevel="0" collapsed="false"/>
    <row r="1047280" customFormat="false" ht="12.75" hidden="false" customHeight="true" outlineLevel="0" collapsed="false"/>
    <row r="1047281" customFormat="false" ht="12.75" hidden="false" customHeight="true" outlineLevel="0" collapsed="false"/>
    <row r="1047282" customFormat="false" ht="12.75" hidden="false" customHeight="true" outlineLevel="0" collapsed="false"/>
    <row r="1047283" customFormat="false" ht="12.75" hidden="false" customHeight="true" outlineLevel="0" collapsed="false"/>
    <row r="1047284" customFormat="false" ht="12.75" hidden="false" customHeight="true" outlineLevel="0" collapsed="false"/>
    <row r="1047285" customFormat="false" ht="12.75" hidden="false" customHeight="true" outlineLevel="0" collapsed="false"/>
    <row r="1047286" customFormat="false" ht="12.75" hidden="false" customHeight="true" outlineLevel="0" collapsed="false"/>
    <row r="1047287" customFormat="false" ht="12.75" hidden="false" customHeight="true" outlineLevel="0" collapsed="false"/>
    <row r="1047288" customFormat="false" ht="12.75" hidden="false" customHeight="true" outlineLevel="0" collapsed="false"/>
    <row r="1047289" customFormat="false" ht="12.75" hidden="false" customHeight="true" outlineLevel="0" collapsed="false"/>
    <row r="1047290" customFormat="false" ht="12.75" hidden="false" customHeight="true" outlineLevel="0" collapsed="false"/>
    <row r="1047291" customFormat="false" ht="12.75" hidden="false" customHeight="true" outlineLevel="0" collapsed="false"/>
    <row r="1047292" customFormat="false" ht="12.75" hidden="false" customHeight="true" outlineLevel="0" collapsed="false"/>
    <row r="1047293" customFormat="false" ht="12.75" hidden="false" customHeight="true" outlineLevel="0" collapsed="false"/>
    <row r="1047294" customFormat="false" ht="12.75" hidden="false" customHeight="true" outlineLevel="0" collapsed="false"/>
    <row r="1047295" customFormat="false" ht="12.75" hidden="false" customHeight="true" outlineLevel="0" collapsed="false"/>
    <row r="1047296" customFormat="false" ht="12.75" hidden="false" customHeight="true" outlineLevel="0" collapsed="false"/>
    <row r="1047297" customFormat="false" ht="12.75" hidden="false" customHeight="true" outlineLevel="0" collapsed="false"/>
    <row r="1047298" customFormat="false" ht="12.75" hidden="false" customHeight="true" outlineLevel="0" collapsed="false"/>
    <row r="1047299" customFormat="false" ht="12.75" hidden="false" customHeight="true" outlineLevel="0" collapsed="false"/>
    <row r="1047300" customFormat="false" ht="12.75" hidden="false" customHeight="true" outlineLevel="0" collapsed="false"/>
    <row r="1047301" customFormat="false" ht="12.75" hidden="false" customHeight="true" outlineLevel="0" collapsed="false"/>
    <row r="1047302" customFormat="false" ht="12.75" hidden="false" customHeight="true" outlineLevel="0" collapsed="false"/>
    <row r="1047303" customFormat="false" ht="12.75" hidden="false" customHeight="true" outlineLevel="0" collapsed="false"/>
    <row r="1047304" customFormat="false" ht="12.75" hidden="false" customHeight="true" outlineLevel="0" collapsed="false"/>
    <row r="1047305" customFormat="false" ht="12.75" hidden="false" customHeight="true" outlineLevel="0" collapsed="false"/>
    <row r="1047306" customFormat="false" ht="12.75" hidden="false" customHeight="true" outlineLevel="0" collapsed="false"/>
    <row r="1047307" customFormat="false" ht="12.75" hidden="false" customHeight="true" outlineLevel="0" collapsed="false"/>
    <row r="1047308" customFormat="false" ht="12.75" hidden="false" customHeight="true" outlineLevel="0" collapsed="false"/>
    <row r="1047309" customFormat="false" ht="12.75" hidden="false" customHeight="true" outlineLevel="0" collapsed="false"/>
    <row r="1047310" customFormat="false" ht="12.75" hidden="false" customHeight="true" outlineLevel="0" collapsed="false"/>
    <row r="1047311" customFormat="false" ht="12.75" hidden="false" customHeight="true" outlineLevel="0" collapsed="false"/>
    <row r="1047312" customFormat="false" ht="12.75" hidden="false" customHeight="true" outlineLevel="0" collapsed="false"/>
    <row r="1047313" customFormat="false" ht="12.75" hidden="false" customHeight="true" outlineLevel="0" collapsed="false"/>
    <row r="1047314" customFormat="false" ht="12.75" hidden="false" customHeight="true" outlineLevel="0" collapsed="false"/>
    <row r="1047315" customFormat="false" ht="12.75" hidden="false" customHeight="true" outlineLevel="0" collapsed="false"/>
    <row r="1047316" customFormat="false" ht="12.75" hidden="false" customHeight="true" outlineLevel="0" collapsed="false"/>
    <row r="1047317" customFormat="false" ht="12.75" hidden="false" customHeight="true" outlineLevel="0" collapsed="false"/>
    <row r="1047318" customFormat="false" ht="12.75" hidden="false" customHeight="true" outlineLevel="0" collapsed="false"/>
    <row r="1047319" customFormat="false" ht="12.75" hidden="false" customHeight="true" outlineLevel="0" collapsed="false"/>
    <row r="1047320" customFormat="false" ht="12.75" hidden="false" customHeight="true" outlineLevel="0" collapsed="false"/>
    <row r="1047321" customFormat="false" ht="12.75" hidden="false" customHeight="true" outlineLevel="0" collapsed="false"/>
    <row r="1047322" customFormat="false" ht="12.75" hidden="false" customHeight="true" outlineLevel="0" collapsed="false"/>
    <row r="1047323" customFormat="false" ht="12.75" hidden="false" customHeight="true" outlineLevel="0" collapsed="false"/>
    <row r="1047324" customFormat="false" ht="12.75" hidden="false" customHeight="true" outlineLevel="0" collapsed="false"/>
    <row r="1047325" customFormat="false" ht="12.75" hidden="false" customHeight="true" outlineLevel="0" collapsed="false"/>
    <row r="1047326" customFormat="false" ht="12.75" hidden="false" customHeight="true" outlineLevel="0" collapsed="false"/>
    <row r="1047327" customFormat="false" ht="12.75" hidden="false" customHeight="true" outlineLevel="0" collapsed="false"/>
    <row r="1047328" customFormat="false" ht="12.75" hidden="false" customHeight="true" outlineLevel="0" collapsed="false"/>
    <row r="1047329" customFormat="false" ht="12.75" hidden="false" customHeight="true" outlineLevel="0" collapsed="false"/>
    <row r="1047330" customFormat="false" ht="12.75" hidden="false" customHeight="true" outlineLevel="0" collapsed="false"/>
    <row r="1047331" customFormat="false" ht="12.75" hidden="false" customHeight="true" outlineLevel="0" collapsed="false"/>
    <row r="1047332" customFormat="false" ht="12.75" hidden="false" customHeight="true" outlineLevel="0" collapsed="false"/>
    <row r="1047333" customFormat="false" ht="12.75" hidden="false" customHeight="true" outlineLevel="0" collapsed="false"/>
    <row r="1047334" customFormat="false" ht="12.75" hidden="false" customHeight="true" outlineLevel="0" collapsed="false"/>
    <row r="1047335" customFormat="false" ht="12.75" hidden="false" customHeight="true" outlineLevel="0" collapsed="false"/>
    <row r="1047336" customFormat="false" ht="12.75" hidden="false" customHeight="true" outlineLevel="0" collapsed="false"/>
    <row r="1047337" customFormat="false" ht="12.75" hidden="false" customHeight="true" outlineLevel="0" collapsed="false"/>
    <row r="1047338" customFormat="false" ht="12.75" hidden="false" customHeight="true" outlineLevel="0" collapsed="false"/>
    <row r="1047339" customFormat="false" ht="12.75" hidden="false" customHeight="true" outlineLevel="0" collapsed="false"/>
    <row r="1047340" customFormat="false" ht="12.75" hidden="false" customHeight="true" outlineLevel="0" collapsed="false"/>
    <row r="1047341" customFormat="false" ht="12.75" hidden="false" customHeight="true" outlineLevel="0" collapsed="false"/>
    <row r="1047342" customFormat="false" ht="12.75" hidden="false" customHeight="true" outlineLevel="0" collapsed="false"/>
    <row r="1047343" customFormat="false" ht="12.75" hidden="false" customHeight="true" outlineLevel="0" collapsed="false"/>
    <row r="1047344" customFormat="false" ht="12.75" hidden="false" customHeight="true" outlineLevel="0" collapsed="false"/>
    <row r="1047345" customFormat="false" ht="12.75" hidden="false" customHeight="true" outlineLevel="0" collapsed="false"/>
    <row r="1047346" customFormat="false" ht="12.75" hidden="false" customHeight="true" outlineLevel="0" collapsed="false"/>
    <row r="1047347" customFormat="false" ht="12.75" hidden="false" customHeight="true" outlineLevel="0" collapsed="false"/>
    <row r="1047348" customFormat="false" ht="12.75" hidden="false" customHeight="true" outlineLevel="0" collapsed="false"/>
    <row r="1047349" customFormat="false" ht="12.75" hidden="false" customHeight="true" outlineLevel="0" collapsed="false"/>
    <row r="1047350" customFormat="false" ht="12.75" hidden="false" customHeight="true" outlineLevel="0" collapsed="false"/>
    <row r="1047351" customFormat="false" ht="12.75" hidden="false" customHeight="true" outlineLevel="0" collapsed="false"/>
    <row r="1047352" customFormat="false" ht="12.75" hidden="false" customHeight="true" outlineLevel="0" collapsed="false"/>
    <row r="1047353" customFormat="false" ht="12.75" hidden="false" customHeight="true" outlineLevel="0" collapsed="false"/>
    <row r="1047354" customFormat="false" ht="12.75" hidden="false" customHeight="true" outlineLevel="0" collapsed="false"/>
    <row r="1047355" customFormat="false" ht="12.75" hidden="false" customHeight="true" outlineLevel="0" collapsed="false"/>
    <row r="1047356" customFormat="false" ht="12.75" hidden="false" customHeight="true" outlineLevel="0" collapsed="false"/>
    <row r="1047357" customFormat="false" ht="12.75" hidden="false" customHeight="true" outlineLevel="0" collapsed="false"/>
    <row r="1047358" customFormat="false" ht="12.75" hidden="false" customHeight="true" outlineLevel="0" collapsed="false"/>
    <row r="1047359" customFormat="false" ht="12.75" hidden="false" customHeight="true" outlineLevel="0" collapsed="false"/>
    <row r="1047360" customFormat="false" ht="12.75" hidden="false" customHeight="true" outlineLevel="0" collapsed="false"/>
    <row r="1047361" customFormat="false" ht="12.75" hidden="false" customHeight="true" outlineLevel="0" collapsed="false"/>
    <row r="1047362" customFormat="false" ht="12.75" hidden="false" customHeight="true" outlineLevel="0" collapsed="false"/>
    <row r="1047363" customFormat="false" ht="12.75" hidden="false" customHeight="true" outlineLevel="0" collapsed="false"/>
    <row r="1047364" customFormat="false" ht="12.75" hidden="false" customHeight="true" outlineLevel="0" collapsed="false"/>
    <row r="1047365" customFormat="false" ht="12.75" hidden="false" customHeight="true" outlineLevel="0" collapsed="false"/>
    <row r="1047366" customFormat="false" ht="12.75" hidden="false" customHeight="true" outlineLevel="0" collapsed="false"/>
    <row r="1047367" customFormat="false" ht="12.75" hidden="false" customHeight="true" outlineLevel="0" collapsed="false"/>
    <row r="1047368" customFormat="false" ht="12.75" hidden="false" customHeight="true" outlineLevel="0" collapsed="false"/>
    <row r="1047369" customFormat="false" ht="12.75" hidden="false" customHeight="true" outlineLevel="0" collapsed="false"/>
    <row r="1047370" customFormat="false" ht="12.75" hidden="false" customHeight="true" outlineLevel="0" collapsed="false"/>
    <row r="1047371" customFormat="false" ht="12.75" hidden="false" customHeight="true" outlineLevel="0" collapsed="false"/>
    <row r="1047372" customFormat="false" ht="12.75" hidden="false" customHeight="true" outlineLevel="0" collapsed="false"/>
    <row r="1047373" customFormat="false" ht="12.75" hidden="false" customHeight="true" outlineLevel="0" collapsed="false"/>
    <row r="1047374" customFormat="false" ht="12.75" hidden="false" customHeight="true" outlineLevel="0" collapsed="false"/>
    <row r="1047375" customFormat="false" ht="12.75" hidden="false" customHeight="true" outlineLevel="0" collapsed="false"/>
    <row r="1047376" customFormat="false" ht="12.75" hidden="false" customHeight="true" outlineLevel="0" collapsed="false"/>
    <row r="1047377" customFormat="false" ht="12.75" hidden="false" customHeight="true" outlineLevel="0" collapsed="false"/>
    <row r="1047378" customFormat="false" ht="12.75" hidden="false" customHeight="true" outlineLevel="0" collapsed="false"/>
    <row r="1047379" customFormat="false" ht="12.75" hidden="false" customHeight="true" outlineLevel="0" collapsed="false"/>
    <row r="1047380" customFormat="false" ht="12.75" hidden="false" customHeight="true" outlineLevel="0" collapsed="false"/>
    <row r="1047381" customFormat="false" ht="12.75" hidden="false" customHeight="true" outlineLevel="0" collapsed="false"/>
    <row r="1047382" customFormat="false" ht="12.75" hidden="false" customHeight="true" outlineLevel="0" collapsed="false"/>
    <row r="1047383" customFormat="false" ht="12.75" hidden="false" customHeight="true" outlineLevel="0" collapsed="false"/>
    <row r="1047384" customFormat="false" ht="12.75" hidden="false" customHeight="true" outlineLevel="0" collapsed="false"/>
    <row r="1047385" customFormat="false" ht="12.75" hidden="false" customHeight="true" outlineLevel="0" collapsed="false"/>
    <row r="1047386" customFormat="false" ht="12.75" hidden="false" customHeight="true" outlineLevel="0" collapsed="false"/>
    <row r="1047387" customFormat="false" ht="12.75" hidden="false" customHeight="true" outlineLevel="0" collapsed="false"/>
    <row r="1047388" customFormat="false" ht="12.75" hidden="false" customHeight="true" outlineLevel="0" collapsed="false"/>
    <row r="1047389" customFormat="false" ht="12.75" hidden="false" customHeight="true" outlineLevel="0" collapsed="false"/>
    <row r="1047390" customFormat="false" ht="12.75" hidden="false" customHeight="true" outlineLevel="0" collapsed="false"/>
    <row r="1047391" customFormat="false" ht="12.75" hidden="false" customHeight="true" outlineLevel="0" collapsed="false"/>
    <row r="1047392" customFormat="false" ht="12.75" hidden="false" customHeight="true" outlineLevel="0" collapsed="false"/>
    <row r="1047393" customFormat="false" ht="12.75" hidden="false" customHeight="true" outlineLevel="0" collapsed="false"/>
    <row r="1047394" customFormat="false" ht="12.75" hidden="false" customHeight="true" outlineLevel="0" collapsed="false"/>
    <row r="1047395" customFormat="false" ht="12.75" hidden="false" customHeight="true" outlineLevel="0" collapsed="false"/>
    <row r="1047396" customFormat="false" ht="12.75" hidden="false" customHeight="true" outlineLevel="0" collapsed="false"/>
    <row r="1047397" customFormat="false" ht="12.75" hidden="false" customHeight="true" outlineLevel="0" collapsed="false"/>
    <row r="1047398" customFormat="false" ht="12.75" hidden="false" customHeight="true" outlineLevel="0" collapsed="false"/>
    <row r="1047399" customFormat="false" ht="12.75" hidden="false" customHeight="true" outlineLevel="0" collapsed="false"/>
    <row r="1047400" customFormat="false" ht="12.75" hidden="false" customHeight="true" outlineLevel="0" collapsed="false"/>
    <row r="1047401" customFormat="false" ht="12.75" hidden="false" customHeight="true" outlineLevel="0" collapsed="false"/>
    <row r="1047402" customFormat="false" ht="12.75" hidden="false" customHeight="true" outlineLevel="0" collapsed="false"/>
    <row r="1047403" customFormat="false" ht="12.75" hidden="false" customHeight="true" outlineLevel="0" collapsed="false"/>
    <row r="1047404" customFormat="false" ht="12.75" hidden="false" customHeight="true" outlineLevel="0" collapsed="false"/>
    <row r="1047405" customFormat="false" ht="12.75" hidden="false" customHeight="true" outlineLevel="0" collapsed="false"/>
    <row r="1047406" customFormat="false" ht="12.75" hidden="false" customHeight="true" outlineLevel="0" collapsed="false"/>
    <row r="1047407" customFormat="false" ht="12.75" hidden="false" customHeight="true" outlineLevel="0" collapsed="false"/>
    <row r="1047408" customFormat="false" ht="12.75" hidden="false" customHeight="true" outlineLevel="0" collapsed="false"/>
    <row r="1047409" customFormat="false" ht="12.75" hidden="false" customHeight="true" outlineLevel="0" collapsed="false"/>
    <row r="1047410" customFormat="false" ht="12.75" hidden="false" customHeight="true" outlineLevel="0" collapsed="false"/>
    <row r="1047411" customFormat="false" ht="12.75" hidden="false" customHeight="true" outlineLevel="0" collapsed="false"/>
    <row r="1047412" customFormat="false" ht="12.75" hidden="false" customHeight="true" outlineLevel="0" collapsed="false"/>
    <row r="1047413" customFormat="false" ht="12.75" hidden="false" customHeight="true" outlineLevel="0" collapsed="false"/>
    <row r="1047414" customFormat="false" ht="12.75" hidden="false" customHeight="true" outlineLevel="0" collapsed="false"/>
    <row r="1047415" customFormat="false" ht="12.75" hidden="false" customHeight="true" outlineLevel="0" collapsed="false"/>
    <row r="1047416" customFormat="false" ht="12.75" hidden="false" customHeight="true" outlineLevel="0" collapsed="false"/>
    <row r="1047417" customFormat="false" ht="12.75" hidden="false" customHeight="true" outlineLevel="0" collapsed="false"/>
    <row r="1047418" customFormat="false" ht="12.75" hidden="false" customHeight="true" outlineLevel="0" collapsed="false"/>
    <row r="1047419" customFormat="false" ht="12.75" hidden="false" customHeight="true" outlineLevel="0" collapsed="false"/>
    <row r="1047420" customFormat="false" ht="12.75" hidden="false" customHeight="true" outlineLevel="0" collapsed="false"/>
    <row r="1047421" customFormat="false" ht="12.75" hidden="false" customHeight="true" outlineLevel="0" collapsed="false"/>
    <row r="1047422" customFormat="false" ht="12.75" hidden="false" customHeight="true" outlineLevel="0" collapsed="false"/>
    <row r="1047423" customFormat="false" ht="12.75" hidden="false" customHeight="true" outlineLevel="0" collapsed="false"/>
    <row r="1047424" customFormat="false" ht="12.75" hidden="false" customHeight="true" outlineLevel="0" collapsed="false"/>
    <row r="1047425" customFormat="false" ht="12.75" hidden="false" customHeight="true" outlineLevel="0" collapsed="false"/>
    <row r="1047426" customFormat="false" ht="12.75" hidden="false" customHeight="true" outlineLevel="0" collapsed="false"/>
    <row r="1047427" customFormat="false" ht="12.75" hidden="false" customHeight="true" outlineLevel="0" collapsed="false"/>
    <row r="1047428" customFormat="false" ht="12.75" hidden="false" customHeight="true" outlineLevel="0" collapsed="false"/>
    <row r="1047429" customFormat="false" ht="12.75" hidden="false" customHeight="true" outlineLevel="0" collapsed="false"/>
    <row r="1047430" customFormat="false" ht="12.75" hidden="false" customHeight="true" outlineLevel="0" collapsed="false"/>
    <row r="1047431" customFormat="false" ht="12.75" hidden="false" customHeight="true" outlineLevel="0" collapsed="false"/>
    <row r="1047432" customFormat="false" ht="12.75" hidden="false" customHeight="true" outlineLevel="0" collapsed="false"/>
    <row r="1047433" customFormat="false" ht="12.75" hidden="false" customHeight="true" outlineLevel="0" collapsed="false"/>
    <row r="1047434" customFormat="false" ht="12.75" hidden="false" customHeight="true" outlineLevel="0" collapsed="false"/>
    <row r="1047435" customFormat="false" ht="12.75" hidden="false" customHeight="true" outlineLevel="0" collapsed="false"/>
    <row r="1047436" customFormat="false" ht="12.75" hidden="false" customHeight="true" outlineLevel="0" collapsed="false"/>
    <row r="1047437" customFormat="false" ht="12.75" hidden="false" customHeight="true" outlineLevel="0" collapsed="false"/>
    <row r="1047438" customFormat="false" ht="12.75" hidden="false" customHeight="true" outlineLevel="0" collapsed="false"/>
    <row r="1047439" customFormat="false" ht="12.75" hidden="false" customHeight="true" outlineLevel="0" collapsed="false"/>
    <row r="1047440" customFormat="false" ht="12.75" hidden="false" customHeight="true" outlineLevel="0" collapsed="false"/>
    <row r="1047441" customFormat="false" ht="12.75" hidden="false" customHeight="true" outlineLevel="0" collapsed="false"/>
    <row r="1047442" customFormat="false" ht="12.75" hidden="false" customHeight="true" outlineLevel="0" collapsed="false"/>
    <row r="1047443" customFormat="false" ht="12.75" hidden="false" customHeight="true" outlineLevel="0" collapsed="false"/>
    <row r="1047444" customFormat="false" ht="12.75" hidden="false" customHeight="true" outlineLevel="0" collapsed="false"/>
    <row r="1047445" customFormat="false" ht="12.75" hidden="false" customHeight="true" outlineLevel="0" collapsed="false"/>
    <row r="1047446" customFormat="false" ht="12.75" hidden="false" customHeight="true" outlineLevel="0" collapsed="false"/>
    <row r="1047447" customFormat="false" ht="12.75" hidden="false" customHeight="true" outlineLevel="0" collapsed="false"/>
    <row r="1047448" customFormat="false" ht="12.75" hidden="false" customHeight="true" outlineLevel="0" collapsed="false"/>
    <row r="1047449" customFormat="false" ht="12.75" hidden="false" customHeight="true" outlineLevel="0" collapsed="false"/>
    <row r="1047450" customFormat="false" ht="12.75" hidden="false" customHeight="true" outlineLevel="0" collapsed="false"/>
    <row r="1047451" customFormat="false" ht="12.75" hidden="false" customHeight="true" outlineLevel="0" collapsed="false"/>
    <row r="1047452" customFormat="false" ht="12.75" hidden="false" customHeight="true" outlineLevel="0" collapsed="false"/>
    <row r="1047453" customFormat="false" ht="12.75" hidden="false" customHeight="true" outlineLevel="0" collapsed="false"/>
    <row r="1047454" customFormat="false" ht="12.75" hidden="false" customHeight="true" outlineLevel="0" collapsed="false"/>
    <row r="1047455" customFormat="false" ht="12.75" hidden="false" customHeight="true" outlineLevel="0" collapsed="false"/>
    <row r="1047456" customFormat="false" ht="12.75" hidden="false" customHeight="true" outlineLevel="0" collapsed="false"/>
    <row r="1047457" customFormat="false" ht="12.75" hidden="false" customHeight="true" outlineLevel="0" collapsed="false"/>
    <row r="1047458" customFormat="false" ht="12.75" hidden="false" customHeight="true" outlineLevel="0" collapsed="false"/>
    <row r="1047459" customFormat="false" ht="12.75" hidden="false" customHeight="true" outlineLevel="0" collapsed="false"/>
    <row r="1047460" customFormat="false" ht="12.75" hidden="false" customHeight="true" outlineLevel="0" collapsed="false"/>
    <row r="1047461" customFormat="false" ht="12.75" hidden="false" customHeight="true" outlineLevel="0" collapsed="false"/>
    <row r="1047462" customFormat="false" ht="12.75" hidden="false" customHeight="true" outlineLevel="0" collapsed="false"/>
    <row r="1047463" customFormat="false" ht="12.75" hidden="false" customHeight="true" outlineLevel="0" collapsed="false"/>
    <row r="1047464" customFormat="false" ht="12.75" hidden="false" customHeight="true" outlineLevel="0" collapsed="false"/>
    <row r="1047465" customFormat="false" ht="12.75" hidden="false" customHeight="true" outlineLevel="0" collapsed="false"/>
    <row r="1047466" customFormat="false" ht="12.75" hidden="false" customHeight="true" outlineLevel="0" collapsed="false"/>
    <row r="1047467" customFormat="false" ht="12.75" hidden="false" customHeight="true" outlineLevel="0" collapsed="false"/>
    <row r="1047468" customFormat="false" ht="12.75" hidden="false" customHeight="true" outlineLevel="0" collapsed="false"/>
    <row r="1047469" customFormat="false" ht="12.75" hidden="false" customHeight="true" outlineLevel="0" collapsed="false"/>
    <row r="1047470" customFormat="false" ht="12.75" hidden="false" customHeight="true" outlineLevel="0" collapsed="false"/>
    <row r="1047471" customFormat="false" ht="12.75" hidden="false" customHeight="true" outlineLevel="0" collapsed="false"/>
    <row r="1047472" customFormat="false" ht="12.75" hidden="false" customHeight="true" outlineLevel="0" collapsed="false"/>
    <row r="1047473" customFormat="false" ht="12.75" hidden="false" customHeight="true" outlineLevel="0" collapsed="false"/>
    <row r="1047474" customFormat="false" ht="12.75" hidden="false" customHeight="true" outlineLevel="0" collapsed="false"/>
    <row r="1047475" customFormat="false" ht="12.75" hidden="false" customHeight="true" outlineLevel="0" collapsed="false"/>
    <row r="1047476" customFormat="false" ht="12.75" hidden="false" customHeight="true" outlineLevel="0" collapsed="false"/>
    <row r="1047477" customFormat="false" ht="12.75" hidden="false" customHeight="true" outlineLevel="0" collapsed="false"/>
    <row r="1047478" customFormat="false" ht="12.75" hidden="false" customHeight="true" outlineLevel="0" collapsed="false"/>
    <row r="1047479" customFormat="false" ht="12.75" hidden="false" customHeight="true" outlineLevel="0" collapsed="false"/>
    <row r="1047480" customFormat="false" ht="12.75" hidden="false" customHeight="true" outlineLevel="0" collapsed="false"/>
    <row r="1047481" customFormat="false" ht="12.75" hidden="false" customHeight="true" outlineLevel="0" collapsed="false"/>
    <row r="1047482" customFormat="false" ht="12.75" hidden="false" customHeight="true" outlineLevel="0" collapsed="false"/>
    <row r="1047483" customFormat="false" ht="12.75" hidden="false" customHeight="true" outlineLevel="0" collapsed="false"/>
    <row r="1047484" customFormat="false" ht="12.75" hidden="false" customHeight="true" outlineLevel="0" collapsed="false"/>
    <row r="1047485" customFormat="false" ht="12.75" hidden="false" customHeight="true" outlineLevel="0" collapsed="false"/>
    <row r="1047486" customFormat="false" ht="12.75" hidden="false" customHeight="true" outlineLevel="0" collapsed="false"/>
    <row r="1047487" customFormat="false" ht="12.75" hidden="false" customHeight="true" outlineLevel="0" collapsed="false"/>
    <row r="1047488" customFormat="false" ht="12.75" hidden="false" customHeight="true" outlineLevel="0" collapsed="false"/>
    <row r="1047489" customFormat="false" ht="12.75" hidden="false" customHeight="true" outlineLevel="0" collapsed="false"/>
    <row r="1047490" customFormat="false" ht="12.75" hidden="false" customHeight="true" outlineLevel="0" collapsed="false"/>
    <row r="1047491" customFormat="false" ht="12.75" hidden="false" customHeight="true" outlineLevel="0" collapsed="false"/>
    <row r="1047492" customFormat="false" ht="12.75" hidden="false" customHeight="true" outlineLevel="0" collapsed="false"/>
    <row r="1047493" customFormat="false" ht="12.75" hidden="false" customHeight="true" outlineLevel="0" collapsed="false"/>
    <row r="1047494" customFormat="false" ht="12.75" hidden="false" customHeight="true" outlineLevel="0" collapsed="false"/>
    <row r="1047495" customFormat="false" ht="12.75" hidden="false" customHeight="true" outlineLevel="0" collapsed="false"/>
    <row r="1047496" customFormat="false" ht="12.75" hidden="false" customHeight="true" outlineLevel="0" collapsed="false"/>
    <row r="1047497" customFormat="false" ht="12.75" hidden="false" customHeight="true" outlineLevel="0" collapsed="false"/>
    <row r="1047498" customFormat="false" ht="12.75" hidden="false" customHeight="true" outlineLevel="0" collapsed="false"/>
    <row r="1047499" customFormat="false" ht="12.75" hidden="false" customHeight="true" outlineLevel="0" collapsed="false"/>
    <row r="1047500" customFormat="false" ht="12.75" hidden="false" customHeight="true" outlineLevel="0" collapsed="false"/>
    <row r="1047501" customFormat="false" ht="12.75" hidden="false" customHeight="true" outlineLevel="0" collapsed="false"/>
    <row r="1047502" customFormat="false" ht="12.75" hidden="false" customHeight="true" outlineLevel="0" collapsed="false"/>
    <row r="1047503" customFormat="false" ht="12.75" hidden="false" customHeight="true" outlineLevel="0" collapsed="false"/>
    <row r="1047504" customFormat="false" ht="12.75" hidden="false" customHeight="true" outlineLevel="0" collapsed="false"/>
    <row r="1047505" customFormat="false" ht="12.75" hidden="false" customHeight="true" outlineLevel="0" collapsed="false"/>
    <row r="1047506" customFormat="false" ht="12.75" hidden="false" customHeight="true" outlineLevel="0" collapsed="false"/>
    <row r="1047507" customFormat="false" ht="12.75" hidden="false" customHeight="true" outlineLevel="0" collapsed="false"/>
    <row r="1047508" customFormat="false" ht="12.75" hidden="false" customHeight="true" outlineLevel="0" collapsed="false"/>
    <row r="1047509" customFormat="false" ht="12.75" hidden="false" customHeight="true" outlineLevel="0" collapsed="false"/>
    <row r="1047510" customFormat="false" ht="12.75" hidden="false" customHeight="true" outlineLevel="0" collapsed="false"/>
    <row r="1047511" customFormat="false" ht="12.75" hidden="false" customHeight="true" outlineLevel="0" collapsed="false"/>
    <row r="1047512" customFormat="false" ht="12.75" hidden="false" customHeight="true" outlineLevel="0" collapsed="false"/>
    <row r="1047513" customFormat="false" ht="12.75" hidden="false" customHeight="true" outlineLevel="0" collapsed="false"/>
    <row r="1047514" customFormat="false" ht="12.75" hidden="false" customHeight="true" outlineLevel="0" collapsed="false"/>
    <row r="1047515" customFormat="false" ht="12.75" hidden="false" customHeight="true" outlineLevel="0" collapsed="false"/>
    <row r="1047516" customFormat="false" ht="12.75" hidden="false" customHeight="true" outlineLevel="0" collapsed="false"/>
    <row r="1047517" customFormat="false" ht="12.75" hidden="false" customHeight="true" outlineLevel="0" collapsed="false"/>
    <row r="1047518" customFormat="false" ht="12.75" hidden="false" customHeight="true" outlineLevel="0" collapsed="false"/>
    <row r="1047519" customFormat="false" ht="12.75" hidden="false" customHeight="true" outlineLevel="0" collapsed="false"/>
    <row r="1047520" customFormat="false" ht="12.75" hidden="false" customHeight="true" outlineLevel="0" collapsed="false"/>
    <row r="1047521" customFormat="false" ht="12.75" hidden="false" customHeight="true" outlineLevel="0" collapsed="false"/>
    <row r="1047522" customFormat="false" ht="12.75" hidden="false" customHeight="true" outlineLevel="0" collapsed="false"/>
    <row r="1047523" customFormat="false" ht="12.75" hidden="false" customHeight="true" outlineLevel="0" collapsed="false"/>
    <row r="1047524" customFormat="false" ht="12.75" hidden="false" customHeight="true" outlineLevel="0" collapsed="false"/>
    <row r="1047525" customFormat="false" ht="12.75" hidden="false" customHeight="true" outlineLevel="0" collapsed="false"/>
    <row r="1047526" customFormat="false" ht="12.75" hidden="false" customHeight="true" outlineLevel="0" collapsed="false"/>
    <row r="1047527" customFormat="false" ht="12.75" hidden="false" customHeight="true" outlineLevel="0" collapsed="false"/>
    <row r="1047528" customFormat="false" ht="12.75" hidden="false" customHeight="true" outlineLevel="0" collapsed="false"/>
    <row r="1047529" customFormat="false" ht="12.75" hidden="false" customHeight="true" outlineLevel="0" collapsed="false"/>
    <row r="1047530" customFormat="false" ht="12.75" hidden="false" customHeight="true" outlineLevel="0" collapsed="false"/>
    <row r="1047531" customFormat="false" ht="12.75" hidden="false" customHeight="true" outlineLevel="0" collapsed="false"/>
    <row r="1047532" customFormat="false" ht="12.75" hidden="false" customHeight="true" outlineLevel="0" collapsed="false"/>
    <row r="1047533" customFormat="false" ht="12.75" hidden="false" customHeight="true" outlineLevel="0" collapsed="false"/>
    <row r="1047534" customFormat="false" ht="12.75" hidden="false" customHeight="true" outlineLevel="0" collapsed="false"/>
    <row r="1047535" customFormat="false" ht="12.75" hidden="false" customHeight="true" outlineLevel="0" collapsed="false"/>
    <row r="1047536" customFormat="false" ht="12.75" hidden="false" customHeight="true" outlineLevel="0" collapsed="false"/>
    <row r="1047537" customFormat="false" ht="12.75" hidden="false" customHeight="true" outlineLevel="0" collapsed="false"/>
    <row r="1047538" customFormat="false" ht="12.75" hidden="false" customHeight="true" outlineLevel="0" collapsed="false"/>
    <row r="1047539" customFormat="false" ht="12.75" hidden="false" customHeight="true" outlineLevel="0" collapsed="false"/>
    <row r="1047540" customFormat="false" ht="12.75" hidden="false" customHeight="true" outlineLevel="0" collapsed="false"/>
    <row r="1047541" customFormat="false" ht="12.75" hidden="false" customHeight="true" outlineLevel="0" collapsed="false"/>
    <row r="1047542" customFormat="false" ht="12.75" hidden="false" customHeight="true" outlineLevel="0" collapsed="false"/>
    <row r="1047543" customFormat="false" ht="12.75" hidden="false" customHeight="true" outlineLevel="0" collapsed="false"/>
    <row r="1047544" customFormat="false" ht="12.75" hidden="false" customHeight="true" outlineLevel="0" collapsed="false"/>
    <row r="1047545" customFormat="false" ht="12.75" hidden="false" customHeight="true" outlineLevel="0" collapsed="false"/>
    <row r="1047546" customFormat="false" ht="12.75" hidden="false" customHeight="true" outlineLevel="0" collapsed="false"/>
    <row r="1047547" customFormat="false" ht="12.75" hidden="false" customHeight="true" outlineLevel="0" collapsed="false"/>
    <row r="1047548" customFormat="false" ht="12.75" hidden="false" customHeight="true" outlineLevel="0" collapsed="false"/>
    <row r="1047549" customFormat="false" ht="12.75" hidden="false" customHeight="true" outlineLevel="0" collapsed="false"/>
    <row r="1047550" customFormat="false" ht="12.75" hidden="false" customHeight="true" outlineLevel="0" collapsed="false"/>
    <row r="1047551" customFormat="false" ht="12.75" hidden="false" customHeight="true" outlineLevel="0" collapsed="false"/>
    <row r="1047552" customFormat="false" ht="12.75" hidden="false" customHeight="true" outlineLevel="0" collapsed="false"/>
    <row r="1047553" customFormat="false" ht="12.75" hidden="false" customHeight="true" outlineLevel="0" collapsed="false"/>
    <row r="1047554" customFormat="false" ht="12.75" hidden="false" customHeight="true" outlineLevel="0" collapsed="false"/>
    <row r="1047555" customFormat="false" ht="12.75" hidden="false" customHeight="true" outlineLevel="0" collapsed="false"/>
    <row r="1047556" customFormat="false" ht="12.75" hidden="false" customHeight="true" outlineLevel="0" collapsed="false"/>
    <row r="1047557" customFormat="false" ht="12.75" hidden="false" customHeight="true" outlineLevel="0" collapsed="false"/>
    <row r="1047558" customFormat="false" ht="12.75" hidden="false" customHeight="true" outlineLevel="0" collapsed="false"/>
    <row r="1047559" customFormat="false" ht="12.75" hidden="false" customHeight="true" outlineLevel="0" collapsed="false"/>
    <row r="1047560" customFormat="false" ht="12.75" hidden="false" customHeight="true" outlineLevel="0" collapsed="false"/>
    <row r="1047561" customFormat="false" ht="12.75" hidden="false" customHeight="true" outlineLevel="0" collapsed="false"/>
    <row r="1047562" customFormat="false" ht="12.75" hidden="false" customHeight="true" outlineLevel="0" collapsed="false"/>
    <row r="1047563" customFormat="false" ht="12.75" hidden="false" customHeight="true" outlineLevel="0" collapsed="false"/>
    <row r="1047564" customFormat="false" ht="12.75" hidden="false" customHeight="true" outlineLevel="0" collapsed="false"/>
    <row r="1047565" customFormat="false" ht="12.75" hidden="false" customHeight="true" outlineLevel="0" collapsed="false"/>
    <row r="1047566" customFormat="false" ht="12.75" hidden="false" customHeight="true" outlineLevel="0" collapsed="false"/>
    <row r="1047567" customFormat="false" ht="12.75" hidden="false" customHeight="true" outlineLevel="0" collapsed="false"/>
    <row r="1047568" customFormat="false" ht="12.75" hidden="false" customHeight="true" outlineLevel="0" collapsed="false"/>
    <row r="1047569" customFormat="false" ht="12.75" hidden="false" customHeight="true" outlineLevel="0" collapsed="false"/>
    <row r="1047570" customFormat="false" ht="12.75" hidden="false" customHeight="true" outlineLevel="0" collapsed="false"/>
    <row r="1047571" customFormat="false" ht="12.75" hidden="false" customHeight="true" outlineLevel="0" collapsed="false"/>
    <row r="1047572" customFormat="false" ht="12.75" hidden="false" customHeight="true" outlineLevel="0" collapsed="false"/>
    <row r="1047573" customFormat="false" ht="12.75" hidden="false" customHeight="true" outlineLevel="0" collapsed="false"/>
    <row r="1047574" customFormat="false" ht="12.75" hidden="false" customHeight="true" outlineLevel="0" collapsed="false"/>
    <row r="1047575" customFormat="false" ht="12.75" hidden="false" customHeight="true" outlineLevel="0" collapsed="false"/>
    <row r="1047576" customFormat="false" ht="12.75" hidden="false" customHeight="true" outlineLevel="0" collapsed="false"/>
    <row r="1047577" customFormat="false" ht="12.75" hidden="false" customHeight="true" outlineLevel="0" collapsed="false"/>
    <row r="1047578" customFormat="false" ht="12.75" hidden="false" customHeight="true" outlineLevel="0" collapsed="false"/>
    <row r="1047579" customFormat="false" ht="12.75" hidden="false" customHeight="true" outlineLevel="0" collapsed="false"/>
    <row r="1047580" customFormat="false" ht="12.75" hidden="false" customHeight="true" outlineLevel="0" collapsed="false"/>
    <row r="1047581" customFormat="false" ht="12.75" hidden="false" customHeight="true" outlineLevel="0" collapsed="false"/>
    <row r="1047582" customFormat="false" ht="12.75" hidden="false" customHeight="true" outlineLevel="0" collapsed="false"/>
    <row r="1047583" customFormat="false" ht="12.75" hidden="false" customHeight="true" outlineLevel="0" collapsed="false"/>
    <row r="1047584" customFormat="false" ht="12.75" hidden="false" customHeight="true" outlineLevel="0" collapsed="false"/>
    <row r="1047585" customFormat="false" ht="12.75" hidden="false" customHeight="true" outlineLevel="0" collapsed="false"/>
    <row r="1047586" customFormat="false" ht="12.75" hidden="false" customHeight="true" outlineLevel="0" collapsed="false"/>
    <row r="1047587" customFormat="false" ht="12.75" hidden="false" customHeight="true" outlineLevel="0" collapsed="false"/>
    <row r="1047588" customFormat="false" ht="12.75" hidden="false" customHeight="true" outlineLevel="0" collapsed="false"/>
    <row r="1047589" customFormat="false" ht="12.75" hidden="false" customHeight="true" outlineLevel="0" collapsed="false"/>
    <row r="1047590" customFormat="false" ht="12.75" hidden="false" customHeight="true" outlineLevel="0" collapsed="false"/>
    <row r="1047591" customFormat="false" ht="12.75" hidden="false" customHeight="true" outlineLevel="0" collapsed="false"/>
    <row r="1047592" customFormat="false" ht="12.75" hidden="false" customHeight="true" outlineLevel="0" collapsed="false"/>
    <row r="1047593" customFormat="false" ht="12.75" hidden="false" customHeight="true" outlineLevel="0" collapsed="false"/>
    <row r="1047594" customFormat="false" ht="12.75" hidden="false" customHeight="true" outlineLevel="0" collapsed="false"/>
    <row r="1047595" customFormat="false" ht="12.75" hidden="false" customHeight="true" outlineLevel="0" collapsed="false"/>
    <row r="1047596" customFormat="false" ht="12.75" hidden="false" customHeight="true" outlineLevel="0" collapsed="false"/>
    <row r="1047597" customFormat="false" ht="12.75" hidden="false" customHeight="true" outlineLevel="0" collapsed="false"/>
    <row r="1047598" customFormat="false" ht="12.75" hidden="false" customHeight="true" outlineLevel="0" collapsed="false"/>
    <row r="1047599" customFormat="false" ht="12.75" hidden="false" customHeight="true" outlineLevel="0" collapsed="false"/>
    <row r="1047600" customFormat="false" ht="12.75" hidden="false" customHeight="true" outlineLevel="0" collapsed="false"/>
    <row r="1047601" customFormat="false" ht="12.75" hidden="false" customHeight="true" outlineLevel="0" collapsed="false"/>
    <row r="1047602" customFormat="false" ht="12.75" hidden="false" customHeight="true" outlineLevel="0" collapsed="false"/>
    <row r="1047603" customFormat="false" ht="12.75" hidden="false" customHeight="true" outlineLevel="0" collapsed="false"/>
    <row r="1047604" customFormat="false" ht="12.75" hidden="false" customHeight="true" outlineLevel="0" collapsed="false"/>
    <row r="1047605" customFormat="false" ht="12.75" hidden="false" customHeight="true" outlineLevel="0" collapsed="false"/>
    <row r="1047606" customFormat="false" ht="12.75" hidden="false" customHeight="true" outlineLevel="0" collapsed="false"/>
    <row r="1047607" customFormat="false" ht="12.75" hidden="false" customHeight="true" outlineLevel="0" collapsed="false"/>
    <row r="1047608" customFormat="false" ht="12.75" hidden="false" customHeight="true" outlineLevel="0" collapsed="false"/>
    <row r="1047609" customFormat="false" ht="12.75" hidden="false" customHeight="true" outlineLevel="0" collapsed="false"/>
    <row r="1047610" customFormat="false" ht="12.75" hidden="false" customHeight="true" outlineLevel="0" collapsed="false"/>
    <row r="1047611" customFormat="false" ht="12.75" hidden="false" customHeight="true" outlineLevel="0" collapsed="false"/>
    <row r="1047612" customFormat="false" ht="12.75" hidden="false" customHeight="true" outlineLevel="0" collapsed="false"/>
    <row r="1047613" customFormat="false" ht="12.75" hidden="false" customHeight="true" outlineLevel="0" collapsed="false"/>
    <row r="1047614" customFormat="false" ht="12.75" hidden="false" customHeight="true" outlineLevel="0" collapsed="false"/>
    <row r="1047615" customFormat="false" ht="12.75" hidden="false" customHeight="true" outlineLevel="0" collapsed="false"/>
    <row r="1047616" customFormat="false" ht="12.75" hidden="false" customHeight="true" outlineLevel="0" collapsed="false"/>
    <row r="1047617" customFormat="false" ht="12.75" hidden="false" customHeight="true" outlineLevel="0" collapsed="false"/>
    <row r="1047618" customFormat="false" ht="12.75" hidden="false" customHeight="true" outlineLevel="0" collapsed="false"/>
    <row r="1047619" customFormat="false" ht="12.75" hidden="false" customHeight="true" outlineLevel="0" collapsed="false"/>
    <row r="1047620" customFormat="false" ht="12.75" hidden="false" customHeight="true" outlineLevel="0" collapsed="false"/>
    <row r="1047621" customFormat="false" ht="12.75" hidden="false" customHeight="true" outlineLevel="0" collapsed="false"/>
    <row r="1047622" customFormat="false" ht="12.75" hidden="false" customHeight="true" outlineLevel="0" collapsed="false"/>
    <row r="1047623" customFormat="false" ht="12.75" hidden="false" customHeight="true" outlineLevel="0" collapsed="false"/>
    <row r="1047624" customFormat="false" ht="12.75" hidden="false" customHeight="true" outlineLevel="0" collapsed="false"/>
    <row r="1047625" customFormat="false" ht="12.75" hidden="false" customHeight="true" outlineLevel="0" collapsed="false"/>
    <row r="1047626" customFormat="false" ht="12.75" hidden="false" customHeight="true" outlineLevel="0" collapsed="false"/>
    <row r="1047627" customFormat="false" ht="12.75" hidden="false" customHeight="true" outlineLevel="0" collapsed="false"/>
    <row r="1047628" customFormat="false" ht="12.75" hidden="false" customHeight="true" outlineLevel="0" collapsed="false"/>
    <row r="1047629" customFormat="false" ht="12.75" hidden="false" customHeight="true" outlineLevel="0" collapsed="false"/>
    <row r="1047630" customFormat="false" ht="12.75" hidden="false" customHeight="true" outlineLevel="0" collapsed="false"/>
    <row r="1047631" customFormat="false" ht="12.75" hidden="false" customHeight="true" outlineLevel="0" collapsed="false"/>
    <row r="1047632" customFormat="false" ht="12.75" hidden="false" customHeight="true" outlineLevel="0" collapsed="false"/>
    <row r="1047633" customFormat="false" ht="12.75" hidden="false" customHeight="true" outlineLevel="0" collapsed="false"/>
    <row r="1047634" customFormat="false" ht="12.75" hidden="false" customHeight="true" outlineLevel="0" collapsed="false"/>
    <row r="1047635" customFormat="false" ht="12.75" hidden="false" customHeight="true" outlineLevel="0" collapsed="false"/>
    <row r="1047636" customFormat="false" ht="12.75" hidden="false" customHeight="true" outlineLevel="0" collapsed="false"/>
    <row r="1047637" customFormat="false" ht="12.75" hidden="false" customHeight="true" outlineLevel="0" collapsed="false"/>
    <row r="1047638" customFormat="false" ht="12.75" hidden="false" customHeight="true" outlineLevel="0" collapsed="false"/>
    <row r="1047639" customFormat="false" ht="12.75" hidden="false" customHeight="true" outlineLevel="0" collapsed="false"/>
    <row r="1047640" customFormat="false" ht="12.75" hidden="false" customHeight="true" outlineLevel="0" collapsed="false"/>
    <row r="1047641" customFormat="false" ht="12.75" hidden="false" customHeight="true" outlineLevel="0" collapsed="false"/>
    <row r="1047642" customFormat="false" ht="12.75" hidden="false" customHeight="true" outlineLevel="0" collapsed="false"/>
    <row r="1047643" customFormat="false" ht="12.75" hidden="false" customHeight="true" outlineLevel="0" collapsed="false"/>
    <row r="1047644" customFormat="false" ht="12.75" hidden="false" customHeight="true" outlineLevel="0" collapsed="false"/>
    <row r="1047645" customFormat="false" ht="12.75" hidden="false" customHeight="true" outlineLevel="0" collapsed="false"/>
    <row r="1047646" customFormat="false" ht="12.75" hidden="false" customHeight="true" outlineLevel="0" collapsed="false"/>
    <row r="1047647" customFormat="false" ht="12.75" hidden="false" customHeight="true" outlineLevel="0" collapsed="false"/>
    <row r="1047648" customFormat="false" ht="12.75" hidden="false" customHeight="true" outlineLevel="0" collapsed="false"/>
    <row r="1047649" customFormat="false" ht="12.75" hidden="false" customHeight="true" outlineLevel="0" collapsed="false"/>
    <row r="1047650" customFormat="false" ht="12.75" hidden="false" customHeight="true" outlineLevel="0" collapsed="false"/>
    <row r="1047651" customFormat="false" ht="12.75" hidden="false" customHeight="true" outlineLevel="0" collapsed="false"/>
    <row r="1047652" customFormat="false" ht="12.75" hidden="false" customHeight="true" outlineLevel="0" collapsed="false"/>
    <row r="1047653" customFormat="false" ht="12.75" hidden="false" customHeight="true" outlineLevel="0" collapsed="false"/>
    <row r="1047654" customFormat="false" ht="12.75" hidden="false" customHeight="true" outlineLevel="0" collapsed="false"/>
    <row r="1047655" customFormat="false" ht="12.75" hidden="false" customHeight="true" outlineLevel="0" collapsed="false"/>
    <row r="1047656" customFormat="false" ht="12.75" hidden="false" customHeight="true" outlineLevel="0" collapsed="false"/>
    <row r="1047657" customFormat="false" ht="12.75" hidden="false" customHeight="true" outlineLevel="0" collapsed="false"/>
    <row r="1047658" customFormat="false" ht="12.75" hidden="false" customHeight="true" outlineLevel="0" collapsed="false"/>
    <row r="1047659" customFormat="false" ht="12.75" hidden="false" customHeight="true" outlineLevel="0" collapsed="false"/>
    <row r="1047660" customFormat="false" ht="12.75" hidden="false" customHeight="true" outlineLevel="0" collapsed="false"/>
    <row r="1047661" customFormat="false" ht="12.75" hidden="false" customHeight="true" outlineLevel="0" collapsed="false"/>
    <row r="1047662" customFormat="false" ht="12.75" hidden="false" customHeight="true" outlineLevel="0" collapsed="false"/>
    <row r="1047663" customFormat="false" ht="12.75" hidden="false" customHeight="true" outlineLevel="0" collapsed="false"/>
    <row r="1047664" customFormat="false" ht="12.75" hidden="false" customHeight="true" outlineLevel="0" collapsed="false"/>
    <row r="1047665" customFormat="false" ht="12.75" hidden="false" customHeight="true" outlineLevel="0" collapsed="false"/>
    <row r="1047666" customFormat="false" ht="12.75" hidden="false" customHeight="true" outlineLevel="0" collapsed="false"/>
    <row r="1047667" customFormat="false" ht="12.75" hidden="false" customHeight="true" outlineLevel="0" collapsed="false"/>
    <row r="1047668" customFormat="false" ht="12.75" hidden="false" customHeight="true" outlineLevel="0" collapsed="false"/>
    <row r="1047669" customFormat="false" ht="12.75" hidden="false" customHeight="true" outlineLevel="0" collapsed="false"/>
    <row r="1047670" customFormat="false" ht="12.75" hidden="false" customHeight="true" outlineLevel="0" collapsed="false"/>
    <row r="1047671" customFormat="false" ht="12.75" hidden="false" customHeight="true" outlineLevel="0" collapsed="false"/>
    <row r="1047672" customFormat="false" ht="12.75" hidden="false" customHeight="true" outlineLevel="0" collapsed="false"/>
    <row r="1047673" customFormat="false" ht="12.75" hidden="false" customHeight="true" outlineLevel="0" collapsed="false"/>
    <row r="1047674" customFormat="false" ht="12.75" hidden="false" customHeight="true" outlineLevel="0" collapsed="false"/>
    <row r="1047675" customFormat="false" ht="12.75" hidden="false" customHeight="true" outlineLevel="0" collapsed="false"/>
    <row r="1047676" customFormat="false" ht="12.75" hidden="false" customHeight="true" outlineLevel="0" collapsed="false"/>
    <row r="1047677" customFormat="false" ht="12.75" hidden="false" customHeight="true" outlineLevel="0" collapsed="false"/>
    <row r="1047678" customFormat="false" ht="12.75" hidden="false" customHeight="true" outlineLevel="0" collapsed="false"/>
    <row r="1047679" customFormat="false" ht="12.75" hidden="false" customHeight="true" outlineLevel="0" collapsed="false"/>
    <row r="1047680" customFormat="false" ht="12.75" hidden="false" customHeight="true" outlineLevel="0" collapsed="false"/>
    <row r="1047681" customFormat="false" ht="12.75" hidden="false" customHeight="true" outlineLevel="0" collapsed="false"/>
    <row r="1047682" customFormat="false" ht="12.75" hidden="false" customHeight="true" outlineLevel="0" collapsed="false"/>
    <row r="1047683" customFormat="false" ht="12.75" hidden="false" customHeight="true" outlineLevel="0" collapsed="false"/>
    <row r="1047684" customFormat="false" ht="12.75" hidden="false" customHeight="true" outlineLevel="0" collapsed="false"/>
    <row r="1047685" customFormat="false" ht="12.75" hidden="false" customHeight="true" outlineLevel="0" collapsed="false"/>
    <row r="1047686" customFormat="false" ht="12.75" hidden="false" customHeight="true" outlineLevel="0" collapsed="false"/>
    <row r="1047687" customFormat="false" ht="12.75" hidden="false" customHeight="true" outlineLevel="0" collapsed="false"/>
    <row r="1047688" customFormat="false" ht="12.75" hidden="false" customHeight="true" outlineLevel="0" collapsed="false"/>
    <row r="1047689" customFormat="false" ht="12.75" hidden="false" customHeight="true" outlineLevel="0" collapsed="false"/>
    <row r="1047690" customFormat="false" ht="12.75" hidden="false" customHeight="true" outlineLevel="0" collapsed="false"/>
    <row r="1047691" customFormat="false" ht="12.75" hidden="false" customHeight="true" outlineLevel="0" collapsed="false"/>
    <row r="1047692" customFormat="false" ht="12.75" hidden="false" customHeight="true" outlineLevel="0" collapsed="false"/>
    <row r="1047693" customFormat="false" ht="12.75" hidden="false" customHeight="true" outlineLevel="0" collapsed="false"/>
    <row r="1047694" customFormat="false" ht="12.75" hidden="false" customHeight="true" outlineLevel="0" collapsed="false"/>
    <row r="1047695" customFormat="false" ht="12.75" hidden="false" customHeight="true" outlineLevel="0" collapsed="false"/>
    <row r="1047696" customFormat="false" ht="12.75" hidden="false" customHeight="true" outlineLevel="0" collapsed="false"/>
    <row r="1047697" customFormat="false" ht="12.75" hidden="false" customHeight="true" outlineLevel="0" collapsed="false"/>
    <row r="1047698" customFormat="false" ht="12.75" hidden="false" customHeight="true" outlineLevel="0" collapsed="false"/>
    <row r="1047699" customFormat="false" ht="12.75" hidden="false" customHeight="true" outlineLevel="0" collapsed="false"/>
    <row r="1047700" customFormat="false" ht="12.75" hidden="false" customHeight="true" outlineLevel="0" collapsed="false"/>
    <row r="1047701" customFormat="false" ht="12.75" hidden="false" customHeight="true" outlineLevel="0" collapsed="false"/>
    <row r="1047702" customFormat="false" ht="12.75" hidden="false" customHeight="true" outlineLevel="0" collapsed="false"/>
    <row r="1047703" customFormat="false" ht="12.75" hidden="false" customHeight="true" outlineLevel="0" collapsed="false"/>
    <row r="1047704" customFormat="false" ht="12.75" hidden="false" customHeight="true" outlineLevel="0" collapsed="false"/>
    <row r="1047705" customFormat="false" ht="12.75" hidden="false" customHeight="true" outlineLevel="0" collapsed="false"/>
    <row r="1047706" customFormat="false" ht="12.75" hidden="false" customHeight="true" outlineLevel="0" collapsed="false"/>
    <row r="1047707" customFormat="false" ht="12.75" hidden="false" customHeight="true" outlineLevel="0" collapsed="false"/>
    <row r="1047708" customFormat="false" ht="12.75" hidden="false" customHeight="true" outlineLevel="0" collapsed="false"/>
    <row r="1047709" customFormat="false" ht="12.75" hidden="false" customHeight="true" outlineLevel="0" collapsed="false"/>
    <row r="1047710" customFormat="false" ht="12.75" hidden="false" customHeight="true" outlineLevel="0" collapsed="false"/>
    <row r="1047711" customFormat="false" ht="12.75" hidden="false" customHeight="true" outlineLevel="0" collapsed="false"/>
    <row r="1047712" customFormat="false" ht="12.75" hidden="false" customHeight="true" outlineLevel="0" collapsed="false"/>
    <row r="1047713" customFormat="false" ht="12.75" hidden="false" customHeight="true" outlineLevel="0" collapsed="false"/>
    <row r="1047714" customFormat="false" ht="12.75" hidden="false" customHeight="true" outlineLevel="0" collapsed="false"/>
    <row r="1047715" customFormat="false" ht="12.75" hidden="false" customHeight="true" outlineLevel="0" collapsed="false"/>
    <row r="1047716" customFormat="false" ht="12.75" hidden="false" customHeight="true" outlineLevel="0" collapsed="false"/>
    <row r="1047717" customFormat="false" ht="12.75" hidden="false" customHeight="true" outlineLevel="0" collapsed="false"/>
    <row r="1047718" customFormat="false" ht="12.75" hidden="false" customHeight="true" outlineLevel="0" collapsed="false"/>
    <row r="1047719" customFormat="false" ht="12.75" hidden="false" customHeight="true" outlineLevel="0" collapsed="false"/>
    <row r="1047720" customFormat="false" ht="12.75" hidden="false" customHeight="true" outlineLevel="0" collapsed="false"/>
    <row r="1047721" customFormat="false" ht="12.75" hidden="false" customHeight="true" outlineLevel="0" collapsed="false"/>
    <row r="1047722" customFormat="false" ht="12.75" hidden="false" customHeight="true" outlineLevel="0" collapsed="false"/>
    <row r="1047723" customFormat="false" ht="12.75" hidden="false" customHeight="true" outlineLevel="0" collapsed="false"/>
    <row r="1047724" customFormat="false" ht="12.75" hidden="false" customHeight="true" outlineLevel="0" collapsed="false"/>
    <row r="1047725" customFormat="false" ht="12.75" hidden="false" customHeight="true" outlineLevel="0" collapsed="false"/>
    <row r="1047726" customFormat="false" ht="12.75" hidden="false" customHeight="true" outlineLevel="0" collapsed="false"/>
    <row r="1047727" customFormat="false" ht="12.75" hidden="false" customHeight="true" outlineLevel="0" collapsed="false"/>
    <row r="1047728" customFormat="false" ht="12.75" hidden="false" customHeight="true" outlineLevel="0" collapsed="false"/>
    <row r="1047729" customFormat="false" ht="12.75" hidden="false" customHeight="true" outlineLevel="0" collapsed="false"/>
    <row r="1047730" customFormat="false" ht="12.75" hidden="false" customHeight="true" outlineLevel="0" collapsed="false"/>
    <row r="1047731" customFormat="false" ht="12.75" hidden="false" customHeight="true" outlineLevel="0" collapsed="false"/>
    <row r="1047732" customFormat="false" ht="12.75" hidden="false" customHeight="true" outlineLevel="0" collapsed="false"/>
    <row r="1047733" customFormat="false" ht="12.75" hidden="false" customHeight="true" outlineLevel="0" collapsed="false"/>
    <row r="1047734" customFormat="false" ht="12.75" hidden="false" customHeight="true" outlineLevel="0" collapsed="false"/>
    <row r="1047735" customFormat="false" ht="12.75" hidden="false" customHeight="true" outlineLevel="0" collapsed="false"/>
    <row r="1047736" customFormat="false" ht="12.75" hidden="false" customHeight="true" outlineLevel="0" collapsed="false"/>
    <row r="1047737" customFormat="false" ht="12.75" hidden="false" customHeight="true" outlineLevel="0" collapsed="false"/>
    <row r="1047738" customFormat="false" ht="12.75" hidden="false" customHeight="true" outlineLevel="0" collapsed="false"/>
    <row r="1047739" customFormat="false" ht="12.75" hidden="false" customHeight="true" outlineLevel="0" collapsed="false"/>
    <row r="1047740" customFormat="false" ht="12.75" hidden="false" customHeight="true" outlineLevel="0" collapsed="false"/>
    <row r="1047741" customFormat="false" ht="12.75" hidden="false" customHeight="true" outlineLevel="0" collapsed="false"/>
    <row r="1047742" customFormat="false" ht="12.75" hidden="false" customHeight="true" outlineLevel="0" collapsed="false"/>
    <row r="1047743" customFormat="false" ht="12.75" hidden="false" customHeight="true" outlineLevel="0" collapsed="false"/>
    <row r="1047744" customFormat="false" ht="12.75" hidden="false" customHeight="true" outlineLevel="0" collapsed="false"/>
    <row r="1047745" customFormat="false" ht="12.75" hidden="false" customHeight="true" outlineLevel="0" collapsed="false"/>
    <row r="1047746" customFormat="false" ht="12.75" hidden="false" customHeight="true" outlineLevel="0" collapsed="false"/>
    <row r="1047747" customFormat="false" ht="12.75" hidden="false" customHeight="true" outlineLevel="0" collapsed="false"/>
    <row r="1047748" customFormat="false" ht="12.75" hidden="false" customHeight="true" outlineLevel="0" collapsed="false"/>
    <row r="1047749" customFormat="false" ht="12.75" hidden="false" customHeight="true" outlineLevel="0" collapsed="false"/>
    <row r="1047750" customFormat="false" ht="12.75" hidden="false" customHeight="true" outlineLevel="0" collapsed="false"/>
    <row r="1047751" customFormat="false" ht="12.75" hidden="false" customHeight="true" outlineLevel="0" collapsed="false"/>
    <row r="1047752" customFormat="false" ht="12.75" hidden="false" customHeight="true" outlineLevel="0" collapsed="false"/>
    <row r="1047753" customFormat="false" ht="12.75" hidden="false" customHeight="true" outlineLevel="0" collapsed="false"/>
    <row r="1047754" customFormat="false" ht="12.75" hidden="false" customHeight="true" outlineLevel="0" collapsed="false"/>
    <row r="1047755" customFormat="false" ht="12.75" hidden="false" customHeight="true" outlineLevel="0" collapsed="false"/>
    <row r="1047756" customFormat="false" ht="12.75" hidden="false" customHeight="true" outlineLevel="0" collapsed="false"/>
    <row r="1047757" customFormat="false" ht="12.75" hidden="false" customHeight="true" outlineLevel="0" collapsed="false"/>
    <row r="1047758" customFormat="false" ht="12.75" hidden="false" customHeight="true" outlineLevel="0" collapsed="false"/>
    <row r="1047759" customFormat="false" ht="12.75" hidden="false" customHeight="true" outlineLevel="0" collapsed="false"/>
    <row r="1047760" customFormat="false" ht="12.75" hidden="false" customHeight="true" outlineLevel="0" collapsed="false"/>
    <row r="1047761" customFormat="false" ht="12.75" hidden="false" customHeight="true" outlineLevel="0" collapsed="false"/>
    <row r="1047762" customFormat="false" ht="12.75" hidden="false" customHeight="true" outlineLevel="0" collapsed="false"/>
    <row r="1047763" customFormat="false" ht="12.75" hidden="false" customHeight="true" outlineLevel="0" collapsed="false"/>
    <row r="1047764" customFormat="false" ht="12.75" hidden="false" customHeight="true" outlineLevel="0" collapsed="false"/>
    <row r="1047765" customFormat="false" ht="12.75" hidden="false" customHeight="true" outlineLevel="0" collapsed="false"/>
    <row r="1047766" customFormat="false" ht="12.75" hidden="false" customHeight="true" outlineLevel="0" collapsed="false"/>
    <row r="1047767" customFormat="false" ht="12.75" hidden="false" customHeight="true" outlineLevel="0" collapsed="false"/>
    <row r="1047768" customFormat="false" ht="12.75" hidden="false" customHeight="true" outlineLevel="0" collapsed="false"/>
    <row r="1047769" customFormat="false" ht="12.75" hidden="false" customHeight="true" outlineLevel="0" collapsed="false"/>
    <row r="1047770" customFormat="false" ht="12.75" hidden="false" customHeight="true" outlineLevel="0" collapsed="false"/>
    <row r="1047771" customFormat="false" ht="12.75" hidden="false" customHeight="true" outlineLevel="0" collapsed="false"/>
    <row r="1047772" customFormat="false" ht="12.75" hidden="false" customHeight="true" outlineLevel="0" collapsed="false"/>
    <row r="1047773" customFormat="false" ht="12.75" hidden="false" customHeight="true" outlineLevel="0" collapsed="false"/>
    <row r="1047774" customFormat="false" ht="12.75" hidden="false" customHeight="true" outlineLevel="0" collapsed="false"/>
    <row r="1047775" customFormat="false" ht="12.75" hidden="false" customHeight="true" outlineLevel="0" collapsed="false"/>
    <row r="1047776" customFormat="false" ht="12.75" hidden="false" customHeight="true" outlineLevel="0" collapsed="false"/>
    <row r="1047777" customFormat="false" ht="12.75" hidden="false" customHeight="true" outlineLevel="0" collapsed="false"/>
    <row r="1047778" customFormat="false" ht="12.75" hidden="false" customHeight="true" outlineLevel="0" collapsed="false"/>
    <row r="1047779" customFormat="false" ht="12.75" hidden="false" customHeight="true" outlineLevel="0" collapsed="false"/>
    <row r="1047780" customFormat="false" ht="12.75" hidden="false" customHeight="true" outlineLevel="0" collapsed="false"/>
    <row r="1047781" customFormat="false" ht="12.75" hidden="false" customHeight="true" outlineLevel="0" collapsed="false"/>
    <row r="1047782" customFormat="false" ht="12.75" hidden="false" customHeight="true" outlineLevel="0" collapsed="false"/>
    <row r="1047783" customFormat="false" ht="12.75" hidden="false" customHeight="true" outlineLevel="0" collapsed="false"/>
    <row r="1047784" customFormat="false" ht="12.75" hidden="false" customHeight="true" outlineLevel="0" collapsed="false"/>
    <row r="1047785" customFormat="false" ht="12.75" hidden="false" customHeight="true" outlineLevel="0" collapsed="false"/>
    <row r="1047786" customFormat="false" ht="12.75" hidden="false" customHeight="true" outlineLevel="0" collapsed="false"/>
    <row r="1047787" customFormat="false" ht="12.75" hidden="false" customHeight="true" outlineLevel="0" collapsed="false"/>
    <row r="1047788" customFormat="false" ht="12.75" hidden="false" customHeight="true" outlineLevel="0" collapsed="false"/>
    <row r="1047789" customFormat="false" ht="12.75" hidden="false" customHeight="true" outlineLevel="0" collapsed="false"/>
    <row r="1047790" customFormat="false" ht="12.75" hidden="false" customHeight="true" outlineLevel="0" collapsed="false"/>
    <row r="1047791" customFormat="false" ht="12.75" hidden="false" customHeight="true" outlineLevel="0" collapsed="false"/>
    <row r="1047792" customFormat="false" ht="12.75" hidden="false" customHeight="true" outlineLevel="0" collapsed="false"/>
    <row r="1047793" customFormat="false" ht="12.75" hidden="false" customHeight="true" outlineLevel="0" collapsed="false"/>
    <row r="1047794" customFormat="false" ht="12.75" hidden="false" customHeight="true" outlineLevel="0" collapsed="false"/>
    <row r="1047795" customFormat="false" ht="12.75" hidden="false" customHeight="true" outlineLevel="0" collapsed="false"/>
    <row r="1047796" customFormat="false" ht="12.75" hidden="false" customHeight="true" outlineLevel="0" collapsed="false"/>
    <row r="1047797" customFormat="false" ht="12.75" hidden="false" customHeight="true" outlineLevel="0" collapsed="false"/>
    <row r="1047798" customFormat="false" ht="12.75" hidden="false" customHeight="true" outlineLevel="0" collapsed="false"/>
    <row r="1047799" customFormat="false" ht="12.75" hidden="false" customHeight="true" outlineLevel="0" collapsed="false"/>
    <row r="1047800" customFormat="false" ht="12.75" hidden="false" customHeight="true" outlineLevel="0" collapsed="false"/>
    <row r="1047801" customFormat="false" ht="12.75" hidden="false" customHeight="true" outlineLevel="0" collapsed="false"/>
    <row r="1047802" customFormat="false" ht="12.75" hidden="false" customHeight="true" outlineLevel="0" collapsed="false"/>
    <row r="1047803" customFormat="false" ht="12.75" hidden="false" customHeight="true" outlineLevel="0" collapsed="false"/>
    <row r="1047804" customFormat="false" ht="12.75" hidden="false" customHeight="true" outlineLevel="0" collapsed="false"/>
    <row r="1047805" customFormat="false" ht="12.75" hidden="false" customHeight="true" outlineLevel="0" collapsed="false"/>
    <row r="1047806" customFormat="false" ht="12.75" hidden="false" customHeight="true" outlineLevel="0" collapsed="false"/>
    <row r="1047807" customFormat="false" ht="12.75" hidden="false" customHeight="true" outlineLevel="0" collapsed="false"/>
    <row r="1047808" customFormat="false" ht="12.75" hidden="false" customHeight="true" outlineLevel="0" collapsed="false"/>
    <row r="1047809" customFormat="false" ht="12.75" hidden="false" customHeight="true" outlineLevel="0" collapsed="false"/>
    <row r="1047810" customFormat="false" ht="12.75" hidden="false" customHeight="true" outlineLevel="0" collapsed="false"/>
    <row r="1047811" customFormat="false" ht="12.75" hidden="false" customHeight="true" outlineLevel="0" collapsed="false"/>
    <row r="1047812" customFormat="false" ht="12.75" hidden="false" customHeight="true" outlineLevel="0" collapsed="false"/>
    <row r="1047813" customFormat="false" ht="12.75" hidden="false" customHeight="true" outlineLevel="0" collapsed="false"/>
    <row r="1047814" customFormat="false" ht="12.75" hidden="false" customHeight="true" outlineLevel="0" collapsed="false"/>
    <row r="1047815" customFormat="false" ht="12.75" hidden="false" customHeight="true" outlineLevel="0" collapsed="false"/>
    <row r="1047816" customFormat="false" ht="12.75" hidden="false" customHeight="true" outlineLevel="0" collapsed="false"/>
    <row r="1047817" customFormat="false" ht="12.75" hidden="false" customHeight="true" outlineLevel="0" collapsed="false"/>
    <row r="1047818" customFormat="false" ht="12.75" hidden="false" customHeight="true" outlineLevel="0" collapsed="false"/>
    <row r="1047819" customFormat="false" ht="12.75" hidden="false" customHeight="true" outlineLevel="0" collapsed="false"/>
    <row r="1047820" customFormat="false" ht="12.75" hidden="false" customHeight="true" outlineLevel="0" collapsed="false"/>
    <row r="1047821" customFormat="false" ht="12.75" hidden="false" customHeight="true" outlineLevel="0" collapsed="false"/>
    <row r="1047822" customFormat="false" ht="12.75" hidden="false" customHeight="true" outlineLevel="0" collapsed="false"/>
    <row r="1047823" customFormat="false" ht="12.75" hidden="false" customHeight="true" outlineLevel="0" collapsed="false"/>
    <row r="1047824" customFormat="false" ht="12.75" hidden="false" customHeight="true" outlineLevel="0" collapsed="false"/>
    <row r="1047825" customFormat="false" ht="12.75" hidden="false" customHeight="true" outlineLevel="0" collapsed="false"/>
    <row r="1047826" customFormat="false" ht="12.75" hidden="false" customHeight="true" outlineLevel="0" collapsed="false"/>
    <row r="1047827" customFormat="false" ht="12.75" hidden="false" customHeight="true" outlineLevel="0" collapsed="false"/>
    <row r="1047828" customFormat="false" ht="12.75" hidden="false" customHeight="true" outlineLevel="0" collapsed="false"/>
    <row r="1047829" customFormat="false" ht="12.75" hidden="false" customHeight="true" outlineLevel="0" collapsed="false"/>
    <row r="1047830" customFormat="false" ht="12.75" hidden="false" customHeight="true" outlineLevel="0" collapsed="false"/>
    <row r="1047831" customFormat="false" ht="12.75" hidden="false" customHeight="true" outlineLevel="0" collapsed="false"/>
    <row r="1047832" customFormat="false" ht="12.75" hidden="false" customHeight="true" outlineLevel="0" collapsed="false"/>
    <row r="1047833" customFormat="false" ht="12.75" hidden="false" customHeight="true" outlineLevel="0" collapsed="false"/>
    <row r="1047834" customFormat="false" ht="12.75" hidden="false" customHeight="true" outlineLevel="0" collapsed="false"/>
    <row r="1047835" customFormat="false" ht="12.75" hidden="false" customHeight="true" outlineLevel="0" collapsed="false"/>
    <row r="1047836" customFormat="false" ht="12.75" hidden="false" customHeight="true" outlineLevel="0" collapsed="false"/>
    <row r="1047837" customFormat="false" ht="12.75" hidden="false" customHeight="true" outlineLevel="0" collapsed="false"/>
    <row r="1047838" customFormat="false" ht="12.75" hidden="false" customHeight="true" outlineLevel="0" collapsed="false"/>
    <row r="1047839" customFormat="false" ht="12.75" hidden="false" customHeight="true" outlineLevel="0" collapsed="false"/>
    <row r="1047840" customFormat="false" ht="12.75" hidden="false" customHeight="true" outlineLevel="0" collapsed="false"/>
    <row r="1047841" customFormat="false" ht="12.75" hidden="false" customHeight="true" outlineLevel="0" collapsed="false"/>
    <row r="1047842" customFormat="false" ht="12.75" hidden="false" customHeight="true" outlineLevel="0" collapsed="false"/>
    <row r="1047843" customFormat="false" ht="12.75" hidden="false" customHeight="true" outlineLevel="0" collapsed="false"/>
    <row r="1047844" customFormat="false" ht="12.75" hidden="false" customHeight="true" outlineLevel="0" collapsed="false"/>
    <row r="1047845" customFormat="false" ht="12.75" hidden="false" customHeight="true" outlineLevel="0" collapsed="false"/>
    <row r="1047846" customFormat="false" ht="12.75" hidden="false" customHeight="true" outlineLevel="0" collapsed="false"/>
    <row r="1047847" customFormat="false" ht="12.75" hidden="false" customHeight="true" outlineLevel="0" collapsed="false"/>
    <row r="1047848" customFormat="false" ht="12.75" hidden="false" customHeight="true" outlineLevel="0" collapsed="false"/>
    <row r="1047849" customFormat="false" ht="12.75" hidden="false" customHeight="true" outlineLevel="0" collapsed="false"/>
    <row r="1047850" customFormat="false" ht="12.75" hidden="false" customHeight="true" outlineLevel="0" collapsed="false"/>
    <row r="1047851" customFormat="false" ht="12.75" hidden="false" customHeight="true" outlineLevel="0" collapsed="false"/>
    <row r="1047852" customFormat="false" ht="12.75" hidden="false" customHeight="true" outlineLevel="0" collapsed="false"/>
    <row r="1047853" customFormat="false" ht="12.75" hidden="false" customHeight="true" outlineLevel="0" collapsed="false"/>
    <row r="1047854" customFormat="false" ht="12.75" hidden="false" customHeight="true" outlineLevel="0" collapsed="false"/>
    <row r="1047855" customFormat="false" ht="12.75" hidden="false" customHeight="true" outlineLevel="0" collapsed="false"/>
    <row r="1047856" customFormat="false" ht="12.75" hidden="false" customHeight="true" outlineLevel="0" collapsed="false"/>
    <row r="1047857" customFormat="false" ht="12.75" hidden="false" customHeight="true" outlineLevel="0" collapsed="false"/>
    <row r="1047858" customFormat="false" ht="12.75" hidden="false" customHeight="true" outlineLevel="0" collapsed="false"/>
    <row r="1047859" customFormat="false" ht="12.75" hidden="false" customHeight="true" outlineLevel="0" collapsed="false"/>
    <row r="1047860" customFormat="false" ht="12.75" hidden="false" customHeight="true" outlineLevel="0" collapsed="false"/>
    <row r="1047861" customFormat="false" ht="12.75" hidden="false" customHeight="true" outlineLevel="0" collapsed="false"/>
    <row r="1047862" customFormat="false" ht="12.75" hidden="false" customHeight="true" outlineLevel="0" collapsed="false"/>
    <row r="1047863" customFormat="false" ht="12.75" hidden="false" customHeight="true" outlineLevel="0" collapsed="false"/>
    <row r="1047864" customFormat="false" ht="12.75" hidden="false" customHeight="true" outlineLevel="0" collapsed="false"/>
    <row r="1047865" customFormat="false" ht="12.75" hidden="false" customHeight="true" outlineLevel="0" collapsed="false"/>
    <row r="1047866" customFormat="false" ht="12.75" hidden="false" customHeight="true" outlineLevel="0" collapsed="false"/>
    <row r="1047867" customFormat="false" ht="12.75" hidden="false" customHeight="true" outlineLevel="0" collapsed="false"/>
    <row r="1047868" customFormat="false" ht="12.75" hidden="false" customHeight="true" outlineLevel="0" collapsed="false"/>
    <row r="1047869" customFormat="false" ht="12.75" hidden="false" customHeight="true" outlineLevel="0" collapsed="false"/>
    <row r="1047870" customFormat="false" ht="12.75" hidden="false" customHeight="true" outlineLevel="0" collapsed="false"/>
    <row r="1047871" customFormat="false" ht="12.75" hidden="false" customHeight="true" outlineLevel="0" collapsed="false"/>
    <row r="1047872" customFormat="false" ht="12.75" hidden="false" customHeight="true" outlineLevel="0" collapsed="false"/>
    <row r="1047873" customFormat="false" ht="12.75" hidden="false" customHeight="true" outlineLevel="0" collapsed="false"/>
    <row r="1047874" customFormat="false" ht="12.75" hidden="false" customHeight="true" outlineLevel="0" collapsed="false"/>
    <row r="1047875" customFormat="false" ht="12.75" hidden="false" customHeight="true" outlineLevel="0" collapsed="false"/>
    <row r="1047876" customFormat="false" ht="12.75" hidden="false" customHeight="true" outlineLevel="0" collapsed="false"/>
    <row r="1047877" customFormat="false" ht="12.75" hidden="false" customHeight="true" outlineLevel="0" collapsed="false"/>
    <row r="1047878" customFormat="false" ht="12.75" hidden="false" customHeight="true" outlineLevel="0" collapsed="false"/>
    <row r="1047879" customFormat="false" ht="12.75" hidden="false" customHeight="true" outlineLevel="0" collapsed="false"/>
    <row r="1047880" customFormat="false" ht="12.75" hidden="false" customHeight="true" outlineLevel="0" collapsed="false"/>
    <row r="1047881" customFormat="false" ht="12.75" hidden="false" customHeight="true" outlineLevel="0" collapsed="false"/>
    <row r="1047882" customFormat="false" ht="12.75" hidden="false" customHeight="true" outlineLevel="0" collapsed="false"/>
    <row r="1047883" customFormat="false" ht="12.75" hidden="false" customHeight="true" outlineLevel="0" collapsed="false"/>
    <row r="1047884" customFormat="false" ht="12.75" hidden="false" customHeight="true" outlineLevel="0" collapsed="false"/>
    <row r="1047885" customFormat="false" ht="12.75" hidden="false" customHeight="true" outlineLevel="0" collapsed="false"/>
    <row r="1047886" customFormat="false" ht="12.75" hidden="false" customHeight="true" outlineLevel="0" collapsed="false"/>
    <row r="1047887" customFormat="false" ht="12.75" hidden="false" customHeight="true" outlineLevel="0" collapsed="false"/>
    <row r="1047888" customFormat="false" ht="12.75" hidden="false" customHeight="true" outlineLevel="0" collapsed="false"/>
    <row r="1047889" customFormat="false" ht="12.75" hidden="false" customHeight="true" outlineLevel="0" collapsed="false"/>
    <row r="1047890" customFormat="false" ht="12.75" hidden="false" customHeight="true" outlineLevel="0" collapsed="false"/>
    <row r="1047891" customFormat="false" ht="12.75" hidden="false" customHeight="true" outlineLevel="0" collapsed="false"/>
    <row r="1047892" customFormat="false" ht="12.75" hidden="false" customHeight="true" outlineLevel="0" collapsed="false"/>
    <row r="1047893" customFormat="false" ht="12.75" hidden="false" customHeight="true" outlineLevel="0" collapsed="false"/>
    <row r="1047894" customFormat="false" ht="12.75" hidden="false" customHeight="true" outlineLevel="0" collapsed="false"/>
    <row r="1047895" customFormat="false" ht="12.75" hidden="false" customHeight="true" outlineLevel="0" collapsed="false"/>
    <row r="1047896" customFormat="false" ht="12.75" hidden="false" customHeight="true" outlineLevel="0" collapsed="false"/>
    <row r="1047897" customFormat="false" ht="12.75" hidden="false" customHeight="true" outlineLevel="0" collapsed="false"/>
    <row r="1047898" customFormat="false" ht="12.75" hidden="false" customHeight="true" outlineLevel="0" collapsed="false"/>
    <row r="1047899" customFormat="false" ht="12.75" hidden="false" customHeight="true" outlineLevel="0" collapsed="false"/>
    <row r="1047900" customFormat="false" ht="12.75" hidden="false" customHeight="true" outlineLevel="0" collapsed="false"/>
    <row r="1047901" customFormat="false" ht="12.75" hidden="false" customHeight="true" outlineLevel="0" collapsed="false"/>
    <row r="1047902" customFormat="false" ht="12.75" hidden="false" customHeight="true" outlineLevel="0" collapsed="false"/>
    <row r="1047903" customFormat="false" ht="12.75" hidden="false" customHeight="true" outlineLevel="0" collapsed="false"/>
    <row r="1047904" customFormat="false" ht="12.75" hidden="false" customHeight="true" outlineLevel="0" collapsed="false"/>
    <row r="1047905" customFormat="false" ht="12.75" hidden="false" customHeight="true" outlineLevel="0" collapsed="false"/>
    <row r="1047906" customFormat="false" ht="12.75" hidden="false" customHeight="true" outlineLevel="0" collapsed="false"/>
    <row r="1047907" customFormat="false" ht="12.75" hidden="false" customHeight="true" outlineLevel="0" collapsed="false"/>
    <row r="1047908" customFormat="false" ht="12.75" hidden="false" customHeight="true" outlineLevel="0" collapsed="false"/>
    <row r="1047909" customFormat="false" ht="12.75" hidden="false" customHeight="true" outlineLevel="0" collapsed="false"/>
    <row r="1047910" customFormat="false" ht="12.75" hidden="false" customHeight="true" outlineLevel="0" collapsed="false"/>
    <row r="1047911" customFormat="false" ht="12.75" hidden="false" customHeight="true" outlineLevel="0" collapsed="false"/>
    <row r="1047912" customFormat="false" ht="12.75" hidden="false" customHeight="true" outlineLevel="0" collapsed="false"/>
    <row r="1047913" customFormat="false" ht="12.75" hidden="false" customHeight="true" outlineLevel="0" collapsed="false"/>
    <row r="1047914" customFormat="false" ht="12.75" hidden="false" customHeight="true" outlineLevel="0" collapsed="false"/>
    <row r="1047915" customFormat="false" ht="12.75" hidden="false" customHeight="true" outlineLevel="0" collapsed="false"/>
    <row r="1047916" customFormat="false" ht="12.75" hidden="false" customHeight="true" outlineLevel="0" collapsed="false"/>
    <row r="1047917" customFormat="false" ht="12.75" hidden="false" customHeight="true" outlineLevel="0" collapsed="false"/>
    <row r="1047918" customFormat="false" ht="12.75" hidden="false" customHeight="true" outlineLevel="0" collapsed="false"/>
    <row r="1047919" customFormat="false" ht="12.75" hidden="false" customHeight="true" outlineLevel="0" collapsed="false"/>
    <row r="1047920" customFormat="false" ht="12.75" hidden="false" customHeight="true" outlineLevel="0" collapsed="false"/>
    <row r="1047921" customFormat="false" ht="12.75" hidden="false" customHeight="true" outlineLevel="0" collapsed="false"/>
    <row r="1047922" customFormat="false" ht="12.75" hidden="false" customHeight="true" outlineLevel="0" collapsed="false"/>
    <row r="1047923" customFormat="false" ht="12.75" hidden="false" customHeight="true" outlineLevel="0" collapsed="false"/>
    <row r="1047924" customFormat="false" ht="12.75" hidden="false" customHeight="true" outlineLevel="0" collapsed="false"/>
    <row r="1047925" customFormat="false" ht="12.75" hidden="false" customHeight="true" outlineLevel="0" collapsed="false"/>
    <row r="1047926" customFormat="false" ht="12.75" hidden="false" customHeight="true" outlineLevel="0" collapsed="false"/>
    <row r="1047927" customFormat="false" ht="12.75" hidden="false" customHeight="true" outlineLevel="0" collapsed="false"/>
    <row r="1047928" customFormat="false" ht="12.75" hidden="false" customHeight="true" outlineLevel="0" collapsed="false"/>
    <row r="1047929" customFormat="false" ht="12.75" hidden="false" customHeight="true" outlineLevel="0" collapsed="false"/>
    <row r="1047930" customFormat="false" ht="12.75" hidden="false" customHeight="true" outlineLevel="0" collapsed="false"/>
    <row r="1047931" customFormat="false" ht="12.75" hidden="false" customHeight="true" outlineLevel="0" collapsed="false"/>
    <row r="1047932" customFormat="false" ht="12.75" hidden="false" customHeight="true" outlineLevel="0" collapsed="false"/>
    <row r="1047933" customFormat="false" ht="12.75" hidden="false" customHeight="true" outlineLevel="0" collapsed="false"/>
    <row r="1047934" customFormat="false" ht="12.75" hidden="false" customHeight="true" outlineLevel="0" collapsed="false"/>
    <row r="1047935" customFormat="false" ht="12.75" hidden="false" customHeight="true" outlineLevel="0" collapsed="false"/>
    <row r="1047936" customFormat="false" ht="12.75" hidden="false" customHeight="true" outlineLevel="0" collapsed="false"/>
    <row r="1047937" customFormat="false" ht="12.75" hidden="false" customHeight="true" outlineLevel="0" collapsed="false"/>
    <row r="1047938" customFormat="false" ht="12.75" hidden="false" customHeight="true" outlineLevel="0" collapsed="false"/>
    <row r="1047939" customFormat="false" ht="12.75" hidden="false" customHeight="true" outlineLevel="0" collapsed="false"/>
    <row r="1047940" customFormat="false" ht="12.75" hidden="false" customHeight="true" outlineLevel="0" collapsed="false"/>
    <row r="1047941" customFormat="false" ht="12.75" hidden="false" customHeight="true" outlineLevel="0" collapsed="false"/>
    <row r="1047942" customFormat="false" ht="12.75" hidden="false" customHeight="true" outlineLevel="0" collapsed="false"/>
    <row r="1047943" customFormat="false" ht="12.75" hidden="false" customHeight="true" outlineLevel="0" collapsed="false"/>
    <row r="1047944" customFormat="false" ht="12.75" hidden="false" customHeight="true" outlineLevel="0" collapsed="false"/>
    <row r="1047945" customFormat="false" ht="12.75" hidden="false" customHeight="true" outlineLevel="0" collapsed="false"/>
    <row r="1047946" customFormat="false" ht="12.75" hidden="false" customHeight="true" outlineLevel="0" collapsed="false"/>
    <row r="1047947" customFormat="false" ht="12.75" hidden="false" customHeight="true" outlineLevel="0" collapsed="false"/>
    <row r="1047948" customFormat="false" ht="12.75" hidden="false" customHeight="true" outlineLevel="0" collapsed="false"/>
    <row r="1047949" customFormat="false" ht="12.75" hidden="false" customHeight="true" outlineLevel="0" collapsed="false"/>
    <row r="1047950" customFormat="false" ht="12.75" hidden="false" customHeight="true" outlineLevel="0" collapsed="false"/>
    <row r="1047951" customFormat="false" ht="12.75" hidden="false" customHeight="true" outlineLevel="0" collapsed="false"/>
    <row r="1047952" customFormat="false" ht="12.75" hidden="false" customHeight="true" outlineLevel="0" collapsed="false"/>
    <row r="1047953" customFormat="false" ht="12.75" hidden="false" customHeight="true" outlineLevel="0" collapsed="false"/>
    <row r="1047954" customFormat="false" ht="12.75" hidden="false" customHeight="true" outlineLevel="0" collapsed="false"/>
    <row r="1047955" customFormat="false" ht="12.75" hidden="false" customHeight="true" outlineLevel="0" collapsed="false"/>
    <row r="1047956" customFormat="false" ht="12.75" hidden="false" customHeight="true" outlineLevel="0" collapsed="false"/>
    <row r="1047957" customFormat="false" ht="12.75" hidden="false" customHeight="true" outlineLevel="0" collapsed="false"/>
    <row r="1047958" customFormat="false" ht="12.75" hidden="false" customHeight="true" outlineLevel="0" collapsed="false"/>
    <row r="1047959" customFormat="false" ht="12.75" hidden="false" customHeight="true" outlineLevel="0" collapsed="false"/>
    <row r="1047960" customFormat="false" ht="12.75" hidden="false" customHeight="true" outlineLevel="0" collapsed="false"/>
    <row r="1047961" customFormat="false" ht="12.75" hidden="false" customHeight="true" outlineLevel="0" collapsed="false"/>
    <row r="1047962" customFormat="false" ht="12.75" hidden="false" customHeight="true" outlineLevel="0" collapsed="false"/>
    <row r="1047963" customFormat="false" ht="12.75" hidden="false" customHeight="true" outlineLevel="0" collapsed="false"/>
    <row r="1047964" customFormat="false" ht="12.75" hidden="false" customHeight="true" outlineLevel="0" collapsed="false"/>
    <row r="1047965" customFormat="false" ht="12.75" hidden="false" customHeight="true" outlineLevel="0" collapsed="false"/>
    <row r="1047966" customFormat="false" ht="12.75" hidden="false" customHeight="true" outlineLevel="0" collapsed="false"/>
    <row r="1047967" customFormat="false" ht="12.75" hidden="false" customHeight="true" outlineLevel="0" collapsed="false"/>
    <row r="1047968" customFormat="false" ht="12.75" hidden="false" customHeight="true" outlineLevel="0" collapsed="false"/>
    <row r="1047969" customFormat="false" ht="12.75" hidden="false" customHeight="true" outlineLevel="0" collapsed="false"/>
    <row r="1047970" customFormat="false" ht="12.75" hidden="false" customHeight="true" outlineLevel="0" collapsed="false"/>
    <row r="1047971" customFormat="false" ht="12.75" hidden="false" customHeight="true" outlineLevel="0" collapsed="false"/>
    <row r="1047972" customFormat="false" ht="12.75" hidden="false" customHeight="true" outlineLevel="0" collapsed="false"/>
    <row r="1047973" customFormat="false" ht="12.75" hidden="false" customHeight="true" outlineLevel="0" collapsed="false"/>
    <row r="1047974" customFormat="false" ht="12.75" hidden="false" customHeight="true" outlineLevel="0" collapsed="false"/>
    <row r="1047975" customFormat="false" ht="12.75" hidden="false" customHeight="true" outlineLevel="0" collapsed="false"/>
    <row r="1047976" customFormat="false" ht="12.75" hidden="false" customHeight="true" outlineLevel="0" collapsed="false"/>
    <row r="1047977" customFormat="false" ht="12.75" hidden="false" customHeight="true" outlineLevel="0" collapsed="false"/>
    <row r="1047978" customFormat="false" ht="12.75" hidden="false" customHeight="true" outlineLevel="0" collapsed="false"/>
    <row r="1047979" customFormat="false" ht="12.75" hidden="false" customHeight="true" outlineLevel="0" collapsed="false"/>
    <row r="1047980" customFormat="false" ht="12.75" hidden="false" customHeight="true" outlineLevel="0" collapsed="false"/>
    <row r="1047981" customFormat="false" ht="12.75" hidden="false" customHeight="true" outlineLevel="0" collapsed="false"/>
    <row r="1047982" customFormat="false" ht="12.75" hidden="false" customHeight="true" outlineLevel="0" collapsed="false"/>
    <row r="1047983" customFormat="false" ht="12.75" hidden="false" customHeight="true" outlineLevel="0" collapsed="false"/>
    <row r="1047984" customFormat="false" ht="12.75" hidden="false" customHeight="true" outlineLevel="0" collapsed="false"/>
    <row r="1047985" customFormat="false" ht="12.75" hidden="false" customHeight="true" outlineLevel="0" collapsed="false"/>
    <row r="1047986" customFormat="false" ht="12.75" hidden="false" customHeight="true" outlineLevel="0" collapsed="false"/>
    <row r="1047987" customFormat="false" ht="12.75" hidden="false" customHeight="true" outlineLevel="0" collapsed="false"/>
    <row r="1047988" customFormat="false" ht="12.75" hidden="false" customHeight="true" outlineLevel="0" collapsed="false"/>
    <row r="1047989" customFormat="false" ht="12.75" hidden="false" customHeight="true" outlineLevel="0" collapsed="false"/>
    <row r="1047990" customFormat="false" ht="12.75" hidden="false" customHeight="true" outlineLevel="0" collapsed="false"/>
    <row r="1047991" customFormat="false" ht="12.75" hidden="false" customHeight="true" outlineLevel="0" collapsed="false"/>
    <row r="1047992" customFormat="false" ht="12.75" hidden="false" customHeight="true" outlineLevel="0" collapsed="false"/>
    <row r="1047993" customFormat="false" ht="12.75" hidden="false" customHeight="true" outlineLevel="0" collapsed="false"/>
    <row r="1047994" customFormat="false" ht="12.75" hidden="false" customHeight="true" outlineLevel="0" collapsed="false"/>
    <row r="1047995" customFormat="false" ht="12.75" hidden="false" customHeight="true" outlineLevel="0" collapsed="false"/>
    <row r="1047996" customFormat="false" ht="12.75" hidden="false" customHeight="true" outlineLevel="0" collapsed="false"/>
    <row r="1047997" customFormat="false" ht="12.75" hidden="false" customHeight="true" outlineLevel="0" collapsed="false"/>
    <row r="1047998" customFormat="false" ht="12.75" hidden="false" customHeight="true" outlineLevel="0" collapsed="false"/>
    <row r="1047999" customFormat="false" ht="12.75" hidden="false" customHeight="true" outlineLevel="0" collapsed="false"/>
    <row r="1048000" customFormat="false" ht="12.75" hidden="false" customHeight="true" outlineLevel="0" collapsed="false"/>
    <row r="1048001" customFormat="false" ht="12.75" hidden="false" customHeight="true" outlineLevel="0" collapsed="false"/>
    <row r="1048002" customFormat="false" ht="12.75" hidden="false" customHeight="true" outlineLevel="0" collapsed="false"/>
    <row r="1048003" customFormat="false" ht="12.75" hidden="false" customHeight="true" outlineLevel="0" collapsed="false"/>
    <row r="1048004" customFormat="false" ht="12.75" hidden="false" customHeight="true" outlineLevel="0" collapsed="false"/>
    <row r="1048005" customFormat="false" ht="12.75" hidden="false" customHeight="true" outlineLevel="0" collapsed="false"/>
    <row r="1048006" customFormat="false" ht="12.75" hidden="false" customHeight="true" outlineLevel="0" collapsed="false"/>
    <row r="1048007" customFormat="false" ht="12.75" hidden="false" customHeight="true" outlineLevel="0" collapsed="false"/>
    <row r="1048008" customFormat="false" ht="12.75" hidden="false" customHeight="true" outlineLevel="0" collapsed="false"/>
    <row r="1048009" customFormat="false" ht="12.75" hidden="false" customHeight="true" outlineLevel="0" collapsed="false"/>
    <row r="1048010" customFormat="false" ht="12.75" hidden="false" customHeight="true" outlineLevel="0" collapsed="false"/>
    <row r="1048011" customFormat="false" ht="12.75" hidden="false" customHeight="true" outlineLevel="0" collapsed="false"/>
    <row r="1048012" customFormat="false" ht="12.75" hidden="false" customHeight="true" outlineLevel="0" collapsed="false"/>
    <row r="1048013" customFormat="false" ht="12.75" hidden="false" customHeight="true" outlineLevel="0" collapsed="false"/>
    <row r="1048014" customFormat="false" ht="12.75" hidden="false" customHeight="true" outlineLevel="0" collapsed="false"/>
    <row r="1048015" customFormat="false" ht="12.75" hidden="false" customHeight="true" outlineLevel="0" collapsed="false"/>
    <row r="1048016" customFormat="false" ht="12.75" hidden="false" customHeight="true" outlineLevel="0" collapsed="false"/>
    <row r="1048017" customFormat="false" ht="12.75" hidden="false" customHeight="true" outlineLevel="0" collapsed="false"/>
    <row r="1048018" customFormat="false" ht="12.75" hidden="false" customHeight="true" outlineLevel="0" collapsed="false"/>
    <row r="1048019" customFormat="false" ht="12.75" hidden="false" customHeight="true" outlineLevel="0" collapsed="false"/>
    <row r="1048020" customFormat="false" ht="12.75" hidden="false" customHeight="true" outlineLevel="0" collapsed="false"/>
    <row r="1048021" customFormat="false" ht="12.75" hidden="false" customHeight="true" outlineLevel="0" collapsed="false"/>
    <row r="1048022" customFormat="false" ht="12.75" hidden="false" customHeight="true" outlineLevel="0" collapsed="false"/>
    <row r="1048023" customFormat="false" ht="12.75" hidden="false" customHeight="true" outlineLevel="0" collapsed="false"/>
    <row r="1048024" customFormat="false" ht="12.75" hidden="false" customHeight="true" outlineLevel="0" collapsed="false"/>
    <row r="1048025" customFormat="false" ht="12.75" hidden="false" customHeight="true" outlineLevel="0" collapsed="false"/>
    <row r="1048026" customFormat="false" ht="12.75" hidden="false" customHeight="true" outlineLevel="0" collapsed="false"/>
    <row r="1048027" customFormat="false" ht="12.75" hidden="false" customHeight="true" outlineLevel="0" collapsed="false"/>
    <row r="1048028" customFormat="false" ht="12.75" hidden="false" customHeight="true" outlineLevel="0" collapsed="false"/>
    <row r="1048029" customFormat="false" ht="12.75" hidden="false" customHeight="true" outlineLevel="0" collapsed="false"/>
    <row r="1048030" customFormat="false" ht="12.75" hidden="false" customHeight="true" outlineLevel="0" collapsed="false"/>
    <row r="1048031" customFormat="false" ht="12.75" hidden="false" customHeight="true" outlineLevel="0" collapsed="false"/>
    <row r="1048032" customFormat="false" ht="12.75" hidden="false" customHeight="true" outlineLevel="0" collapsed="false"/>
    <row r="1048033" customFormat="false" ht="12.75" hidden="false" customHeight="true" outlineLevel="0" collapsed="false"/>
    <row r="1048034" customFormat="false" ht="12.75" hidden="false" customHeight="true" outlineLevel="0" collapsed="false"/>
    <row r="1048035" customFormat="false" ht="12.75" hidden="false" customHeight="true" outlineLevel="0" collapsed="false"/>
    <row r="1048036" customFormat="false" ht="12.75" hidden="false" customHeight="true" outlineLevel="0" collapsed="false"/>
    <row r="1048037" customFormat="false" ht="12.75" hidden="false" customHeight="true" outlineLevel="0" collapsed="false"/>
    <row r="1048038" customFormat="false" ht="12.75" hidden="false" customHeight="true" outlineLevel="0" collapsed="false"/>
    <row r="1048039" customFormat="false" ht="12.75" hidden="false" customHeight="true" outlineLevel="0" collapsed="false"/>
    <row r="1048040" customFormat="false" ht="12.75" hidden="false" customHeight="true" outlineLevel="0" collapsed="false"/>
    <row r="1048041" customFormat="false" ht="12.75" hidden="false" customHeight="true" outlineLevel="0" collapsed="false"/>
    <row r="1048042" customFormat="false" ht="12.75" hidden="false" customHeight="true" outlineLevel="0" collapsed="false"/>
    <row r="1048043" customFormat="false" ht="12.75" hidden="false" customHeight="true" outlineLevel="0" collapsed="false"/>
    <row r="1048044" customFormat="false" ht="12.75" hidden="false" customHeight="true" outlineLevel="0" collapsed="false"/>
    <row r="1048045" customFormat="false" ht="12.75" hidden="false" customHeight="true" outlineLevel="0" collapsed="false"/>
    <row r="1048046" customFormat="false" ht="12.75" hidden="false" customHeight="true" outlineLevel="0" collapsed="false"/>
    <row r="1048047" customFormat="false" ht="12.75" hidden="false" customHeight="true" outlineLevel="0" collapsed="false"/>
    <row r="1048048" customFormat="false" ht="12.75" hidden="false" customHeight="true" outlineLevel="0" collapsed="false"/>
    <row r="1048049" customFormat="false" ht="12.75" hidden="false" customHeight="true" outlineLevel="0" collapsed="false"/>
    <row r="1048050" customFormat="false" ht="12.75" hidden="false" customHeight="true" outlineLevel="0" collapsed="false"/>
    <row r="1048051" customFormat="false" ht="12.75" hidden="false" customHeight="true" outlineLevel="0" collapsed="false"/>
    <row r="1048052" customFormat="false" ht="12.75" hidden="false" customHeight="true" outlineLevel="0" collapsed="false"/>
    <row r="1048053" customFormat="false" ht="12.75" hidden="false" customHeight="true" outlineLevel="0" collapsed="false"/>
    <row r="1048054" customFormat="false" ht="12.75" hidden="false" customHeight="true" outlineLevel="0" collapsed="false"/>
    <row r="1048055" customFormat="false" ht="12.75" hidden="false" customHeight="true" outlineLevel="0" collapsed="false"/>
    <row r="1048056" customFormat="false" ht="12.75" hidden="false" customHeight="true" outlineLevel="0" collapsed="false"/>
    <row r="1048057" customFormat="false" ht="12.75" hidden="false" customHeight="true" outlineLevel="0" collapsed="false"/>
    <row r="1048058" customFormat="false" ht="12.75" hidden="false" customHeight="true" outlineLevel="0" collapsed="false"/>
    <row r="1048059" customFormat="false" ht="12.75" hidden="false" customHeight="true" outlineLevel="0" collapsed="false"/>
    <row r="1048060" customFormat="false" ht="12.75" hidden="false" customHeight="true" outlineLevel="0" collapsed="false"/>
    <row r="1048061" customFormat="false" ht="12.75" hidden="false" customHeight="true" outlineLevel="0" collapsed="false"/>
    <row r="1048062" customFormat="false" ht="12.75" hidden="false" customHeight="true" outlineLevel="0" collapsed="false"/>
    <row r="1048063" customFormat="false" ht="12.75" hidden="false" customHeight="true" outlineLevel="0" collapsed="false"/>
    <row r="1048064" customFormat="false" ht="12.75" hidden="false" customHeight="true" outlineLevel="0" collapsed="false"/>
    <row r="1048065" customFormat="false" ht="12.75" hidden="false" customHeight="true" outlineLevel="0" collapsed="false"/>
    <row r="1048066" customFormat="false" ht="12.75" hidden="false" customHeight="true" outlineLevel="0" collapsed="false"/>
    <row r="1048067" customFormat="false" ht="12.75" hidden="false" customHeight="true" outlineLevel="0" collapsed="false"/>
    <row r="1048068" customFormat="false" ht="12.75" hidden="false" customHeight="true" outlineLevel="0" collapsed="false"/>
    <row r="1048069" customFormat="false" ht="12.75" hidden="false" customHeight="true" outlineLevel="0" collapsed="false"/>
    <row r="1048070" customFormat="false" ht="12.75" hidden="false" customHeight="true" outlineLevel="0" collapsed="false"/>
    <row r="1048071" customFormat="false" ht="12.75" hidden="false" customHeight="true" outlineLevel="0" collapsed="false"/>
    <row r="1048072" customFormat="false" ht="12.75" hidden="false" customHeight="true" outlineLevel="0" collapsed="false"/>
    <row r="1048073" customFormat="false" ht="12.75" hidden="false" customHeight="true" outlineLevel="0" collapsed="false"/>
    <row r="1048074" customFormat="false" ht="12.75" hidden="false" customHeight="true" outlineLevel="0" collapsed="false"/>
    <row r="1048075" customFormat="false" ht="12.75" hidden="false" customHeight="true" outlineLevel="0" collapsed="false"/>
    <row r="1048076" customFormat="false" ht="12.75" hidden="false" customHeight="true" outlineLevel="0" collapsed="false"/>
    <row r="1048077" customFormat="false" ht="12.75" hidden="false" customHeight="true" outlineLevel="0" collapsed="false"/>
    <row r="1048078" customFormat="false" ht="12.75" hidden="false" customHeight="true" outlineLevel="0" collapsed="false"/>
    <row r="1048079" customFormat="false" ht="12.75" hidden="false" customHeight="true" outlineLevel="0" collapsed="false"/>
    <row r="1048080" customFormat="false" ht="12.75" hidden="false" customHeight="true" outlineLevel="0" collapsed="false"/>
    <row r="1048081" customFormat="false" ht="12.75" hidden="false" customHeight="true" outlineLevel="0" collapsed="false"/>
    <row r="1048082" customFormat="false" ht="12.75" hidden="false" customHeight="true" outlineLevel="0" collapsed="false"/>
    <row r="1048083" customFormat="false" ht="12.75" hidden="false" customHeight="true" outlineLevel="0" collapsed="false"/>
    <row r="1048084" customFormat="false" ht="12.75" hidden="false" customHeight="true" outlineLevel="0" collapsed="false"/>
    <row r="1048085" customFormat="false" ht="12.75" hidden="false" customHeight="true" outlineLevel="0" collapsed="false"/>
    <row r="1048086" customFormat="false" ht="12.75" hidden="false" customHeight="true" outlineLevel="0" collapsed="false"/>
    <row r="1048087" customFormat="false" ht="12.75" hidden="false" customHeight="true" outlineLevel="0" collapsed="false"/>
    <row r="1048088" customFormat="false" ht="12.75" hidden="false" customHeight="true" outlineLevel="0" collapsed="false"/>
    <row r="1048089" customFormat="false" ht="12.75" hidden="false" customHeight="true" outlineLevel="0" collapsed="false"/>
    <row r="1048090" customFormat="false" ht="12.75" hidden="false" customHeight="true" outlineLevel="0" collapsed="false"/>
    <row r="1048091" customFormat="false" ht="12.75" hidden="false" customHeight="true" outlineLevel="0" collapsed="false"/>
    <row r="1048092" customFormat="false" ht="12.75" hidden="false" customHeight="true" outlineLevel="0" collapsed="false"/>
    <row r="1048093" customFormat="false" ht="12.75" hidden="false" customHeight="true" outlineLevel="0" collapsed="false"/>
    <row r="1048094" customFormat="false" ht="12.75" hidden="false" customHeight="true" outlineLevel="0" collapsed="false"/>
    <row r="1048095" customFormat="false" ht="12.75" hidden="false" customHeight="true" outlineLevel="0" collapsed="false"/>
    <row r="1048096" customFormat="false" ht="12.75" hidden="false" customHeight="true" outlineLevel="0" collapsed="false"/>
    <row r="1048097" customFormat="false" ht="12.75" hidden="false" customHeight="true" outlineLevel="0" collapsed="false"/>
    <row r="1048098" customFormat="false" ht="12.75" hidden="false" customHeight="true" outlineLevel="0" collapsed="false"/>
    <row r="1048099" customFormat="false" ht="12.75" hidden="false" customHeight="true" outlineLevel="0" collapsed="false"/>
    <row r="1048100" customFormat="false" ht="12.75" hidden="false" customHeight="true" outlineLevel="0" collapsed="false"/>
    <row r="1048101" customFormat="false" ht="12.75" hidden="false" customHeight="true" outlineLevel="0" collapsed="false"/>
    <row r="1048102" customFormat="false" ht="12.75" hidden="false" customHeight="true" outlineLevel="0" collapsed="false"/>
    <row r="1048103" customFormat="false" ht="12.75" hidden="false" customHeight="true" outlineLevel="0" collapsed="false"/>
    <row r="1048104" customFormat="false" ht="12.75" hidden="false" customHeight="true" outlineLevel="0" collapsed="false"/>
    <row r="1048105" customFormat="false" ht="12.75" hidden="false" customHeight="true" outlineLevel="0" collapsed="false"/>
    <row r="1048106" customFormat="false" ht="12.75" hidden="false" customHeight="true" outlineLevel="0" collapsed="false"/>
    <row r="1048107" customFormat="false" ht="12.75" hidden="false" customHeight="true" outlineLevel="0" collapsed="false"/>
    <row r="1048108" customFormat="false" ht="12.75" hidden="false" customHeight="true" outlineLevel="0" collapsed="false"/>
    <row r="1048109" customFormat="false" ht="12.75" hidden="false" customHeight="true" outlineLevel="0" collapsed="false"/>
    <row r="1048110" customFormat="false" ht="12.75" hidden="false" customHeight="true" outlineLevel="0" collapsed="false"/>
    <row r="1048111" customFormat="false" ht="12.75" hidden="false" customHeight="true" outlineLevel="0" collapsed="false"/>
    <row r="1048112" customFormat="false" ht="12.75" hidden="false" customHeight="true" outlineLevel="0" collapsed="false"/>
    <row r="1048113" customFormat="false" ht="12.75" hidden="false" customHeight="true" outlineLevel="0" collapsed="false"/>
    <row r="1048114" customFormat="false" ht="12.75" hidden="false" customHeight="true" outlineLevel="0" collapsed="false"/>
    <row r="1048115" customFormat="false" ht="12.75" hidden="false" customHeight="true" outlineLevel="0" collapsed="false"/>
    <row r="1048116" customFormat="false" ht="12.75" hidden="false" customHeight="true" outlineLevel="0" collapsed="false"/>
    <row r="1048117" customFormat="false" ht="12.75" hidden="false" customHeight="true" outlineLevel="0" collapsed="false"/>
    <row r="1048118" customFormat="false" ht="12.75" hidden="false" customHeight="true" outlineLevel="0" collapsed="false"/>
    <row r="1048119" customFormat="false" ht="12.75" hidden="false" customHeight="true" outlineLevel="0" collapsed="false"/>
    <row r="1048120" customFormat="false" ht="12.75" hidden="false" customHeight="true" outlineLevel="0" collapsed="false"/>
    <row r="1048121" customFormat="false" ht="12.75" hidden="false" customHeight="true" outlineLevel="0" collapsed="false"/>
    <row r="1048122" customFormat="false" ht="12.75" hidden="false" customHeight="true" outlineLevel="0" collapsed="false"/>
    <row r="1048123" customFormat="false" ht="12.75" hidden="false" customHeight="true" outlineLevel="0" collapsed="false"/>
    <row r="1048124" customFormat="false" ht="12.75" hidden="false" customHeight="true" outlineLevel="0" collapsed="false"/>
    <row r="1048125" customFormat="false" ht="12.75" hidden="false" customHeight="true" outlineLevel="0" collapsed="false"/>
    <row r="1048126" customFormat="false" ht="12.75" hidden="false" customHeight="true" outlineLevel="0" collapsed="false"/>
    <row r="1048127" customFormat="false" ht="12.75" hidden="false" customHeight="true" outlineLevel="0" collapsed="false"/>
    <row r="1048128" customFormat="false" ht="12.75" hidden="false" customHeight="true" outlineLevel="0" collapsed="false"/>
    <row r="1048129" customFormat="false" ht="12.75" hidden="false" customHeight="true" outlineLevel="0" collapsed="false"/>
    <row r="1048130" customFormat="false" ht="12.75" hidden="false" customHeight="true" outlineLevel="0" collapsed="false"/>
    <row r="1048131" customFormat="false" ht="12.75" hidden="false" customHeight="true" outlineLevel="0" collapsed="false"/>
    <row r="1048132" customFormat="false" ht="12.75" hidden="false" customHeight="true" outlineLevel="0" collapsed="false"/>
    <row r="1048133" customFormat="false" ht="12.75" hidden="false" customHeight="true" outlineLevel="0" collapsed="false"/>
    <row r="1048134" customFormat="false" ht="12.75" hidden="false" customHeight="true" outlineLevel="0" collapsed="false"/>
    <row r="1048135" customFormat="false" ht="12.75" hidden="false" customHeight="true" outlineLevel="0" collapsed="false"/>
    <row r="1048136" customFormat="false" ht="12.75" hidden="false" customHeight="true" outlineLevel="0" collapsed="false"/>
    <row r="1048137" customFormat="false" ht="12.75" hidden="false" customHeight="true" outlineLevel="0" collapsed="false"/>
    <row r="1048138" customFormat="false" ht="12.75" hidden="false" customHeight="true" outlineLevel="0" collapsed="false"/>
    <row r="1048139" customFormat="false" ht="12.75" hidden="false" customHeight="true" outlineLevel="0" collapsed="false"/>
    <row r="1048140" customFormat="false" ht="12.75" hidden="false" customHeight="true" outlineLevel="0" collapsed="false"/>
    <row r="1048141" customFormat="false" ht="12.75" hidden="false" customHeight="true" outlineLevel="0" collapsed="false"/>
    <row r="1048142" customFormat="false" ht="12.75" hidden="false" customHeight="true" outlineLevel="0" collapsed="false"/>
    <row r="1048143" customFormat="false" ht="12.75" hidden="false" customHeight="true" outlineLevel="0" collapsed="false"/>
    <row r="1048144" customFormat="false" ht="12.75" hidden="false" customHeight="true" outlineLevel="0" collapsed="false"/>
    <row r="1048145" customFormat="false" ht="12.75" hidden="false" customHeight="true" outlineLevel="0" collapsed="false"/>
    <row r="1048146" customFormat="false" ht="12.75" hidden="false" customHeight="true" outlineLevel="0" collapsed="false"/>
    <row r="1048147" customFormat="false" ht="12.75" hidden="false" customHeight="true" outlineLevel="0" collapsed="false"/>
    <row r="1048148" customFormat="false" ht="12.75" hidden="false" customHeight="true" outlineLevel="0" collapsed="false"/>
    <row r="1048149" customFormat="false" ht="12.75" hidden="false" customHeight="true" outlineLevel="0" collapsed="false"/>
    <row r="1048150" customFormat="false" ht="12.75" hidden="false" customHeight="true" outlineLevel="0" collapsed="false"/>
    <row r="1048151" customFormat="false" ht="12.75" hidden="false" customHeight="true" outlineLevel="0" collapsed="false"/>
    <row r="1048152" customFormat="false" ht="12.75" hidden="false" customHeight="true" outlineLevel="0" collapsed="false"/>
    <row r="1048153" customFormat="false" ht="12.75" hidden="false" customHeight="true" outlineLevel="0" collapsed="false"/>
    <row r="1048154" customFormat="false" ht="12.75" hidden="false" customHeight="true" outlineLevel="0" collapsed="false"/>
    <row r="1048155" customFormat="false" ht="12.75" hidden="false" customHeight="true" outlineLevel="0" collapsed="false"/>
    <row r="1048156" customFormat="false" ht="12.75" hidden="false" customHeight="true" outlineLevel="0" collapsed="false"/>
    <row r="1048157" customFormat="false" ht="12.75" hidden="false" customHeight="true" outlineLevel="0" collapsed="false"/>
    <row r="1048158" customFormat="false" ht="12.75" hidden="false" customHeight="true" outlineLevel="0" collapsed="false"/>
    <row r="1048159" customFormat="false" ht="12.75" hidden="false" customHeight="true" outlineLevel="0" collapsed="false"/>
    <row r="1048160" customFormat="false" ht="12.75" hidden="false" customHeight="true" outlineLevel="0" collapsed="false"/>
    <row r="1048161" customFormat="false" ht="12.75" hidden="false" customHeight="true" outlineLevel="0" collapsed="false"/>
    <row r="1048162" customFormat="false" ht="12.75" hidden="false" customHeight="true" outlineLevel="0" collapsed="false"/>
    <row r="1048163" customFormat="false" ht="12.75" hidden="false" customHeight="true" outlineLevel="0" collapsed="false"/>
    <row r="1048164" customFormat="false" ht="12.75" hidden="false" customHeight="true" outlineLevel="0" collapsed="false"/>
    <row r="1048165" customFormat="false" ht="12.75" hidden="false" customHeight="true" outlineLevel="0" collapsed="false"/>
    <row r="1048166" customFormat="false" ht="12.75" hidden="false" customHeight="true" outlineLevel="0" collapsed="false"/>
    <row r="1048167" customFormat="false" ht="12.75" hidden="false" customHeight="true" outlineLevel="0" collapsed="false"/>
    <row r="1048168" customFormat="false" ht="12.75" hidden="false" customHeight="true" outlineLevel="0" collapsed="false"/>
    <row r="1048169" customFormat="false" ht="12.75" hidden="false" customHeight="true" outlineLevel="0" collapsed="false"/>
    <row r="1048170" customFormat="false" ht="12.75" hidden="false" customHeight="true" outlineLevel="0" collapsed="false"/>
    <row r="1048171" customFormat="false" ht="12.75" hidden="false" customHeight="true" outlineLevel="0" collapsed="false"/>
    <row r="1048172" customFormat="false" ht="12.75" hidden="false" customHeight="true" outlineLevel="0" collapsed="false"/>
    <row r="1048173" customFormat="false" ht="12.75" hidden="false" customHeight="true" outlineLevel="0" collapsed="false"/>
    <row r="1048174" customFormat="false" ht="12.75" hidden="false" customHeight="true" outlineLevel="0" collapsed="false"/>
    <row r="1048175" customFormat="false" ht="12.75" hidden="false" customHeight="true" outlineLevel="0" collapsed="false"/>
    <row r="1048176" customFormat="false" ht="12.75" hidden="false" customHeight="true" outlineLevel="0" collapsed="false"/>
    <row r="1048177" customFormat="false" ht="12.75" hidden="false" customHeight="true" outlineLevel="0" collapsed="false"/>
    <row r="1048178" customFormat="false" ht="12.75" hidden="false" customHeight="true" outlineLevel="0" collapsed="false"/>
    <row r="1048179" customFormat="false" ht="12.75" hidden="false" customHeight="true" outlineLevel="0" collapsed="false"/>
    <row r="1048180" customFormat="false" ht="12.75" hidden="false" customHeight="true" outlineLevel="0" collapsed="false"/>
    <row r="1048181" customFormat="false" ht="12.75" hidden="false" customHeight="true" outlineLevel="0" collapsed="false"/>
    <row r="1048182" customFormat="false" ht="12.75" hidden="false" customHeight="true" outlineLevel="0" collapsed="false"/>
    <row r="1048183" customFormat="false" ht="12.75" hidden="false" customHeight="true" outlineLevel="0" collapsed="false"/>
    <row r="1048184" customFormat="false" ht="12.75" hidden="false" customHeight="true" outlineLevel="0" collapsed="false"/>
    <row r="1048185" customFormat="false" ht="12.75" hidden="false" customHeight="true" outlineLevel="0" collapsed="false"/>
    <row r="1048186" customFormat="false" ht="12.75" hidden="false" customHeight="true" outlineLevel="0" collapsed="false"/>
    <row r="1048187" customFormat="false" ht="12.75" hidden="false" customHeight="true" outlineLevel="0" collapsed="false"/>
    <row r="1048188" customFormat="false" ht="12.75" hidden="false" customHeight="true" outlineLevel="0" collapsed="false"/>
    <row r="1048189" customFormat="false" ht="12.75" hidden="false" customHeight="true" outlineLevel="0" collapsed="false"/>
    <row r="1048190" customFormat="false" ht="12.75" hidden="false" customHeight="true" outlineLevel="0" collapsed="false"/>
    <row r="1048191" customFormat="false" ht="12.75" hidden="false" customHeight="true" outlineLevel="0" collapsed="false"/>
    <row r="1048192" customFormat="false" ht="12.75" hidden="false" customHeight="true" outlineLevel="0" collapsed="false"/>
    <row r="1048193" customFormat="false" ht="12.75" hidden="false" customHeight="true" outlineLevel="0" collapsed="false"/>
    <row r="1048194" customFormat="false" ht="12.75" hidden="false" customHeight="true" outlineLevel="0" collapsed="false"/>
    <row r="1048195" customFormat="false" ht="12.75" hidden="false" customHeight="true" outlineLevel="0" collapsed="false"/>
    <row r="1048196" customFormat="false" ht="12.75" hidden="false" customHeight="true" outlineLevel="0" collapsed="false"/>
    <row r="1048197" customFormat="false" ht="12.75" hidden="false" customHeight="true" outlineLevel="0" collapsed="false"/>
    <row r="1048198" customFormat="false" ht="12.75" hidden="false" customHeight="true" outlineLevel="0" collapsed="false"/>
    <row r="1048199" customFormat="false" ht="12.75" hidden="false" customHeight="true" outlineLevel="0" collapsed="false"/>
    <row r="1048200" customFormat="false" ht="12.75" hidden="false" customHeight="true" outlineLevel="0" collapsed="false"/>
    <row r="1048201" customFormat="false" ht="12.75" hidden="false" customHeight="true" outlineLevel="0" collapsed="false"/>
    <row r="1048202" customFormat="false" ht="12.75" hidden="false" customHeight="true" outlineLevel="0" collapsed="false"/>
    <row r="1048203" customFormat="false" ht="12.75" hidden="false" customHeight="true" outlineLevel="0" collapsed="false"/>
    <row r="1048204" customFormat="false" ht="12.75" hidden="false" customHeight="true" outlineLevel="0" collapsed="false"/>
    <row r="1048205" customFormat="false" ht="12.75" hidden="false" customHeight="true" outlineLevel="0" collapsed="false"/>
    <row r="1048206" customFormat="false" ht="12.75" hidden="false" customHeight="true" outlineLevel="0" collapsed="false"/>
    <row r="1048207" customFormat="false" ht="12.75" hidden="false" customHeight="true" outlineLevel="0" collapsed="false"/>
    <row r="1048208" customFormat="false" ht="12.75" hidden="false" customHeight="true" outlineLevel="0" collapsed="false"/>
    <row r="1048209" customFormat="false" ht="12.75" hidden="false" customHeight="true" outlineLevel="0" collapsed="false"/>
    <row r="1048210" customFormat="false" ht="12.75" hidden="false" customHeight="true" outlineLevel="0" collapsed="false"/>
    <row r="1048211" customFormat="false" ht="12.75" hidden="false" customHeight="true" outlineLevel="0" collapsed="false"/>
    <row r="1048212" customFormat="false" ht="12.75" hidden="false" customHeight="true" outlineLevel="0" collapsed="false"/>
    <row r="1048213" customFormat="false" ht="12.75" hidden="false" customHeight="true" outlineLevel="0" collapsed="false"/>
    <row r="1048214" customFormat="false" ht="12.75" hidden="false" customHeight="true" outlineLevel="0" collapsed="false"/>
    <row r="1048215" customFormat="false" ht="12.75" hidden="false" customHeight="true" outlineLevel="0" collapsed="false"/>
    <row r="1048216" customFormat="false" ht="12.75" hidden="false" customHeight="true" outlineLevel="0" collapsed="false"/>
    <row r="1048217" customFormat="false" ht="12.75" hidden="false" customHeight="true" outlineLevel="0" collapsed="false"/>
    <row r="1048218" customFormat="false" ht="12.75" hidden="false" customHeight="true" outlineLevel="0" collapsed="false"/>
    <row r="1048219" customFormat="false" ht="12.75" hidden="false" customHeight="true" outlineLevel="0" collapsed="false"/>
    <row r="1048220" customFormat="false" ht="12.75" hidden="false" customHeight="true" outlineLevel="0" collapsed="false"/>
    <row r="1048221" customFormat="false" ht="12.75" hidden="false" customHeight="true" outlineLevel="0" collapsed="false"/>
    <row r="1048222" customFormat="false" ht="12.75" hidden="false" customHeight="true" outlineLevel="0" collapsed="false"/>
    <row r="1048223" customFormat="false" ht="12.75" hidden="false" customHeight="true" outlineLevel="0" collapsed="false"/>
    <row r="1048224" customFormat="false" ht="12.75" hidden="false" customHeight="true" outlineLevel="0" collapsed="false"/>
    <row r="1048225" customFormat="false" ht="12.75" hidden="false" customHeight="true" outlineLevel="0" collapsed="false"/>
    <row r="1048226" customFormat="false" ht="12.75" hidden="false" customHeight="true" outlineLevel="0" collapsed="false"/>
    <row r="1048227" customFormat="false" ht="12.75" hidden="false" customHeight="true" outlineLevel="0" collapsed="false"/>
    <row r="1048228" customFormat="false" ht="12.75" hidden="false" customHeight="true" outlineLevel="0" collapsed="false"/>
    <row r="1048229" customFormat="false" ht="12.75" hidden="false" customHeight="true" outlineLevel="0" collapsed="false"/>
    <row r="1048230" customFormat="false" ht="12.75" hidden="false" customHeight="true" outlineLevel="0" collapsed="false"/>
    <row r="1048231" customFormat="false" ht="12.75" hidden="false" customHeight="true" outlineLevel="0" collapsed="false"/>
    <row r="1048232" customFormat="false" ht="12.75" hidden="false" customHeight="true" outlineLevel="0" collapsed="false"/>
    <row r="1048233" customFormat="false" ht="12.75" hidden="false" customHeight="true" outlineLevel="0" collapsed="false"/>
    <row r="1048234" customFormat="false" ht="12.75" hidden="false" customHeight="true" outlineLevel="0" collapsed="false"/>
    <row r="1048235" customFormat="false" ht="12.75" hidden="false" customHeight="true" outlineLevel="0" collapsed="false"/>
    <row r="1048236" customFormat="false" ht="12.75" hidden="false" customHeight="true" outlineLevel="0" collapsed="false"/>
    <row r="1048237" customFormat="false" ht="12.75" hidden="false" customHeight="true" outlineLevel="0" collapsed="false"/>
    <row r="1048238" customFormat="false" ht="12.75" hidden="false" customHeight="true" outlineLevel="0" collapsed="false"/>
    <row r="1048239" customFormat="false" ht="12.75" hidden="false" customHeight="true" outlineLevel="0" collapsed="false"/>
    <row r="1048240" customFormat="false" ht="12.75" hidden="false" customHeight="true" outlineLevel="0" collapsed="false"/>
    <row r="1048241" customFormat="false" ht="12.75" hidden="false" customHeight="true" outlineLevel="0" collapsed="false"/>
    <row r="1048242" customFormat="false" ht="12.75" hidden="false" customHeight="true" outlineLevel="0" collapsed="false"/>
    <row r="1048243" customFormat="false" ht="12.75" hidden="false" customHeight="true" outlineLevel="0" collapsed="false"/>
    <row r="1048244" customFormat="false" ht="12.75" hidden="false" customHeight="true" outlineLevel="0" collapsed="false"/>
    <row r="1048245" customFormat="false" ht="12.75" hidden="false" customHeight="true" outlineLevel="0" collapsed="false"/>
    <row r="1048246" customFormat="false" ht="12.75" hidden="false" customHeight="true" outlineLevel="0" collapsed="false"/>
    <row r="1048247" customFormat="false" ht="12.75" hidden="false" customHeight="true" outlineLevel="0" collapsed="false"/>
    <row r="1048248" customFormat="false" ht="12.75" hidden="false" customHeight="true" outlineLevel="0" collapsed="false"/>
    <row r="1048249" customFormat="false" ht="12.75" hidden="false" customHeight="true" outlineLevel="0" collapsed="false"/>
    <row r="1048250" customFormat="false" ht="12.75" hidden="false" customHeight="true" outlineLevel="0" collapsed="false"/>
    <row r="1048251" customFormat="false" ht="12.75" hidden="false" customHeight="true" outlineLevel="0" collapsed="false"/>
    <row r="1048252" customFormat="false" ht="12.75" hidden="false" customHeight="true" outlineLevel="0" collapsed="false"/>
    <row r="1048253" customFormat="false" ht="12.75" hidden="false" customHeight="true" outlineLevel="0" collapsed="false"/>
    <row r="1048254" customFormat="false" ht="12.75" hidden="false" customHeight="true" outlineLevel="0" collapsed="false"/>
    <row r="1048255" customFormat="false" ht="12.75" hidden="false" customHeight="true" outlineLevel="0" collapsed="false"/>
    <row r="1048256" customFormat="false" ht="12.75" hidden="false" customHeight="true" outlineLevel="0" collapsed="false"/>
    <row r="1048257" customFormat="false" ht="12.75" hidden="false" customHeight="true" outlineLevel="0" collapsed="false"/>
    <row r="1048258" customFormat="false" ht="12.75" hidden="false" customHeight="true" outlineLevel="0" collapsed="false"/>
    <row r="1048259" customFormat="false" ht="12.75" hidden="false" customHeight="true" outlineLevel="0" collapsed="false"/>
    <row r="1048260" customFormat="false" ht="12.75" hidden="false" customHeight="true" outlineLevel="0" collapsed="false"/>
    <row r="1048261" customFormat="false" ht="12.75" hidden="false" customHeight="true" outlineLevel="0" collapsed="false"/>
    <row r="1048262" customFormat="false" ht="12.75" hidden="false" customHeight="true" outlineLevel="0" collapsed="false"/>
    <row r="1048263" customFormat="false" ht="12.75" hidden="false" customHeight="true" outlineLevel="0" collapsed="false"/>
    <row r="1048264" customFormat="false" ht="12.75" hidden="false" customHeight="true" outlineLevel="0" collapsed="false"/>
    <row r="1048265" customFormat="false" ht="12.75" hidden="false" customHeight="true" outlineLevel="0" collapsed="false"/>
    <row r="1048266" customFormat="false" ht="12.75" hidden="false" customHeight="true" outlineLevel="0" collapsed="false"/>
    <row r="1048267" customFormat="false" ht="12.75" hidden="false" customHeight="true" outlineLevel="0" collapsed="false"/>
    <row r="1048268" customFormat="false" ht="12.75" hidden="false" customHeight="true" outlineLevel="0" collapsed="false"/>
    <row r="1048269" customFormat="false" ht="12.75" hidden="false" customHeight="true" outlineLevel="0" collapsed="false"/>
    <row r="1048270" customFormat="false" ht="12.75" hidden="false" customHeight="true" outlineLevel="0" collapsed="false"/>
    <row r="1048271" customFormat="false" ht="12.75" hidden="false" customHeight="true" outlineLevel="0" collapsed="false"/>
    <row r="1048272" customFormat="false" ht="12.75" hidden="false" customHeight="true" outlineLevel="0" collapsed="false"/>
    <row r="1048273" customFormat="false" ht="12.75" hidden="false" customHeight="true" outlineLevel="0" collapsed="false"/>
    <row r="1048274" customFormat="false" ht="12.75" hidden="false" customHeight="true" outlineLevel="0" collapsed="false"/>
    <row r="1048275" customFormat="false" ht="12.75" hidden="false" customHeight="true" outlineLevel="0" collapsed="false"/>
    <row r="1048276" customFormat="false" ht="12.75" hidden="false" customHeight="true" outlineLevel="0" collapsed="false"/>
    <row r="1048277" customFormat="false" ht="12.75" hidden="false" customHeight="true" outlineLevel="0" collapsed="false"/>
    <row r="1048278" customFormat="false" ht="12.75" hidden="false" customHeight="true" outlineLevel="0" collapsed="false"/>
    <row r="1048279" customFormat="false" ht="12.75" hidden="false" customHeight="true" outlineLevel="0" collapsed="false"/>
    <row r="1048280" customFormat="false" ht="12.75" hidden="false" customHeight="true" outlineLevel="0" collapsed="false"/>
    <row r="1048281" customFormat="false" ht="12.75" hidden="false" customHeight="true" outlineLevel="0" collapsed="false"/>
    <row r="1048282" customFormat="false" ht="12.75" hidden="false" customHeight="true" outlineLevel="0" collapsed="false"/>
    <row r="1048283" customFormat="false" ht="12.75" hidden="false" customHeight="true" outlineLevel="0" collapsed="false"/>
    <row r="1048284" customFormat="false" ht="12.75" hidden="false" customHeight="true" outlineLevel="0" collapsed="false"/>
    <row r="1048285" customFormat="false" ht="12.75" hidden="false" customHeight="true" outlineLevel="0" collapsed="false"/>
    <row r="1048286" customFormat="false" ht="12.75" hidden="false" customHeight="true" outlineLevel="0" collapsed="false"/>
    <row r="1048287" customFormat="false" ht="12.75" hidden="false" customHeight="true" outlineLevel="0" collapsed="false"/>
    <row r="1048288" customFormat="false" ht="12.75" hidden="false" customHeight="true" outlineLevel="0" collapsed="false"/>
    <row r="1048289" customFormat="false" ht="12.75" hidden="false" customHeight="true" outlineLevel="0" collapsed="false"/>
    <row r="1048290" customFormat="false" ht="12.75" hidden="false" customHeight="true" outlineLevel="0" collapsed="false"/>
    <row r="1048291" customFormat="false" ht="12.75" hidden="false" customHeight="true" outlineLevel="0" collapsed="false"/>
    <row r="1048292" customFormat="false" ht="12.75" hidden="false" customHeight="true" outlineLevel="0" collapsed="false"/>
    <row r="1048293" customFormat="false" ht="12.75" hidden="false" customHeight="true" outlineLevel="0" collapsed="false"/>
    <row r="1048294" customFormat="false" ht="12.75" hidden="false" customHeight="true" outlineLevel="0" collapsed="false"/>
    <row r="1048295" customFormat="false" ht="12.75" hidden="false" customHeight="true" outlineLevel="0" collapsed="false"/>
    <row r="1048296" customFormat="false" ht="12.75" hidden="false" customHeight="true" outlineLevel="0" collapsed="false"/>
    <row r="1048297" customFormat="false" ht="12.75" hidden="false" customHeight="true" outlineLevel="0" collapsed="false"/>
    <row r="1048298" customFormat="false" ht="12.75" hidden="false" customHeight="true" outlineLevel="0" collapsed="false"/>
    <row r="1048299" customFormat="false" ht="12.75" hidden="false" customHeight="true" outlineLevel="0" collapsed="false"/>
    <row r="1048300" customFormat="false" ht="12.75" hidden="false" customHeight="true" outlineLevel="0" collapsed="false"/>
    <row r="1048301" customFormat="false" ht="12.75" hidden="false" customHeight="true" outlineLevel="0" collapsed="false"/>
    <row r="1048302" customFormat="false" ht="12.75" hidden="false" customHeight="true" outlineLevel="0" collapsed="false"/>
    <row r="1048303" customFormat="false" ht="12.75" hidden="false" customHeight="true" outlineLevel="0" collapsed="false"/>
    <row r="1048304" customFormat="false" ht="12.75" hidden="false" customHeight="true" outlineLevel="0" collapsed="false"/>
    <row r="1048305" customFormat="false" ht="12.75" hidden="false" customHeight="true" outlineLevel="0" collapsed="false"/>
    <row r="1048306" customFormat="false" ht="12.75" hidden="false" customHeight="true" outlineLevel="0" collapsed="false"/>
    <row r="1048307" customFormat="false" ht="12.75" hidden="false" customHeight="true" outlineLevel="0" collapsed="false"/>
    <row r="1048308" customFormat="false" ht="12.75" hidden="false" customHeight="true" outlineLevel="0" collapsed="false"/>
    <row r="1048309" customFormat="false" ht="12.75" hidden="false" customHeight="true" outlineLevel="0" collapsed="false"/>
    <row r="1048310" customFormat="false" ht="12.75" hidden="false" customHeight="true" outlineLevel="0" collapsed="false"/>
    <row r="1048311" customFormat="false" ht="12.75" hidden="false" customHeight="true" outlineLevel="0" collapsed="false"/>
    <row r="1048312" customFormat="false" ht="12.75" hidden="false" customHeight="true" outlineLevel="0" collapsed="false"/>
    <row r="1048313" customFormat="false" ht="12.75" hidden="false" customHeight="true" outlineLevel="0" collapsed="false"/>
    <row r="1048314" customFormat="false" ht="12.75" hidden="false" customHeight="true" outlineLevel="0" collapsed="false"/>
    <row r="1048315" customFormat="false" ht="12.75" hidden="false" customHeight="true" outlineLevel="0" collapsed="false"/>
    <row r="1048316" customFormat="false" ht="12.75" hidden="false" customHeight="true" outlineLevel="0" collapsed="false"/>
    <row r="1048317" customFormat="false" ht="12.75" hidden="false" customHeight="true" outlineLevel="0" collapsed="false"/>
    <row r="1048318" customFormat="false" ht="12.75" hidden="false" customHeight="true" outlineLevel="0" collapsed="false"/>
    <row r="1048319" customFormat="false" ht="12.75" hidden="false" customHeight="true" outlineLevel="0" collapsed="false"/>
    <row r="1048320" customFormat="false" ht="12.75" hidden="false" customHeight="true" outlineLevel="0" collapsed="false"/>
    <row r="1048321" customFormat="false" ht="12.75" hidden="false" customHeight="true" outlineLevel="0" collapsed="false"/>
    <row r="1048322" customFormat="false" ht="12.75" hidden="false" customHeight="true" outlineLevel="0" collapsed="false"/>
    <row r="1048323" customFormat="false" ht="12.75" hidden="false" customHeight="true" outlineLevel="0" collapsed="false"/>
    <row r="1048324" customFormat="false" ht="12.75" hidden="false" customHeight="true" outlineLevel="0" collapsed="false"/>
    <row r="1048325" customFormat="false" ht="12.75" hidden="false" customHeight="true" outlineLevel="0" collapsed="false"/>
    <row r="1048326" customFormat="false" ht="12.75" hidden="false" customHeight="true" outlineLevel="0" collapsed="false"/>
    <row r="1048327" customFormat="false" ht="12.75" hidden="false" customHeight="true" outlineLevel="0" collapsed="false"/>
    <row r="1048328" customFormat="false" ht="12.75" hidden="false" customHeight="true" outlineLevel="0" collapsed="false"/>
    <row r="1048329" customFormat="false" ht="12.75" hidden="false" customHeight="true" outlineLevel="0" collapsed="false"/>
    <row r="1048330" customFormat="false" ht="12.75" hidden="false" customHeight="true" outlineLevel="0" collapsed="false"/>
    <row r="1048331" customFormat="false" ht="12.75" hidden="false" customHeight="true" outlineLevel="0" collapsed="false"/>
    <row r="1048332" customFormat="false" ht="12.75" hidden="false" customHeight="true" outlineLevel="0" collapsed="false"/>
    <row r="1048333" customFormat="false" ht="12.75" hidden="false" customHeight="true" outlineLevel="0" collapsed="false"/>
    <row r="1048334" customFormat="false" ht="12.75" hidden="false" customHeight="true" outlineLevel="0" collapsed="false"/>
    <row r="1048335" customFormat="false" ht="12.75" hidden="false" customHeight="true" outlineLevel="0" collapsed="false"/>
    <row r="1048336" customFormat="false" ht="12.75" hidden="false" customHeight="true" outlineLevel="0" collapsed="false"/>
    <row r="1048337" customFormat="false" ht="12.75" hidden="false" customHeight="true" outlineLevel="0" collapsed="false"/>
    <row r="1048338" customFormat="false" ht="12.75" hidden="false" customHeight="true" outlineLevel="0" collapsed="false"/>
    <row r="1048339" customFormat="false" ht="12.75" hidden="false" customHeight="true" outlineLevel="0" collapsed="false"/>
    <row r="1048340" customFormat="false" ht="12.75" hidden="false" customHeight="true" outlineLevel="0" collapsed="false"/>
    <row r="1048341" customFormat="false" ht="12.75" hidden="false" customHeight="true" outlineLevel="0" collapsed="false"/>
    <row r="1048342" customFormat="false" ht="12.75" hidden="false" customHeight="true" outlineLevel="0" collapsed="false"/>
    <row r="1048343" customFormat="false" ht="12.75" hidden="false" customHeight="true" outlineLevel="0" collapsed="false"/>
    <row r="1048344" customFormat="false" ht="12.75" hidden="false" customHeight="true" outlineLevel="0" collapsed="false"/>
    <row r="1048345" customFormat="false" ht="12.75" hidden="false" customHeight="true" outlineLevel="0" collapsed="false"/>
    <row r="1048346" customFormat="false" ht="12.75" hidden="false" customHeight="true" outlineLevel="0" collapsed="false"/>
    <row r="1048347" customFormat="false" ht="12.75" hidden="false" customHeight="true" outlineLevel="0" collapsed="false"/>
    <row r="1048348" customFormat="false" ht="12.75" hidden="false" customHeight="true" outlineLevel="0" collapsed="false"/>
    <row r="1048349" customFormat="false" ht="12.75" hidden="false" customHeight="true" outlineLevel="0" collapsed="false"/>
    <row r="1048350" customFormat="false" ht="12.75" hidden="false" customHeight="true" outlineLevel="0" collapsed="false"/>
    <row r="1048351" customFormat="false" ht="12.75" hidden="false" customHeight="true" outlineLevel="0" collapsed="false"/>
    <row r="1048352" customFormat="false" ht="12.75" hidden="false" customHeight="true" outlineLevel="0" collapsed="false"/>
    <row r="1048353" customFormat="false" ht="12.75" hidden="false" customHeight="true" outlineLevel="0" collapsed="false"/>
    <row r="1048354" customFormat="false" ht="12.75" hidden="false" customHeight="true" outlineLevel="0" collapsed="false"/>
    <row r="1048355" customFormat="false" ht="12.75" hidden="false" customHeight="true" outlineLevel="0" collapsed="false"/>
    <row r="1048356" customFormat="false" ht="12.75" hidden="false" customHeight="true" outlineLevel="0" collapsed="false"/>
    <row r="1048357" customFormat="false" ht="12.75" hidden="false" customHeight="true" outlineLevel="0" collapsed="false"/>
    <row r="1048358" customFormat="false" ht="12.75" hidden="false" customHeight="true" outlineLevel="0" collapsed="false"/>
    <row r="1048359" customFormat="false" ht="12.75" hidden="false" customHeight="true" outlineLevel="0" collapsed="false"/>
    <row r="1048360" customFormat="false" ht="12.75" hidden="false" customHeight="true" outlineLevel="0" collapsed="false"/>
    <row r="1048361" customFormat="false" ht="12.75" hidden="false" customHeight="true" outlineLevel="0" collapsed="false"/>
    <row r="1048362" customFormat="false" ht="12.75" hidden="false" customHeight="true" outlineLevel="0" collapsed="false"/>
    <row r="1048363" customFormat="false" ht="12.75" hidden="false" customHeight="true" outlineLevel="0" collapsed="false"/>
    <row r="1048364" customFormat="false" ht="12.75" hidden="false" customHeight="true" outlineLevel="0" collapsed="false"/>
    <row r="1048365" customFormat="false" ht="12.75" hidden="false" customHeight="true" outlineLevel="0" collapsed="false"/>
    <row r="1048366" customFormat="false" ht="12.75" hidden="false" customHeight="true" outlineLevel="0" collapsed="false"/>
    <row r="1048367" customFormat="false" ht="12.75" hidden="false" customHeight="true" outlineLevel="0" collapsed="false"/>
    <row r="1048368" customFormat="false" ht="12.75" hidden="false" customHeight="true" outlineLevel="0" collapsed="false"/>
    <row r="1048369" customFormat="false" ht="12.75" hidden="false" customHeight="true" outlineLevel="0" collapsed="false"/>
    <row r="1048370" customFormat="false" ht="12.75" hidden="false" customHeight="true" outlineLevel="0" collapsed="false"/>
    <row r="1048371" customFormat="false" ht="12.75" hidden="false" customHeight="true" outlineLevel="0" collapsed="false"/>
    <row r="1048372" customFormat="false" ht="12.75" hidden="false" customHeight="true" outlineLevel="0" collapsed="false"/>
    <row r="1048373" customFormat="false" ht="12.75" hidden="false" customHeight="true" outlineLevel="0" collapsed="false"/>
    <row r="1048374" customFormat="false" ht="12.75" hidden="false" customHeight="true" outlineLevel="0" collapsed="false"/>
    <row r="1048375" customFormat="false" ht="12.75" hidden="false" customHeight="true" outlineLevel="0" collapsed="false"/>
    <row r="1048376" customFormat="false" ht="12.75" hidden="false" customHeight="true" outlineLevel="0" collapsed="false"/>
    <row r="1048377" customFormat="false" ht="12.75" hidden="false" customHeight="true" outlineLevel="0" collapsed="false"/>
    <row r="1048378" customFormat="false" ht="12.75" hidden="false" customHeight="true" outlineLevel="0" collapsed="false"/>
    <row r="1048379" customFormat="false" ht="12.75" hidden="false" customHeight="true" outlineLevel="0" collapsed="false"/>
    <row r="1048380" customFormat="false" ht="12.75" hidden="false" customHeight="true" outlineLevel="0" collapsed="false"/>
    <row r="1048381" customFormat="false" ht="12.75" hidden="false" customHeight="true" outlineLevel="0" collapsed="false"/>
    <row r="1048382" customFormat="false" ht="12.75" hidden="false" customHeight="true" outlineLevel="0" collapsed="false"/>
    <row r="1048383" customFormat="false" ht="12.75" hidden="false" customHeight="true" outlineLevel="0" collapsed="false"/>
    <row r="1048384" customFormat="false" ht="12.75" hidden="false" customHeight="true" outlineLevel="0" collapsed="false"/>
    <row r="1048385" customFormat="false" ht="12.75" hidden="false" customHeight="true" outlineLevel="0" collapsed="false"/>
    <row r="1048386" customFormat="false" ht="12.75" hidden="false" customHeight="true" outlineLevel="0" collapsed="false"/>
    <row r="1048387" customFormat="false" ht="12.75" hidden="false" customHeight="true" outlineLevel="0" collapsed="false"/>
    <row r="1048388" customFormat="false" ht="12.75" hidden="false" customHeight="true" outlineLevel="0" collapsed="false"/>
    <row r="1048389" customFormat="false" ht="12.75" hidden="false" customHeight="true" outlineLevel="0" collapsed="false"/>
    <row r="1048390" customFormat="false" ht="12.75" hidden="false" customHeight="true" outlineLevel="0" collapsed="false"/>
    <row r="1048391" customFormat="false" ht="12.75" hidden="false" customHeight="true" outlineLevel="0" collapsed="false"/>
    <row r="1048392" customFormat="false" ht="12.75" hidden="false" customHeight="true" outlineLevel="0" collapsed="false"/>
    <row r="1048393" customFormat="false" ht="12.75" hidden="false" customHeight="true" outlineLevel="0" collapsed="false"/>
    <row r="1048394" customFormat="false" ht="12.75" hidden="false" customHeight="true" outlineLevel="0" collapsed="false"/>
    <row r="1048395" customFormat="false" ht="12.75" hidden="false" customHeight="true" outlineLevel="0" collapsed="false"/>
    <row r="1048396" customFormat="false" ht="12.75" hidden="false" customHeight="true" outlineLevel="0" collapsed="false"/>
    <row r="1048397" customFormat="false" ht="12.75" hidden="false" customHeight="true" outlineLevel="0" collapsed="false"/>
    <row r="1048398" customFormat="false" ht="12.75" hidden="false" customHeight="true" outlineLevel="0" collapsed="false"/>
    <row r="1048399" customFormat="false" ht="12.75" hidden="false" customHeight="true" outlineLevel="0" collapsed="false"/>
    <row r="1048400" customFormat="false" ht="12.75" hidden="false" customHeight="true" outlineLevel="0" collapsed="false"/>
    <row r="1048401" customFormat="false" ht="12.75" hidden="false" customHeight="true" outlineLevel="0" collapsed="false"/>
    <row r="1048402" customFormat="false" ht="12.75" hidden="false" customHeight="true" outlineLevel="0" collapsed="false"/>
    <row r="1048403" customFormat="false" ht="12.75" hidden="false" customHeight="true" outlineLevel="0" collapsed="false"/>
    <row r="1048404" customFormat="false" ht="12.75" hidden="false" customHeight="true" outlineLevel="0" collapsed="false"/>
    <row r="1048405" customFormat="false" ht="12.75" hidden="false" customHeight="true" outlineLevel="0" collapsed="false"/>
    <row r="1048406" customFormat="false" ht="12.75" hidden="false" customHeight="true" outlineLevel="0" collapsed="false"/>
    <row r="1048407" customFormat="false" ht="12.75" hidden="false" customHeight="true" outlineLevel="0" collapsed="false"/>
    <row r="1048408" customFormat="false" ht="12.75" hidden="false" customHeight="true" outlineLevel="0" collapsed="false"/>
    <row r="1048409" customFormat="false" ht="12.75" hidden="false" customHeight="true" outlineLevel="0" collapsed="false"/>
    <row r="1048410" customFormat="false" ht="12.75" hidden="false" customHeight="true" outlineLevel="0" collapsed="false"/>
    <row r="1048411" customFormat="false" ht="12.75" hidden="false" customHeight="true" outlineLevel="0" collapsed="false"/>
    <row r="1048412" customFormat="false" ht="12.75" hidden="false" customHeight="true" outlineLevel="0" collapsed="false"/>
    <row r="1048413" customFormat="false" ht="12.75" hidden="false" customHeight="true" outlineLevel="0" collapsed="false"/>
    <row r="1048414" customFormat="false" ht="12.75" hidden="false" customHeight="true" outlineLevel="0" collapsed="false"/>
    <row r="1048415" customFormat="false" ht="12.75" hidden="false" customHeight="true" outlineLevel="0" collapsed="false"/>
    <row r="1048416" customFormat="false" ht="12.75" hidden="false" customHeight="true" outlineLevel="0" collapsed="false"/>
    <row r="1048417" customFormat="false" ht="12.75" hidden="false" customHeight="true" outlineLevel="0" collapsed="false"/>
    <row r="1048418" customFormat="false" ht="12.75" hidden="false" customHeight="true" outlineLevel="0" collapsed="false"/>
    <row r="1048419" customFormat="false" ht="12.75" hidden="false" customHeight="true" outlineLevel="0" collapsed="false"/>
    <row r="1048420" customFormat="false" ht="12.75" hidden="false" customHeight="true" outlineLevel="0" collapsed="false"/>
    <row r="1048421" customFormat="false" ht="12.75" hidden="false" customHeight="true" outlineLevel="0" collapsed="false"/>
    <row r="1048422" customFormat="false" ht="12.75" hidden="false" customHeight="true" outlineLevel="0" collapsed="false"/>
    <row r="1048423" customFormat="false" ht="12.75" hidden="false" customHeight="true" outlineLevel="0" collapsed="false"/>
    <row r="1048424" customFormat="false" ht="12.75" hidden="false" customHeight="true" outlineLevel="0" collapsed="false"/>
    <row r="1048425" customFormat="false" ht="12.75" hidden="false" customHeight="true" outlineLevel="0" collapsed="false"/>
    <row r="1048426" customFormat="false" ht="12.75" hidden="false" customHeight="true" outlineLevel="0" collapsed="false"/>
    <row r="1048427" customFormat="false" ht="12.75" hidden="false" customHeight="true" outlineLevel="0" collapsed="false"/>
    <row r="1048428" customFormat="false" ht="12.75" hidden="false" customHeight="true" outlineLevel="0" collapsed="false"/>
    <row r="1048429" customFormat="false" ht="12.75" hidden="false" customHeight="true" outlineLevel="0" collapsed="false"/>
    <row r="1048430" customFormat="false" ht="12.75" hidden="false" customHeight="true" outlineLevel="0" collapsed="false"/>
    <row r="1048431" customFormat="false" ht="12.75" hidden="false" customHeight="true" outlineLevel="0" collapsed="false"/>
    <row r="1048432" customFormat="false" ht="12.75" hidden="false" customHeight="true" outlineLevel="0" collapsed="false"/>
    <row r="1048433" customFormat="false" ht="12.75" hidden="false" customHeight="true" outlineLevel="0" collapsed="false"/>
    <row r="1048434" customFormat="false" ht="12.75" hidden="false" customHeight="true" outlineLevel="0" collapsed="false"/>
    <row r="1048435" customFormat="false" ht="12.75" hidden="false" customHeight="true" outlineLevel="0" collapsed="false"/>
    <row r="1048436" customFormat="false" ht="12.75" hidden="false" customHeight="true" outlineLevel="0" collapsed="false"/>
    <row r="1048437" customFormat="false" ht="12.75" hidden="false" customHeight="true" outlineLevel="0" collapsed="false"/>
    <row r="1048438" customFormat="false" ht="12.75" hidden="false" customHeight="true" outlineLevel="0" collapsed="false"/>
    <row r="1048439" customFormat="false" ht="12.75" hidden="false" customHeight="true" outlineLevel="0" collapsed="false"/>
    <row r="1048440" customFormat="false" ht="12.75" hidden="false" customHeight="true" outlineLevel="0" collapsed="false"/>
    <row r="1048441" customFormat="false" ht="12.75" hidden="false" customHeight="true" outlineLevel="0" collapsed="false"/>
    <row r="1048442" customFormat="false" ht="12.75" hidden="false" customHeight="true" outlineLevel="0" collapsed="false"/>
    <row r="1048443" customFormat="false" ht="12.75" hidden="false" customHeight="true" outlineLevel="0" collapsed="false"/>
    <row r="1048444" customFormat="false" ht="12.75" hidden="false" customHeight="true" outlineLevel="0" collapsed="false"/>
    <row r="1048445" customFormat="false" ht="12.75" hidden="false" customHeight="true" outlineLevel="0" collapsed="false"/>
    <row r="1048446" customFormat="false" ht="12.75" hidden="false" customHeight="true" outlineLevel="0" collapsed="false"/>
    <row r="1048447" customFormat="false" ht="12.75" hidden="false" customHeight="true" outlineLevel="0" collapsed="false"/>
    <row r="1048448" customFormat="false" ht="12.75" hidden="false" customHeight="true" outlineLevel="0" collapsed="false"/>
    <row r="1048449" customFormat="false" ht="12.75" hidden="false" customHeight="true" outlineLevel="0" collapsed="false"/>
    <row r="1048450" customFormat="false" ht="12.75" hidden="false" customHeight="true" outlineLevel="0" collapsed="false"/>
    <row r="1048451" customFormat="false" ht="12.75" hidden="false" customHeight="true" outlineLevel="0" collapsed="false"/>
    <row r="1048452" customFormat="false" ht="12.75" hidden="false" customHeight="true" outlineLevel="0" collapsed="false"/>
    <row r="1048453" customFormat="false" ht="12.75" hidden="false" customHeight="true" outlineLevel="0" collapsed="false"/>
    <row r="1048454" customFormat="false" ht="12.75" hidden="false" customHeight="true" outlineLevel="0" collapsed="false"/>
    <row r="1048455" customFormat="false" ht="12.75" hidden="false" customHeight="true" outlineLevel="0" collapsed="false"/>
    <row r="1048456" customFormat="false" ht="12.75" hidden="false" customHeight="true" outlineLevel="0" collapsed="false"/>
    <row r="1048457" customFormat="false" ht="12.75" hidden="false" customHeight="true" outlineLevel="0" collapsed="false"/>
    <row r="1048458" customFormat="false" ht="12.75" hidden="false" customHeight="true" outlineLevel="0" collapsed="false"/>
    <row r="1048459" customFormat="false" ht="12.75" hidden="false" customHeight="true" outlineLevel="0" collapsed="false"/>
    <row r="1048460" customFormat="false" ht="12.75" hidden="false" customHeight="true" outlineLevel="0" collapsed="false"/>
    <row r="1048461" customFormat="false" ht="12.75" hidden="false" customHeight="true" outlineLevel="0" collapsed="false"/>
    <row r="1048462" customFormat="false" ht="12.75" hidden="false" customHeight="true" outlineLevel="0" collapsed="false"/>
    <row r="1048463" customFormat="false" ht="12.7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autoFilter ref="A3:I4"/>
  <conditionalFormatting sqref="B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A4:A10000">
    <cfRule type="expression" priority="4" aboveAverage="0" equalAverage="0" bottom="0" percent="0" rank="0" text="" dxfId="13">
      <formula>AND(ISNUMBER($A4),OR($A4&lt;DATE(2020,1,1),$A4&gt;DATE(année_courante,12,31)))</formula>
    </cfRule>
  </conditionalFormatting>
  <conditionalFormatting sqref="F4:F10000">
    <cfRule type="cellIs" priority="5" operator="equal" aboveAverage="0" equalAverage="0" bottom="0" percent="0" rank="0" text="" dxfId="14">
      <formula>"-"</formula>
    </cfRule>
  </conditionalFormatting>
  <conditionalFormatting sqref="G4:G10000">
    <cfRule type="expression" priority="6" aboveAverage="0" equalAverage="0" bottom="0" percent="0" rank="0" text="" dxfId="13">
      <formula>AND(ISNUMBER($A4),LEFT($G4,1)&lt;&gt;"#",OR($G4="",COUNTIF(CATnom,$G4)=0))</formula>
    </cfRule>
  </conditionalFormatting>
  <conditionalFormatting sqref="H4:H10000">
    <cfRule type="expression" priority="7" aboveAverage="0" equalAverage="0" bottom="0" percent="0" rank="0" text="" dxfId="13">
      <formula>AND(ISNUMBER($A4),OR(AND($H4="",LEFT($G4,1)&lt;&gt;"#"),AND($H4&lt;&gt;"",COUNTIF(AVRtype,$H4)=0)))</formula>
    </cfRule>
  </conditionalFormatting>
  <conditionalFormatting sqref="D4:D10000">
    <cfRule type="expression" priority="8" aboveAverage="0" equalAverage="0" bottom="0" percent="0" rank="0" text="" dxfId="15">
      <formula>AND(ISNUMBER($A4),OR(AND($D4="",LEFT($G4,1)&lt;&gt;"#"),AND($D4&lt;&gt;"",COUNTIF(COTcode,$D4)=0)))</formula>
    </cfRule>
  </conditionalFormatting>
  <dataValidations count="4">
    <dataValidation allowBlank="true" error="La date doit être comprise entre le 01/01/2020 et le 31/12 de l'année courante (contrôle DIVERS de la feuille Contrôles)." errorStyle="stop" errorTitle="Date hors période" operator="between" showDropDown="false" showErrorMessage="true" showInputMessage="false" sqref="A4:A1004" type="custom">
      <formula1>AND(ISNUMBER($A4),$A4&gt;=DATE(2020,1,1),$A4&lt;=DATE(année_courante,12,31))</formula1>
      <formula2>0</formula2>
    </dataValidation>
    <dataValidation allowBlank="true" error="Saisis une catégorie de la feuille Budget (colonne Catégories) ou une méta-catégorie #… — ou ajoute-la d'abord dans Budget." errorStyle="stop" errorTitle="Catégorie inconnue" operator="between" showDropDown="false" showErrorMessage="true" showInputMessage="false" sqref="G4:G1004" type="custom">
      <formula1>OR(LEFT($G4,1)="#",COUNTIF(CATnom,$G4)&gt;0)</formula1>
      <formula2>0</formula2>
    </dataValidation>
    <dataValidation allowBlank="true" error="Saisis un compte suivi (feuille Avoirs, avec devise) — ou crée-le d'abord dans Avoirs." errorStyle="stop" errorTitle="Compte inconnu" operator="between" showDropDown="false" showErrorMessage="true" showInputMessage="false" sqref="H4:H1004" type="custom">
      <formula1>COUNTIF(CTRL1compte,$H4)&gt;0</formula1>
      <formula2>0</formula2>
    </dataValidation>
    <dataValidation allowBlank="true" error="Saisis un code devise de la feuille Cotations (colonne Code) — ou ajoute la devise d'abord dans Cotations." errorStyle="stop" errorTitle="Devise inconnue" operator="between" showDropDown="false" showErrorMessage="true" showInputMessage="false" sqref="D4:D1004" type="custom">
      <formula1>COUNTIF(COTcode,$D4)&gt;0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28.33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11.89"/>
    <col collapsed="false" customWidth="true" hidden="false" outlineLevel="0" max="5" min="5" style="45" width="14.89"/>
    <col collapsed="false" customWidth="true" hidden="false" outlineLevel="0" max="7" min="6" style="44" width="14.89"/>
    <col collapsed="false" customWidth="true" hidden="false" outlineLevel="0" max="8" min="8" style="44" width="14.83"/>
    <col collapsed="false" customWidth="true" hidden="false" outlineLevel="0" max="9" min="9" style="45" width="9.33"/>
    <col collapsed="false" customWidth="true" hidden="false" outlineLevel="0" max="10" min="10" style="64" width="41.42"/>
    <col collapsed="false" customWidth="true" hidden="false" outlineLevel="0" max="11" min="11" style="64" width="14.98"/>
    <col collapsed="false" customWidth="true" hidden="false" outlineLevel="0" max="12" min="12" style="64" width="11"/>
    <col collapsed="false" customWidth="true" hidden="false" outlineLevel="0" max="13" min="13" style="64" width="15.51"/>
    <col collapsed="false" customWidth="false" hidden="false" outlineLevel="0" max="16368" min="16" style="64" width="19.16"/>
    <col collapsed="false" customWidth="true" hidden="false" outlineLevel="0" max="16382" min="16369" style="1" width="11.53"/>
    <col collapsed="false" customWidth="true" hidden="false" outlineLevel="0" max="16384" min="16383" style="64" width="11.53"/>
  </cols>
  <sheetData>
    <row r="1" customFormat="false" ht="16.5" hidden="false" customHeight="true" outlineLevel="0" collapsed="false">
      <c r="A1" s="116" t="str">
        <f aca="false">$K$31</f>
        <v>✓</v>
      </c>
      <c r="B1" s="10"/>
      <c r="C1" s="10"/>
      <c r="D1" s="10"/>
      <c r="E1" s="10"/>
      <c r="F1" s="12"/>
      <c r="G1" s="12"/>
      <c r="H1" s="12"/>
      <c r="I1" s="75"/>
    </row>
    <row r="2" customFormat="false" ht="28.5" hidden="false" customHeight="true" outlineLevel="0" collapsed="false">
      <c r="A2" s="51" t="s">
        <v>127</v>
      </c>
      <c r="B2" s="75" t="s">
        <v>67</v>
      </c>
      <c r="C2" s="75" t="s">
        <v>128</v>
      </c>
      <c r="D2" s="75" t="s">
        <v>129</v>
      </c>
      <c r="E2" s="75" t="s">
        <v>130</v>
      </c>
      <c r="F2" s="26" t="s">
        <v>131</v>
      </c>
      <c r="G2" s="26" t="s">
        <v>132</v>
      </c>
      <c r="H2" s="51" t="s">
        <v>97</v>
      </c>
      <c r="I2" s="51" t="s">
        <v>133</v>
      </c>
    </row>
    <row r="3" customFormat="false" ht="15" hidden="false" customHeight="true" outlineLevel="0" collapsed="false">
      <c r="A3" s="14" t="s">
        <v>4</v>
      </c>
      <c r="B3" s="55"/>
      <c r="C3" s="95"/>
      <c r="D3" s="95"/>
      <c r="E3" s="16"/>
      <c r="F3" s="16"/>
      <c r="G3" s="16"/>
      <c r="H3" s="16"/>
      <c r="I3" s="16"/>
    </row>
    <row r="4" customFormat="false" ht="15" hidden="false" customHeight="true" outlineLevel="0" collapsed="false">
      <c r="A4" s="14" t="str">
        <f aca="false">Avoirs!A5</f>
        <v>Livret A Barnabé</v>
      </c>
      <c r="B4" s="55" t="s">
        <v>74</v>
      </c>
      <c r="C4" s="95" t="n">
        <f aca="false">IF(COUNTIFS(OPcompte,$A4,OPdevise,$B4,OPcatégorie,Solde)&gt;=2,_xlfn.MINIFS(OPdate,OPcompte,$A4,OPdevise,$B4,OPcatégorie,Solde),0)</f>
        <v>0</v>
      </c>
      <c r="D4" s="95" t="n">
        <f aca="false">_xlfn.MAXIFS(OPdate,OPcompte,$A4,OPdevise,$B4,OPcatégorie,Solde)</f>
        <v>0</v>
      </c>
      <c r="E4" s="117" t="n">
        <f aca="false">IF($C4=0,0,_xlfn.XLOOKUP(1,(OPcompte=$A4)*(OPdevise=$B4)*(OPcatégorie=Solde)*(OPdate=$C4),OPmontant,0,0,1))</f>
        <v>0</v>
      </c>
      <c r="F4" s="117" t="n">
        <f aca="false">$E4+SUMIFS(OPmontant,OPcompte,$A4,OPdevise,$B4,OPdate,"&gt;"&amp;$C4,OPdate,"&lt;="&amp;$D4,OPcatégorie,"&lt;&gt;Solde",OPcatégorie,"&lt;&gt;"&amp;Spéciale)</f>
        <v>0</v>
      </c>
      <c r="G4" s="117" t="n">
        <f aca="false">_xlfn.XLOOKUP(1,(OPcompte=$A4)*(OPdevise=$B4)*(OPcatégorie=Solde)*(OPdate=$D4),OPmontant,0,0,-1)</f>
        <v>0</v>
      </c>
      <c r="H4" s="117" t="n">
        <f aca="false">IF(ABS($G4-$F4)&lt;0.015,0,ROUND($G4-$F4,2))</f>
        <v>0</v>
      </c>
      <c r="I4" s="16" t="s">
        <v>134</v>
      </c>
    </row>
    <row r="5" customFormat="false" ht="16.5" hidden="false" customHeight="true" outlineLevel="0" collapsed="false">
      <c r="A5" s="118" t="s">
        <v>4</v>
      </c>
      <c r="B5" s="119"/>
      <c r="C5" s="119"/>
      <c r="D5" s="119"/>
      <c r="E5" s="119"/>
      <c r="F5" s="120"/>
      <c r="G5" s="121"/>
      <c r="H5" s="121"/>
      <c r="I5" s="119"/>
    </row>
    <row r="6" customFormat="false" ht="17.25" hidden="false" customHeight="true" outlineLevel="0" collapsed="false">
      <c r="A6" s="59"/>
      <c r="B6" s="61"/>
      <c r="C6" s="61"/>
      <c r="D6" s="61"/>
      <c r="E6" s="61"/>
      <c r="F6" s="122"/>
      <c r="G6" s="59"/>
      <c r="H6" s="59"/>
      <c r="I6" s="59"/>
    </row>
    <row r="8" customFormat="false" ht="18.75" hidden="false" customHeight="true" outlineLevel="0" collapsed="false">
      <c r="J8" s="74" t="s">
        <v>135</v>
      </c>
      <c r="K8" s="74"/>
      <c r="L8" s="74"/>
      <c r="M8" s="74"/>
    </row>
    <row r="9" customFormat="false" ht="19.5" hidden="false" customHeight="true" outlineLevel="0" collapsed="false">
      <c r="J9" s="26" t="s">
        <v>136</v>
      </c>
      <c r="K9" s="26" t="s">
        <v>137</v>
      </c>
      <c r="L9" s="26" t="s">
        <v>138</v>
      </c>
      <c r="M9" s="76" t="s">
        <v>74</v>
      </c>
    </row>
    <row r="10" customFormat="false" ht="16.5" hidden="false" customHeight="true" outlineLevel="0" collapsed="false">
      <c r="J10" s="14" t="s">
        <v>4</v>
      </c>
      <c r="K10" s="55"/>
      <c r="L10" s="123"/>
      <c r="M10" s="81"/>
    </row>
    <row r="11" customFormat="false" ht="16.5" hidden="false" customHeight="true" outlineLevel="0" collapsed="false">
      <c r="J11" s="32" t="s">
        <v>139</v>
      </c>
      <c r="K11" s="119" t="str">
        <f aca="false">IF(L11=0,"✓","✗")</f>
        <v>✓</v>
      </c>
      <c r="L11" s="123" t="n">
        <f aca="false">COUNTIFS(CTRL1controle,"Oui")-COUNTIFS(CTRL1controle,"Oui",CTRL1ecart,0)</f>
        <v>0</v>
      </c>
      <c r="M11" s="123" t="n">
        <f aca="false">COUNTIFS(CTRL1devise,M$9,CTRL1controle,"Oui")-COUNTIFS(CTRL1devise,M$9,CTRL1controle,"Oui",CTRL1ecart,0)</f>
        <v>0</v>
      </c>
    </row>
    <row r="12" customFormat="false" ht="16.5" hidden="false" customHeight="true" outlineLevel="0" collapsed="false">
      <c r="J12" s="32" t="s">
        <v>45</v>
      </c>
      <c r="K12" s="119" t="str">
        <f aca="false">IF(L12&gt;0,"✗","✓")</f>
        <v>✓</v>
      </c>
      <c r="L12" s="34" t="n">
        <f aca="false">IF(L13&gt;0,1,0)+IF(L14&gt;0,1,0)+IF(ABS(L15)&gt;=1,1,0)</f>
        <v>0</v>
      </c>
      <c r="M12" s="81"/>
    </row>
    <row r="13" customFormat="false" ht="16.5" hidden="false" customHeight="true" outlineLevel="0" collapsed="false">
      <c r="J13" s="32" t="s">
        <v>140</v>
      </c>
      <c r="K13" s="119"/>
      <c r="L13" s="34" t="n">
        <f aca="false">SUMPRODUCT(ISNUMBER(OPdate)*(OPcatégorie=""))</f>
        <v>0</v>
      </c>
      <c r="M13" s="81"/>
    </row>
    <row r="14" customFormat="false" ht="16.5" hidden="false" customHeight="true" outlineLevel="0" collapsed="false">
      <c r="J14" s="32" t="s">
        <v>141</v>
      </c>
      <c r="K14" s="119"/>
      <c r="L14" s="34" t="n">
        <f aca="false">SUMPRODUCT((COUNTIF(CATnom,OPcatégorie)=0)*(OPcatégorie&lt;&gt;"")*(LEFT(OPcatégorie,1)&lt;&gt;"#"))</f>
        <v>0</v>
      </c>
      <c r="M14" s="81"/>
    </row>
    <row r="15" customFormat="false" ht="16.5" hidden="false" customHeight="true" outlineLevel="0" collapsed="false">
      <c r="J15" s="32" t="s">
        <v>142</v>
      </c>
      <c r="K15" s="119"/>
      <c r="L15" s="81" t="n">
        <f aca="false">ABS(Budget!G$28)+ABS(Budget!I$29-Budget!G$29)+ABS(Budget!C$11)</f>
        <v>0</v>
      </c>
      <c r="M15" s="81" t="n">
        <f aca="false">ROUND(SUMPRODUCT(SUMIFS(OPmontant,OPdevise,M$9,OPcatégorie,CATnom,OPdate,"&gt;"&amp;Budget!$C$2-365))-SUMIFS(OPmontant,OPdevise,M$9,OPcatégorie,"&lt;&gt;"&amp;Spéciale,OPdate,"&gt;"&amp;Budget!$C$2-365),2)</f>
        <v>0</v>
      </c>
    </row>
    <row r="16" customFormat="false" ht="16.5" hidden="false" customHeight="true" outlineLevel="0" collapsed="false">
      <c r="J16" s="32" t="s">
        <v>49</v>
      </c>
      <c r="K16" s="119" t="str">
        <f aca="false">IF(L16&gt;0,"⚠","✓")</f>
        <v>✓</v>
      </c>
      <c r="L16" s="34" t="n">
        <f aca="false">SUM(L17:L19)</f>
        <v>0</v>
      </c>
      <c r="M16" s="81"/>
    </row>
    <row r="17" customFormat="false" ht="16.5" hidden="false" customHeight="true" outlineLevel="0" collapsed="false">
      <c r="J17" s="124" t="s">
        <v>143</v>
      </c>
      <c r="K17" s="119"/>
      <c r="L17" s="34" t="n">
        <f aca="false">COUNTIF(OPdate,"&lt;"&amp;DATE(2020,1,1))+COUNTIF(OPdate,"&gt;"&amp;DATE(année_courante,12,31))</f>
        <v>0</v>
      </c>
      <c r="M17" s="81"/>
    </row>
    <row r="18" customFormat="false" ht="16.5" hidden="false" customHeight="true" outlineLevel="0" collapsed="false">
      <c r="J18" s="124" t="s">
        <v>144</v>
      </c>
      <c r="K18" s="119"/>
      <c r="L18" s="34" t="n">
        <f aca="false">Patrimoine!D33</f>
        <v>0</v>
      </c>
      <c r="M18" s="81"/>
    </row>
    <row r="19" customFormat="false" ht="16.5" hidden="false" customHeight="true" outlineLevel="0" collapsed="false">
      <c r="J19" s="124" t="s">
        <v>145</v>
      </c>
      <c r="K19" s="119"/>
      <c r="L19" s="34" t="n">
        <f aca="false">IF(Cotations!B20="⚠",1,0)</f>
        <v>0</v>
      </c>
      <c r="M19" s="81"/>
    </row>
    <row r="20" customFormat="false" ht="16.5" hidden="false" customHeight="true" outlineLevel="0" collapsed="false">
      <c r="J20" s="32" t="s">
        <v>146</v>
      </c>
      <c r="K20" s="119" t="str">
        <f aca="false">IF(L20=0,"✓","⚠")</f>
        <v>✓</v>
      </c>
      <c r="L20" s="123" t="n">
        <f aca="false">COUNTIFS(OPréf,"-")</f>
        <v>0</v>
      </c>
      <c r="M20" s="123" t="n">
        <f aca="false">COUNTIFS(OPréf,"-",OPdevise,M$9)</f>
        <v>0</v>
      </c>
    </row>
    <row r="21" customFormat="false" ht="16.5" hidden="false" customHeight="true" outlineLevel="0" collapsed="false">
      <c r="J21" s="118" t="s">
        <v>147</v>
      </c>
      <c r="K21" s="119" t="str">
        <f aca="false">IF(L21=0,"✓","⚠")</f>
        <v>✓</v>
      </c>
      <c r="L21" s="123" t="n">
        <f aca="false">3-COUNTIFS(L22:L24,0)</f>
        <v>0</v>
      </c>
      <c r="M21" s="123" t="n">
        <f aca="false">COUNTA($J22:$J24)-COUNTIFS(M22:M24,0)</f>
        <v>0</v>
      </c>
    </row>
    <row r="22" customFormat="false" ht="16.5" hidden="false" customHeight="true" outlineLevel="0" collapsed="false">
      <c r="J22" s="125" t="s">
        <v>148</v>
      </c>
      <c r="K22" s="55"/>
      <c r="L22" s="81" t="n">
        <f aca="false">ROUND(SUMIFS(OPequiv_euro,OPcatégorie,"@Virement"),0)</f>
        <v>0</v>
      </c>
      <c r="M22" s="81" t="n">
        <f aca="false">SUMIFS(OPequiv_euro,OPdevise,M$9,OPcatégorie,"@Virement")</f>
        <v>0</v>
      </c>
    </row>
    <row r="23" customFormat="false" ht="16.5" hidden="false" customHeight="true" outlineLevel="0" collapsed="false">
      <c r="J23" s="125" t="s">
        <v>149</v>
      </c>
      <c r="K23" s="55"/>
      <c r="L23" s="81" t="n">
        <f aca="false">ROUND(SUMIFS(OPequiv_euro,OPcatégorie,"*titres"),0)</f>
        <v>0</v>
      </c>
      <c r="M23" s="81" t="n">
        <f aca="false">SUMIFS(OPequiv_euro,OPdevise,M$9,OPcatégorie,"*titres")</f>
        <v>0</v>
      </c>
    </row>
    <row r="24" customFormat="false" ht="16.5" hidden="false" customHeight="true" outlineLevel="0" collapsed="false">
      <c r="J24" s="125" t="s">
        <v>150</v>
      </c>
      <c r="K24" s="55"/>
      <c r="L24" s="81" t="n">
        <f aca="false">ROUND(SUMIFS(OPequiv_euro,OPcatégorie,"@Change") + SUMIFS(OPequiv_euro,OPcatégorie,"@Achat métaux"),0)</f>
        <v>0</v>
      </c>
      <c r="M24" s="81" t="n">
        <f aca="false">SUMIFS(OPequiv_euro,OPdevise,M$9,OPcatégorie,"@Change")+SUMIFS(OPequiv_euro,OPdevise,M$9,OPcatégorie,"@Achat métaux")</f>
        <v>0</v>
      </c>
    </row>
    <row r="25" customFormat="false" ht="16.5" hidden="false" customHeight="true" outlineLevel="0" collapsed="false">
      <c r="J25" s="126" t="s">
        <v>151</v>
      </c>
      <c r="K25" s="55"/>
      <c r="L25" s="81" t="n">
        <f aca="false">L22+L23+L24</f>
        <v>0</v>
      </c>
      <c r="M25" s="81" t="n">
        <f aca="false">M22+M23+M24</f>
        <v>0</v>
      </c>
    </row>
    <row r="26" customFormat="false" ht="16.5" hidden="false" customHeight="true" outlineLevel="0" collapsed="false">
      <c r="J26" s="118" t="s">
        <v>152</v>
      </c>
      <c r="K26" s="119" t="str">
        <f aca="false">IF(L26=0,"✓","✗")</f>
        <v>✓</v>
      </c>
      <c r="L26" s="123" t="n">
        <f aca="false">SUMPRODUCT((COUNTIF(AVRintitulé,OPcompte)=0)*(OPcompte&lt;&gt;""))+SUMPRODUCT(ISNUMBER(OPdate)*(OPcompte="")*(LEFT(OPcatégorie,1)&lt;&gt;"#"))+SUMPRODUCT((COUNTIF(COTcode,OPdevise)=0)*(OPdevise&lt;&gt;""))+SUMPRODUCT(ISNUMBER(OPdate)*(OPdevise="")*(LEFT(OPcatégorie,1)&lt;&gt;"#"))</f>
        <v>0</v>
      </c>
      <c r="M26" s="81"/>
    </row>
    <row r="27" customFormat="false" ht="16.5" hidden="false" customHeight="true" outlineLevel="0" collapsed="false">
      <c r="J27" s="118" t="s">
        <v>153</v>
      </c>
      <c r="K27" s="119" t="str">
        <f aca="false">IF(L27&gt;0,"✗","✓")</f>
        <v>✓</v>
      </c>
      <c r="L27" s="123" t="n">
        <f aca="false">SUM(L28:L29)</f>
        <v>0</v>
      </c>
      <c r="M27" s="81"/>
    </row>
    <row r="28" customFormat="false" ht="16.5" hidden="false" customHeight="true" outlineLevel="0" collapsed="false">
      <c r="J28" s="125" t="s">
        <v>154</v>
      </c>
      <c r="K28" s="119"/>
      <c r="L28" s="123" t="n">
        <f aca="false">IF(Avoirs!L1="✗",1,0)</f>
        <v>0</v>
      </c>
      <c r="M28" s="81"/>
    </row>
    <row r="29" customFormat="false" ht="16.5" hidden="false" customHeight="true" outlineLevel="0" collapsed="false">
      <c r="J29" s="125" t="s">
        <v>155</v>
      </c>
      <c r="K29" s="119"/>
      <c r="L29" s="123" t="n">
        <f aca="false">IF(Plus_value!B3="✗",1,0)</f>
        <v>0</v>
      </c>
      <c r="M29" s="81"/>
    </row>
    <row r="30" customFormat="false" ht="16.5" hidden="false" customHeight="true" outlineLevel="0" collapsed="false">
      <c r="J30" s="14" t="s">
        <v>4</v>
      </c>
      <c r="K30" s="55"/>
      <c r="L30" s="123"/>
      <c r="M30" s="81"/>
    </row>
    <row r="31" customFormat="false" ht="17.25" hidden="false" customHeight="true" outlineLevel="0" collapsed="false">
      <c r="J31" s="59" t="s">
        <v>156</v>
      </c>
      <c r="K31" s="61" t="str">
        <f aca="false">IF(ISNUMBER(FIND("✗",IFERROR(K11,"⚠")&amp;IFERROR(K12,"⚠")&amp;IFERROR(K16,"⚠")&amp;IFERROR(K20,"⚠")&amp;IFERROR(K21,"⚠")&amp;IFERROR(K26,"⚠")&amp;IFERROR(K27,"⚠"))),"✗",IF(ISNUMBER(FIND("⚠",IFERROR(K11,"⚠")&amp;IFERROR(K12,"⚠")&amp;IFERROR(K16,"⚠")&amp;IFERROR(K20,"⚠")&amp;IFERROR(K21,"⚠")&amp;IFERROR(K26,"⚠")&amp;IFERROR(K27,"⚠"))),"⚠","✓"))</f>
        <v>✓</v>
      </c>
      <c r="L31" s="127"/>
      <c r="M31" s="59"/>
    </row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J8:M8"/>
  </mergeCells>
  <conditionalFormatting sqref="L12 L22:L25">
    <cfRule type="cellIs" priority="2" operator="notEqual" aboveAverage="0" equalAverage="0" bottom="0" percent="0" rank="0" text="" dxfId="0">
      <formula>0</formula>
    </cfRule>
  </conditionalFormatting>
  <conditionalFormatting sqref="L10:L11 L16:L21 L26:L30">
    <cfRule type="cellIs" priority="3" operator="notEqual" aboveAverage="0" equalAverage="0" bottom="0" percent="0" rank="0" text="" dxfId="0">
      <formula>0</formula>
    </cfRule>
  </conditionalFormatting>
  <conditionalFormatting sqref="K1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20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A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C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M13:M14">
    <cfRule type="expression" priority="12" aboveAverage="0" equalAverage="0" bottom="0" percent="0" rank="0" text="" dxfId="6">
      <formula>$M$9="EUR"</formula>
    </cfRule>
  </conditionalFormatting>
  <conditionalFormatting sqref="K21">
    <cfRule type="expression" priority="13" aboveAverage="0" equalAverage="0" bottom="0" percent="0" rank="0" text="" dxfId="1">
      <formula>NOT(ISERROR(FIND("✗",INDIRECT("RC",0))))</formula>
    </cfRule>
    <cfRule type="expression" priority="14" aboveAverage="0" equalAverage="0" bottom="0" percent="0" rank="0" text="" dxfId="2">
      <formula>NOT(ISERROR(FIND("⚠",INDIRECT("RC",0))))</formula>
    </cfRule>
  </conditionalFormatting>
  <conditionalFormatting sqref="K31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K16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K26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K27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conditionalFormatting sqref="L13">
    <cfRule type="cellIs" priority="23" operator="notEqual" aboveAverage="0" equalAverage="0" bottom="0" percent="0" rank="0" text="" dxfId="0">
      <formula>0</formula>
    </cfRule>
  </conditionalFormatting>
  <conditionalFormatting sqref="L14">
    <cfRule type="cellIs" priority="24" operator="notEqual" aboveAverage="0" equalAverage="0" bottom="0" percent="0" rank="0" text="" dxfId="0">
      <formula>0</formula>
    </cfRule>
  </conditionalFormatting>
  <conditionalFormatting sqref="L15">
    <cfRule type="cellIs" priority="25" operator="notEqual" aboveAverage="0" equalAverage="0" bottom="0" percent="0" rank="0" text="" dxfId="0">
      <formula>0</formula>
    </cfRule>
  </conditionalFormatting>
  <conditionalFormatting sqref="M15">
    <cfRule type="expression" priority="26" aboveAverage="0" equalAverage="0" bottom="0" percent="0" rank="0" text="" dxfId="6">
      <formula>$M$9="EUR"</formula>
    </cfRule>
  </conditionalFormatting>
  <conditionalFormatting sqref="K12">
    <cfRule type="expression" priority="27" aboveAverage="0" equalAverage="0" bottom="0" percent="0" rank="0" text="" dxfId="1">
      <formula>NOT(ISERROR(FIND("✗",INDIRECT("RC",0))))</formula>
    </cfRule>
    <cfRule type="expression" priority="28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5:M8" type="none">
      <formula1>0</formula1>
      <formula2>0</formula2>
    </dataValidation>
    <dataValidation allowBlank="true" errorStyle="stop" operator="equal" showDropDown="false" showErrorMessage="true" showInputMessage="false" sqref="M9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4" width="45.77"/>
    <col collapsed="false" customWidth="true" hidden="false" outlineLevel="0" max="3" min="2" style="64" width="9"/>
    <col collapsed="false" customWidth="true" hidden="false" outlineLevel="0" max="4" min="4" style="64" width="10.66"/>
    <col collapsed="false" customWidth="true" hidden="false" outlineLevel="0" max="5" min="5" style="86" width="9"/>
    <col collapsed="false" customWidth="true" hidden="false" outlineLevel="0" max="6" min="6" style="64" width="14.47"/>
    <col collapsed="false" customWidth="true" hidden="false" outlineLevel="0" max="7" min="7" style="64" width="13.44"/>
    <col collapsed="false" customWidth="true" hidden="false" outlineLevel="0" max="8" min="8" style="64" width="27.36"/>
    <col collapsed="false" customWidth="true" hidden="false" outlineLevel="0" max="9" min="9" style="44" width="9.83"/>
    <col collapsed="false" customWidth="true" hidden="false" outlineLevel="0" max="10" min="10" style="44" width="9.52"/>
    <col collapsed="false" customWidth="true" hidden="false" outlineLevel="0" max="11" min="11" style="44" width="3.5"/>
    <col collapsed="false" customWidth="true" hidden="false" outlineLevel="0" max="12" min="12" style="44" width="16.15"/>
    <col collapsed="false" customWidth="false" hidden="false" outlineLevel="0" max="16383" min="13" style="44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5" t="str">
        <f aca="false">Contrôles!$K$31</f>
        <v>✓</v>
      </c>
      <c r="B1" s="75"/>
      <c r="C1" s="75"/>
      <c r="D1" s="75"/>
      <c r="E1" s="75"/>
      <c r="F1" s="75" t="str">
        <f aca="false">année_courante</f>
        <v>2026</v>
      </c>
      <c r="G1" s="75"/>
      <c r="H1" s="12"/>
    </row>
    <row r="2" customFormat="false" ht="21" hidden="false" customHeight="true" outlineLevel="0" collapsed="false">
      <c r="A2" s="26" t="s">
        <v>157</v>
      </c>
      <c r="B2" s="26" t="s">
        <v>158</v>
      </c>
      <c r="C2" s="26" t="s">
        <v>159</v>
      </c>
      <c r="D2" s="26" t="s">
        <v>160</v>
      </c>
      <c r="E2" s="51" t="s">
        <v>161</v>
      </c>
      <c r="F2" s="51" t="s">
        <v>162</v>
      </c>
      <c r="G2" s="51" t="s">
        <v>70</v>
      </c>
      <c r="H2" s="51" t="s">
        <v>163</v>
      </c>
    </row>
    <row r="3" customFormat="false" ht="14.25" hidden="false" customHeight="true" outlineLevel="0" collapsed="false">
      <c r="A3" s="128" t="s">
        <v>4</v>
      </c>
      <c r="B3" s="129"/>
      <c r="C3" s="129"/>
      <c r="D3" s="129"/>
      <c r="E3" s="55"/>
      <c r="F3" s="16"/>
      <c r="G3" s="16"/>
      <c r="H3" s="16"/>
    </row>
    <row r="4" customFormat="false" ht="16.5" hidden="false" customHeight="true" outlineLevel="0" collapsed="false">
      <c r="A4" s="128" t="s">
        <v>17</v>
      </c>
      <c r="B4" s="129" t="s">
        <v>164</v>
      </c>
      <c r="C4" s="129" t="s">
        <v>165</v>
      </c>
      <c r="D4" s="129" t="n">
        <v>2</v>
      </c>
      <c r="E4" s="55" t="s">
        <v>74</v>
      </c>
      <c r="F4" s="112" t="n">
        <v>1</v>
      </c>
      <c r="G4" s="112"/>
      <c r="H4" s="130"/>
    </row>
    <row r="5" customFormat="false" ht="16.5" hidden="false" customHeight="true" outlineLevel="0" collapsed="false">
      <c r="A5" s="128" t="s">
        <v>4</v>
      </c>
      <c r="B5" s="129"/>
      <c r="C5" s="129"/>
      <c r="D5" s="129"/>
      <c r="E5" s="55"/>
      <c r="F5" s="16"/>
      <c r="G5" s="16"/>
      <c r="H5" s="16"/>
    </row>
    <row r="6" customFormat="false" ht="15" hidden="false" customHeight="true" outlineLevel="0" collapsed="false">
      <c r="A6" s="59" t="s">
        <v>166</v>
      </c>
      <c r="B6" s="59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6" s="59"/>
      <c r="D6" s="59"/>
      <c r="E6" s="59"/>
      <c r="F6" s="59"/>
      <c r="G6" s="59"/>
      <c r="H6" s="59"/>
    </row>
    <row r="7" customFormat="false" ht="18" hidden="false" customHeight="true" outlineLevel="0" collapsed="false">
      <c r="F7" s="131"/>
      <c r="G7" s="131"/>
    </row>
    <row r="8" customFormat="false" ht="18" hidden="false" customHeight="true" outlineLevel="0" collapsed="false">
      <c r="F8" s="131"/>
      <c r="G8" s="131"/>
    </row>
    <row r="9" customFormat="false" ht="18" hidden="false" customHeight="true" outlineLevel="0" collapsed="false">
      <c r="F9" s="131"/>
      <c r="G9" s="131"/>
    </row>
    <row r="10" customFormat="false" ht="18" hidden="false" customHeight="true" outlineLevel="0" collapsed="false">
      <c r="F10" s="131"/>
      <c r="G10" s="131"/>
    </row>
    <row r="11" customFormat="false" ht="18" hidden="false" customHeight="true" outlineLevel="0" collapsed="false">
      <c r="F11" s="131"/>
      <c r="G11" s="131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6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LibreOffice/26.2.5.2$Linux_X86_64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2026-09-13T21:17:33Z</dcterms:modified>
  <cp:revision>1018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