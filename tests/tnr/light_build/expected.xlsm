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Avoirs!$H$4:$H$6</definedName>
    <definedName function="false" hidden="false" name="AVRdate_solde" vbProcedure="false">Avoirs!$J$4:$J$6</definedName>
    <definedName function="false" hidden="false" name="AVRdevise" vbProcedure="false">Avoirs!$E$4:$E$6</definedName>
    <definedName function="false" hidden="false" name="AVRdomiciliation" vbProcedure="false">Avoirs!$C$4:$C$6</definedName>
    <definedName function="false" hidden="false" name="AVRintitulé" vbProcedure="false">Avoirs!$A$4:$A$6</definedName>
    <definedName function="false" hidden="false" name="AVRmontant_anter" vbProcedure="false">Avoirs!$I$4:$I$6</definedName>
    <definedName function="false" hidden="false" name="AVRmontant_solde" vbProcedure="false">Avoirs!$K$4:$K$6</definedName>
    <definedName function="false" hidden="false" name="AVRmontant_solde_euro" vbProcedure="false">Avoirs!$L$4:$L$6</definedName>
    <definedName function="false" hidden="false" name="AVRpropriete" vbProcedure="false">Avoirs!$G$4:$G$6</definedName>
    <definedName function="false" hidden="false" name="AVRsous_type" vbProcedure="false">Avoirs!$D$4:$D$6</definedName>
    <definedName function="false" hidden="false" name="AVRtitulaire" vbProcedure="false">Avoirs!$F$4:$F$6</definedName>
    <definedName function="false" hidden="false" name="AVRtype" vbProcedure="false">Avoirs!$B$4:$B$6</definedName>
    <definedName function="false" hidden="false" name="CATaffectation" vbProcedure="false">Budget!$I$16:$I$25</definedName>
    <definedName function="false" hidden="false" name="CATaffectation_pct" vbProcedure="false">Budget!$H$16:$H$25</definedName>
    <definedName function="false" hidden="false" name="CATmontant" vbProcedure="false">Budget!$F$16:$F$25</definedName>
    <definedName function="false" hidden="false" name="CATnom" vbProcedure="false">Budget!$E$16:$E$25</definedName>
    <definedName function="false" hidden="false" name="CATposte" vbProcedure="false">Budget!$J$16:$J$25</definedName>
    <definedName function="false" hidden="false" name="CATtotal_euro" vbProcedure="false">Budget!$G$16:$G$25</definedName>
    <definedName function="false" hidden="false" name="CONVcell" vbProcedure="false">Patrimoine!$K$40:$K$62</definedName>
    <definedName function="false" hidden="false" name="CONVlégende" vbProcedure="false">Patrimoine!$L$40:$L$62</definedName>
    <definedName function="false" hidden="false" name="CONVnom" vbProcedure="false">Patrimoine!$J$40:$J$62</definedName>
    <definedName function="false" hidden="false" name="COTcode" vbProcedure="false">Cotations!$E$3:$E$5</definedName>
    <definedName function="false" hidden="false" name="COTcours" vbProcedure="false">Cotations!$F$3:$F$5</definedName>
    <definedName function="false" hidden="false" name="COTcours2" vbProcedure="false">Cotations!$H$3:$H$5</definedName>
    <definedName function="false" hidden="false" name="COTdate" vbProcedure="false">Cotations!$G$3:$G$5</definedName>
    <definedName function="false" hidden="false" name="COTdecimales" vbProcedure="false">Cotations!$D$3:$D$5</definedName>
    <definedName function="false" hidden="false" name="COTfamille" vbProcedure="false">Cotations!$C$3:$C$5</definedName>
    <definedName function="false" hidden="false" name="COTlabel" vbProcedure="false">Cotations!$A$3:$A$5</definedName>
    <definedName function="false" hidden="false" name="COTnature" vbProcedure="false">Cotations!$B$3:$B$5</definedName>
    <definedName function="false" hidden="false" name="CTRL1compte" vbProcedure="false">Contrôles!$A$3:$A$5</definedName>
    <definedName function="false" hidden="false" name="CTRL1controle" vbProcedure="false">Contrôles!$I$3:$I$5</definedName>
    <definedName function="false" hidden="false" name="CTRL1date_ancrage" vbProcedure="false">Contrôles!$C$3:$C$5</definedName>
    <definedName function="false" hidden="false" name="CTRL1date_releve" vbProcedure="false">Contrôles!$D$3:$D$5</definedName>
    <definedName function="false" hidden="false" name="CTRL1devise" vbProcedure="false">Contrôles!$B$3:$B$5</definedName>
    <definedName function="false" hidden="false" name="CTRL1ecart" vbProcedure="false">Contrôles!$H$3:$H$5</definedName>
    <definedName function="false" hidden="false" name="CTRL1montant_ancrage" vbProcedure="false">Contrôles!$E$3:$E$5</definedName>
    <definedName function="false" hidden="false" name="CTRL1montant_releve" vbProcedure="false">Contrôles!$G$3:$G$5</definedName>
    <definedName function="false" hidden="false" name="CTRL1solde_calc" vbProcedure="false">Contrôles!$F$3:$F$5</definedName>
    <definedName function="false" hidden="false" name="CTRL2affichage" vbProcedure="false">Contrôles!$K$10:$K$27</definedName>
    <definedName function="false" hidden="false" name="CTRL2drill" vbProcedure="false">Contrôles!$M$10:$M$27</definedName>
    <definedName function="false" hidden="false" name="CTRL2general" vbProcedure="false">Contrôles!$L$10:$L$27</definedName>
    <definedName function="false" hidden="false" name="CTRL2type" vbProcedure="false">Contrôles!$J$10:$J$27</definedName>
    <definedName function="false" hidden="false" name="CTRL2_fonds_en_transit" vbProcedure="false">Contrôles!$L$22</definedName>
    <definedName function="false" hidden="false" name="CTRL2_synthese" vbProcedure="false">Contrôles!$K$28</definedName>
    <definedName function="false" hidden="false" name="OPcatégorie" vbProcedure="false">Opérations!$G$4:$G$10000</definedName>
    <definedName function="false" hidden="false" name="OPcommentaire" vbProcedure="false">Opérations!$I$4:$I$10000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ext1" vbProcedure="false">Patrimoine!$F$5:$F$32</definedName>
    <definedName function="false" hidden="false" name="PAText2" vbProcedure="false">Patrimoine!$G$5:$G$32</definedName>
    <definedName function="false" hidden="false" name="PAText3" vbProcedure="false">Patrimoine!$H$5:$H$32</definedName>
    <definedName function="false" hidden="false" name="PAText4" vbProcedure="false">Patrimoine!$I$5:$I$32</definedName>
    <definedName function="false" hidden="false" name="PATlabel" vbProcedure="false">Patrimoine!$B$5:$B$32</definedName>
    <definedName function="false" hidden="false" name="PATnombre" vbProcedure="false">Patrimoine!$C$5:$C$32</definedName>
    <definedName function="false" hidden="false" name="PATpoids" vbProcedure="false">Patrimoine!$E$5:$E$32</definedName>
    <definedName function="false" hidden="false" name="PATvaleur" vbProcedure="false">Patrimoine!$D$5:$D$32</definedName>
    <definedName function="false" hidden="false" name="POSTESmontant" vbProcedure="false">Budget!$C$4:$C$7</definedName>
    <definedName function="false" hidden="false" name="POSTESnom" vbProcedure="false">Budget!$A$4:$A$7</definedName>
    <definedName function="false" hidden="false" name="POSTEStype" vbProcedure="false">Budget!$B$4:$B$7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date_init" vbProcedure="false">Plus_value!$G$5:$G$14</definedName>
    <definedName function="false" hidden="false" name="PVLdevise" vbProcedure="false">Plus_value!$D$5:$D$14</definedName>
    <definedName function="false" hidden="false" name="PVLmontant" vbProcedure="false">Plus_value!$K$5:$K$14</definedName>
    <definedName function="false" hidden="false" name="PVLmontant_init" vbProcedure="false">Plus_value!$H$5:$H$14</definedName>
    <definedName function="false" hidden="false" name="PVLpct" vbProcedure="false">Plus_value!$F$5:$F$14</definedName>
    <definedName function="false" hidden="false" name="PVLpvl" vbProcedure="false">Plus_value!$E$5:$E$14</definedName>
    <definedName function="false" hidden="false" name="PVLsection" vbProcedure="false">Plus_value!$A$5:$A$14</definedName>
    <definedName function="false" hidden="false" name="PVLsigma" vbProcedure="false">Plus_value!$I$5:$I$14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CHEMA_VERSION" vbProcedure="false">3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<sst xmlns="http://schemas.openxmlformats.org/spreadsheetml/2006/main" count="231" uniqueCount="159">
  <si>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</si>
  <si>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</si>
  <si>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</si>
  <si>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</si>
  <si>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</si>
  <si>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</si>
  <si>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</si>
  <si>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</si>
  <si>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</si>
  <si>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</si>
  <si>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</si>
  <si>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</si>
  <si>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</si>
  <si>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</si>
  <si>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</si>
  <si>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</si>
  <si>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</si>
  <si>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</si>
  <si>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</si>
  <si>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</si>
  <si>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</si>
  <si>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</si>
  <si>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</si>
  <si>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</si>
  <si>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Erreurs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</si>
  <si>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</si>
  <si>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</si>
  <si>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</si>
  <si>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</si>
  <si>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</si>
  <si>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</si>
  <si>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</si>
  <si>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</si>
  <si>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</si>
  <si>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</si>
  <si>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</si>
  <si>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</si>
  <si>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</si>
  <si>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</si>
  <si>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</si>
  <si>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</si>
  <si>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</si>
  <si>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</si>
  <si>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DIVERS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</si>
  <si>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</si>
  <si>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</si>
  <si>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</si>
  <si>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</si>
  <si>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</si>
  <si>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</si>
  <si>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</si>
  <si>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</si>
  <si>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</si>
  <si>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</si>
  <si>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</si>
  <si>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</si>
  <si>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</si>
  <si>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</si>
  <si>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</si>
  <si>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</si>
  <si>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</si>
  <si>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</si>
  <si>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</si>
  <si>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</si>
  <si>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</si>
  <si>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</si>
  <si>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</si>
  <si>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Livret A Barnabé</t>
  </si>
  <si>
    <t xml:space="preserve">EUR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</si>
  <si>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</si>
  <si>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</si>
  <si>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</si>
  <si>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</si>
  <si>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Banque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</si>
  <si>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</si>
  <si>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</si>
  <si>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</si>
  <si>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</si>
  <si>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</si>
  <si>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</si>
  <si>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</si>
  <si>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</si>
  <si>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</si>
  <si>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</si>
  <si>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</si>
  <si>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</si>
  <si>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</si>
  <si>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</si>
  <si>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</si>
  <si>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Frais bancaires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</si>
  <si>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</si>
  <si>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</si>
  <si>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</si>
  <si>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</si>
  <si>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</si>
  <si>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</si>
  <si>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</si>
  <si>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</si>
  <si>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</si>
  <si>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</si>
  <si>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</si>
  <si>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</si>
  <si>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</si>
  <si>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</si>
  <si>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</si>
  <si>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</si>
  <si>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</si>
  <si>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</si>
  <si>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</si>
  <si>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</si>
  <si>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</si>
  <si>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</si>
  <si>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</si>
  <si>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</si>
  <si>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</si>
  <si>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</si>
  <si>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</si>
  <si>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</si>
  <si>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</si>
  <si>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</si>
  <si>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</si>
  <si>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</si>
  <si>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</si>
  <si>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</si>
  <si>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</si>
  <si>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</si>
  <si>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</si>
  <si>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</si>
  <si>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Oui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</si>
  <si>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</si>
  <si>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</si>
  <si>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</si>
  <si>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</si>
  <si>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</si>
  <si>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</si>
  <si>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    Date hors période</t>
  </si>
  <si>
    <t xml:space="preserve">    Ventilation Patrimoine</t>
  </si>
  <si>
    <t xml:space="preserve">    Cotations</t>
  </si>
  <si>
    <t xml:space="preserve">APPARIEMENTS</t>
  </si>
  <si>
    <t xml:space="preserve">BALANCES</t>
  </si>
  <si>
    <t xml:space="preserve">    Virements €</t>
  </si>
  <si>
    <t xml:space="preserve">    Titres €</t>
  </si>
  <si>
    <t xml:space="preserve">    Changes Eq €</t>
  </si>
  <si>
    <t xml:space="preserve">    Total €</t>
  </si>
  <si>
    <t xml:space="preserve">INCONNUS (Comptes)</t>
  </si>
  <si>
    <t xml:space="preserve">FORMULES</t>
  </si>
  <si>
    <t xml:space="preserve">    Avoirs</t>
  </si>
  <si>
    <t xml:space="preserve">    Plus_value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</si>
  <si>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</si>
  <si>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</si>
  <si>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</si>
  <si>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</si>
  <si>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</si>
  <si>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</si>
  <si>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</si>
  <si>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</si>
  <si>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</si>
  <si>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</si>
  <si>
    <t xml:space="preserve">Alarme cotations</t>
  </si>
</sst>
</file>

<file path=xl/styles.xml><?xml version="1.0" encoding="utf-8"?>
<styleSheet xmlns="http://schemas.openxmlformats.org/spreadsheetml/2006/main">
  <numFmts count="28">
    <numFmt numFmtId="164" formatCode="General"/>
    <numFmt numFmtId="165" formatCode="#,##0.00\ [$€-40C];\-#,##0.00\ [$€-40C]"/>
    <numFmt numFmtId="166" formatCode="#,##0;\-#,##0"/>
    <numFmt numFmtId="167" formatCode="#,##0.00;\-#,##0.00"/>
    <numFmt numFmtId="168" formatCode="#,##0.00000;\-#,##0.00000"/>
    <numFmt numFmtId="169" formatCode="#,##0.000000000"/>
    <numFmt numFmtId="170" formatCode="mmm\-yy"/>
    <numFmt numFmtId="171" formatCode="@"/>
    <numFmt numFmtId="172" formatCode="dd/mm/yy"/>
    <numFmt numFmtId="173" formatCode="#,##0.00\ [$€-40C];[RED]\-#,##0.00\ [$€-40C]"/>
    <numFmt numFmtId="174" formatCode="0\ %"/>
    <numFmt numFmtId="175" formatCode="0"/>
    <numFmt numFmtId="176" formatCode="#,##0%"/>
    <numFmt numFmtId="177" formatCode="#,##0.00\ [$USD];[RED]\-#,##0.00\ [$USD]"/>
    <numFmt numFmtId="178" formatCode="[$€-40C]\ #,##0.00"/>
    <numFmt numFmtId="179" formatCode="d\ mmm\ yyyy"/>
    <numFmt numFmtId="180" formatCode="\ #,##0\ [$€-40C]"/>
    <numFmt numFmtId="181" formatCode="\ #,##0.00\ [$€-40C]"/>
    <numFmt numFmtId="182" formatCode="@&quot; ▼&quot;"/>
    <numFmt numFmtId="183" formatCode="#,##0.00000\ [$€-40C];\-#,##0.00000\ [$€-40C]"/>
    <numFmt numFmtId="184" formatCode="0%"/>
    <numFmt numFmtId="185" formatCode="#,##0"/>
    <numFmt numFmtId="186" formatCode="0.00\ %"/>
    <numFmt numFmtId="187" formatCode="[$-40C]dd/mm/yy"/>
    <numFmt numFmtId="188" formatCode="dd/mm/yyyy"/>
    <numFmt numFmtId="189" formatCode="0.00000"/>
    <numFmt numFmtId="190" formatCode="#,##0.00"/>
    <numFmt numFmtId="191" formatCode="\ 0.00\ [$€-40C]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47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0" borderId="0" applyFont="true" applyBorder="false" applyAlignment="true" applyProtection="false">
      <alignment horizontal="general" vertical="center" textRotation="0" wrapText="false" indent="0" shrinkToFit="false"/>
    </xf>
    <xf numFmtId="167" fontId="5" fillId="0" borderId="0" applyFont="true" applyBorder="false" applyAlignment="true" applyProtection="false">
      <alignment horizontal="general" vertical="center" textRotation="0" wrapText="false" indent="0" shrinkToFit="false"/>
    </xf>
    <xf numFmtId="168" fontId="5" fillId="0" borderId="0" applyFont="true" applyBorder="false" applyAlignment="true" applyProtection="false">
      <alignment horizontal="general" vertical="center" textRotation="0" wrapText="false" indent="0" shrinkToFit="false"/>
    </xf>
    <xf numFmtId="165" fontId="5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29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2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5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5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6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5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7" fontId="11" fillId="17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7" fontId="11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4" fillId="15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3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15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16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79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0" fontId="11" fillId="16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1" fillId="16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0" fontId="11" fillId="16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2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3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1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2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4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1" fontId="19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3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3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7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8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8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9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7" fontId="16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0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1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right" vertical="top" textRotation="0" wrapText="true" indent="7" shrinkToFit="false"/>
      <protection locked="true" hidden="false"/>
    </xf>
    <xf numFmtId="164" fontId="11" fillId="16" borderId="5" xfId="0" applyFont="true" applyBorder="true" applyAlignment="true" applyProtection="true">
      <alignment horizontal="right" vertical="top" textRotation="0" wrapText="true" indent="5" shrinkToFit="false"/>
      <protection locked="true" hidden="false"/>
    </xf>
    <xf numFmtId="164" fontId="12" fillId="16" borderId="5" xfId="0" applyFont="true" applyBorder="true" applyAlignment="true" applyProtection="true">
      <alignment horizontal="right" vertical="top" textRotation="0" wrapText="true" indent="5" shrinkToFit="false"/>
      <protection locked="true" hidden="false"/>
    </xf>
    <xf numFmtId="164" fontId="12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4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3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dec0" xfId="41"/>
    <cellStyle name="Drill_dec2" xfId="42"/>
    <cellStyle name="Drill_dec5" xfId="43"/>
    <cellStyle name="Drill_EUR" xfId="44"/>
    <cellStyle name="Input" xfId="45"/>
    <cellStyle name="Résultat2" xfId="46"/>
  </cellStyles>
  <dxfs count="15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b val="0"/>
        <i val="0"/>
        <strike val="0"/>
        <outline val="0"/>
        <shadow val="0"/>
        <color rgb="FF000000"/>
        <sz val="10"/>
        <u val="none"/>
      </font>
      <numFmt numFmtId="165" formatCode="#,##0.00\ [$€-40C];\-#,##0.00\ [$€-40C]"/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Contrôles!K$28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str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1</v>
      </c>
      <c r="D4" s="11" t="n">
        <f aca="false">Avoirs!L2</f>
        <v>0</v>
      </c>
      <c r="E4" s="12"/>
      <c r="F4" s="12"/>
      <c r="G4" s="11" t="n">
        <f aca="false">Plus_value!E3</f>
        <v>0</v>
      </c>
      <c r="H4" s="13" t="e">
        <f aca="false">Plus_value!F15</f>
        <v>#DIV/0!</v>
      </c>
      <c r="I4" s="13"/>
    </row>
    <row r="5" customFormat="false" ht="15.75" hidden="false" customHeight="true" outlineLevel="0" collapsed="false">
      <c r="B5" s="14" t="s">
        <v>4</v>
      </c>
      <c r="C5" s="15"/>
      <c r="D5" s="16"/>
      <c r="E5" s="17"/>
      <c r="F5" s="18"/>
      <c r="G5" s="19"/>
      <c r="H5" s="18"/>
      <c r="I5" s="18"/>
    </row>
    <row r="6" customFormat="false" ht="15.75" hidden="false" customHeight="true" outlineLevel="0" collapsed="false">
      <c r="B6" s="20" t="s">
        <v>5</v>
      </c>
      <c r="C6" s="20"/>
      <c r="D6" s="21"/>
      <c r="E6" s="12"/>
      <c r="F6" s="18"/>
      <c r="G6" s="18"/>
      <c r="H6" s="18"/>
      <c r="I6" s="18"/>
    </row>
    <row r="7" customFormat="false" ht="16.5" hidden="false" customHeight="true" outlineLevel="0" collapsed="false">
      <c r="B7" s="22" t="s">
        <v>6</v>
      </c>
      <c r="C7" s="15" t="n">
        <f aca="false">COUNTIF(AVRtype,$B7)</f>
        <v>0</v>
      </c>
      <c r="D7" s="16" t="n">
        <f aca="false">SUMIF(AVRtype,$B7,AVRmontant_solde_euro)</f>
        <v>0</v>
      </c>
      <c r="E7" s="17" t="e">
        <f aca="false">D7/D$14</f>
        <v>#DIV/0!</v>
      </c>
      <c r="F7" s="18"/>
      <c r="G7" s="19"/>
      <c r="H7" s="18"/>
      <c r="I7" s="18"/>
    </row>
    <row r="8" customFormat="false" ht="16.5" hidden="false" customHeight="true" outlineLevel="0" collapsed="false">
      <c r="B8" s="22" t="s">
        <v>7</v>
      </c>
      <c r="C8" s="15" t="n">
        <f aca="false">COUNTIF(AVRtype,$B8)</f>
        <v>0</v>
      </c>
      <c r="D8" s="16" t="n">
        <f aca="false">SUMIF(AVRtype,$B8,AVRmontant_solde_euro)</f>
        <v>0</v>
      </c>
      <c r="E8" s="17" t="e">
        <f aca="false">D8/D$14</f>
        <v>#DIV/0!</v>
      </c>
      <c r="F8" s="18"/>
      <c r="G8" s="18"/>
      <c r="H8" s="18"/>
      <c r="I8" s="18"/>
    </row>
    <row r="9" customFormat="false" ht="16.5" hidden="false" customHeight="true" outlineLevel="0" collapsed="false">
      <c r="B9" s="22" t="s">
        <v>8</v>
      </c>
      <c r="C9" s="15" t="n">
        <f aca="false">COUNTIF(AVRtype,$B9)</f>
        <v>1</v>
      </c>
      <c r="D9" s="16" t="n">
        <f aca="false">SUMIF(AVRtype,$B9,AVRmontant_solde_euro)</f>
        <v>0</v>
      </c>
      <c r="E9" s="17" t="e">
        <f aca="false">D9/D$14</f>
        <v>#DIV/0!</v>
      </c>
      <c r="F9" s="18"/>
      <c r="G9" s="18"/>
      <c r="H9" s="18"/>
      <c r="I9" s="18"/>
    </row>
    <row r="10" customFormat="false" ht="16.5" hidden="false" customHeight="true" outlineLevel="0" collapsed="false">
      <c r="B10" s="22" t="s">
        <v>9</v>
      </c>
      <c r="C10" s="15" t="n">
        <f aca="false">COUNTIF(AVRtype,$B10)</f>
        <v>0</v>
      </c>
      <c r="D10" s="16" t="n">
        <f aca="false">SUMIF(AVRtype,$B10,AVRmontant_solde_euro)</f>
        <v>0</v>
      </c>
      <c r="E10" s="17" t="e">
        <f aca="false">D10/D$14</f>
        <v>#DIV/0!</v>
      </c>
      <c r="F10" s="18"/>
      <c r="G10" s="18"/>
      <c r="H10" s="18"/>
      <c r="I10" s="18"/>
    </row>
    <row r="11" customFormat="false" ht="16.5" hidden="false" customHeight="true" outlineLevel="0" collapsed="false">
      <c r="B11" s="22" t="s">
        <v>10</v>
      </c>
      <c r="C11" s="15" t="n">
        <f aca="false">COUNTIF(AVRtype,$B11)</f>
        <v>0</v>
      </c>
      <c r="D11" s="16" t="n">
        <f aca="false">SUMIF(AVRtype,$B11,AVRmontant_solde_euro)</f>
        <v>0</v>
      </c>
      <c r="E11" s="17" t="e">
        <f aca="false">D11/D$14</f>
        <v>#DIV/0!</v>
      </c>
      <c r="F11" s="18"/>
      <c r="G11" s="18"/>
      <c r="H11" s="18"/>
      <c r="I11" s="18"/>
    </row>
    <row r="12" customFormat="false" ht="16.5" hidden="false" customHeight="true" outlineLevel="0" collapsed="false">
      <c r="B12" s="22" t="s">
        <v>11</v>
      </c>
      <c r="C12" s="15" t="n">
        <f aca="false">COUNTIF(AVRtype,$B12)</f>
        <v>0</v>
      </c>
      <c r="D12" s="16" t="n">
        <f aca="false">SUMIF(AVRtype,$B12,AVRmontant_solde_euro)</f>
        <v>0</v>
      </c>
      <c r="E12" s="17" t="e">
        <f aca="false">D12/D$14</f>
        <v>#DIV/0!</v>
      </c>
      <c r="F12" s="18"/>
      <c r="G12" s="19"/>
      <c r="H12" s="18"/>
      <c r="I12" s="18"/>
    </row>
    <row r="13" customFormat="false" ht="16.5" hidden="false" customHeight="true" outlineLevel="0" collapsed="false">
      <c r="B13" s="22" t="s">
        <v>12</v>
      </c>
      <c r="C13" s="15" t="n">
        <f aca="false">COUNTIF(AVRtype,$B13)</f>
        <v>0</v>
      </c>
      <c r="D13" s="16" t="n">
        <f aca="false">SUMIF(AVRtype,$B13,AVRmontant_solde_euro)</f>
        <v>0</v>
      </c>
      <c r="E13" s="17" t="e">
        <f aca="false">D13/D$14</f>
        <v>#DIV/0!</v>
      </c>
      <c r="F13" s="18"/>
      <c r="G13" s="19"/>
      <c r="H13" s="18"/>
      <c r="I13" s="18"/>
    </row>
    <row r="14" customFormat="false" ht="16.5" hidden="false" customHeight="true" outlineLevel="0" collapsed="false">
      <c r="B14" s="23" t="s">
        <v>3</v>
      </c>
      <c r="C14" s="15" t="n">
        <f aca="false">SUM(C7:C13)</f>
        <v>1</v>
      </c>
      <c r="D14" s="24" t="n">
        <f aca="false">ROUND(SUM(D7:D13),2)</f>
        <v>0</v>
      </c>
      <c r="E14" s="17"/>
      <c r="F14" s="18"/>
      <c r="G14" s="18"/>
      <c r="H14" s="18"/>
      <c r="I14" s="18"/>
    </row>
    <row r="15" customFormat="false" ht="16.5" hidden="false" customHeight="true" outlineLevel="0" collapsed="false">
      <c r="B15" s="20" t="s">
        <v>13</v>
      </c>
      <c r="C15" s="25"/>
      <c r="D15" s="26"/>
      <c r="E15" s="12"/>
      <c r="F15" s="18"/>
      <c r="G15" s="18"/>
      <c r="H15" s="18"/>
      <c r="I15" s="18"/>
    </row>
    <row r="16" customFormat="false" ht="16.5" hidden="false" customHeight="true" outlineLevel="0" collapsed="false">
      <c r="B16" s="22" t="s">
        <v>14</v>
      </c>
      <c r="C16" s="15" t="n">
        <f aca="false">COUNTIF(AVRsous_type,$B16)</f>
        <v>0</v>
      </c>
      <c r="D16" s="16" t="n">
        <f aca="false">SUMIF(AVRsous_type,B16,AVRmontant_solde_euro)</f>
        <v>0</v>
      </c>
      <c r="E16" s="17" t="e">
        <f aca="false">D16/D$21</f>
        <v>#DIV/0!</v>
      </c>
      <c r="F16" s="18"/>
      <c r="G16" s="19"/>
      <c r="H16" s="18"/>
      <c r="I16" s="18"/>
    </row>
    <row r="17" customFormat="false" ht="16.5" hidden="false" customHeight="true" outlineLevel="0" collapsed="false">
      <c r="B17" s="22" t="s">
        <v>15</v>
      </c>
      <c r="C17" s="15" t="n">
        <f aca="false">COUNTIF(AVRsous_type,$B17)</f>
        <v>0</v>
      </c>
      <c r="D17" s="16" t="n">
        <f aca="false">SUMIF(AVRsous_type,B17,AVRmontant_solde_euro)</f>
        <v>0</v>
      </c>
      <c r="E17" s="17" t="e">
        <f aca="false">D17/D$21</f>
        <v>#DIV/0!</v>
      </c>
      <c r="F17" s="18"/>
      <c r="G17" s="18"/>
      <c r="H17" s="18"/>
      <c r="I17" s="18"/>
    </row>
    <row r="18" customFormat="false" ht="16.5" hidden="false" customHeight="true" outlineLevel="0" collapsed="false">
      <c r="B18" s="22" t="s">
        <v>16</v>
      </c>
      <c r="C18" s="15" t="n">
        <f aca="false">COUNTIF(AVRsous_type,$B18)</f>
        <v>0</v>
      </c>
      <c r="D18" s="16" t="n">
        <f aca="false">SUMIF(AVRsous_type,B18,AVRmontant_solde_euro)</f>
        <v>0</v>
      </c>
      <c r="E18" s="17" t="e">
        <f aca="false">D18/D$21</f>
        <v>#DIV/0!</v>
      </c>
      <c r="F18" s="18"/>
      <c r="G18" s="18"/>
      <c r="H18" s="18"/>
      <c r="I18" s="18"/>
    </row>
    <row r="19" customFormat="false" ht="16.5" hidden="false" customHeight="true" outlineLevel="0" collapsed="false">
      <c r="B19" s="22" t="s">
        <v>17</v>
      </c>
      <c r="C19" s="15" t="n">
        <f aca="false">COUNTIF(AVRsous_type,$B19)</f>
        <v>1</v>
      </c>
      <c r="D19" s="16" t="n">
        <f aca="false">SUMIF(AVRsous_type,B19,AVRmontant_solde_euro)</f>
        <v>0</v>
      </c>
      <c r="E19" s="17" t="e">
        <f aca="false">D19/D$21</f>
        <v>#DIV/0!</v>
      </c>
      <c r="F19" s="18"/>
      <c r="G19" s="18"/>
      <c r="H19" s="18"/>
      <c r="I19" s="18"/>
    </row>
    <row r="20" customFormat="false" ht="16.5" hidden="false" customHeight="true" outlineLevel="0" collapsed="false">
      <c r="B20" s="22" t="s">
        <v>12</v>
      </c>
      <c r="C20" s="15" t="n">
        <f aca="false">COUNTIF(AVRsous_type,$B20)</f>
        <v>0</v>
      </c>
      <c r="D20" s="16" t="n">
        <f aca="false">SUMIF(AVRsous_type,B20,AVRmontant_solde_euro)</f>
        <v>0</v>
      </c>
      <c r="E20" s="17" t="e">
        <f aca="false">D20/D$21</f>
        <v>#DIV/0!</v>
      </c>
      <c r="F20" s="18"/>
      <c r="G20" s="18"/>
      <c r="H20" s="18"/>
      <c r="I20" s="18"/>
    </row>
    <row r="21" customFormat="false" ht="16.5" hidden="false" customHeight="true" outlineLevel="0" collapsed="false">
      <c r="B21" s="23" t="s">
        <v>3</v>
      </c>
      <c r="C21" s="15" t="n">
        <f aca="false">SUM(C16:C20)</f>
        <v>1</v>
      </c>
      <c r="D21" s="24" t="n">
        <f aca="false">ROUND(SUM(D16:D20),2)</f>
        <v>0</v>
      </c>
      <c r="E21" s="17"/>
      <c r="F21" s="18"/>
      <c r="G21" s="18"/>
      <c r="H21" s="18"/>
      <c r="I21" s="18"/>
    </row>
    <row r="22" customFormat="false" ht="16.5" hidden="false" customHeight="true" outlineLevel="0" collapsed="false">
      <c r="B22" s="27" t="s">
        <v>18</v>
      </c>
      <c r="C22" s="28"/>
      <c r="D22" s="26"/>
      <c r="E22" s="12"/>
      <c r="F22" s="18"/>
      <c r="G22" s="18"/>
      <c r="H22" s="18"/>
      <c r="I22" s="18"/>
    </row>
    <row r="23" customFormat="false" ht="16.5" hidden="false" customHeight="true" outlineLevel="0" collapsed="false">
      <c r="B23" s="29" t="s">
        <v>12</v>
      </c>
      <c r="C23" s="15" t="n">
        <f aca="false">COUNTIF(AVRdomiciliation,$B23)</f>
        <v>1</v>
      </c>
      <c r="D23" s="16" t="n">
        <f aca="false">SUMIF(AVRdomiciliation,$B23,AVRmontant_solde_euro)</f>
        <v>0</v>
      </c>
      <c r="E23" s="17" t="e">
        <f aca="false">D23/D$24</f>
        <v>#DIV/0!</v>
      </c>
      <c r="F23" s="18"/>
      <c r="G23" s="19"/>
      <c r="H23" s="18"/>
      <c r="I23" s="18"/>
    </row>
    <row r="24" customFormat="false" ht="16.5" hidden="false" customHeight="true" outlineLevel="0" collapsed="false">
      <c r="B24" s="23" t="s">
        <v>3</v>
      </c>
      <c r="C24" s="15" t="n">
        <f aca="false">SUM(C23)</f>
        <v>1</v>
      </c>
      <c r="D24" s="24" t="n">
        <f aca="false">ROUND(SUM(D23),2)</f>
        <v>0</v>
      </c>
      <c r="E24" s="17"/>
      <c r="F24" s="18"/>
      <c r="G24" s="18"/>
      <c r="H24" s="18"/>
      <c r="I24" s="18"/>
    </row>
    <row r="25" customFormat="false" ht="16.5" hidden="false" customHeight="true" outlineLevel="0" collapsed="false">
      <c r="B25" s="20" t="s">
        <v>19</v>
      </c>
      <c r="C25" s="25"/>
      <c r="D25" s="26"/>
      <c r="E25" s="12"/>
      <c r="F25" s="18"/>
      <c r="G25" s="18"/>
      <c r="H25" s="18"/>
      <c r="I25" s="18"/>
    </row>
    <row r="26" customFormat="false" ht="16.5" hidden="false" customHeight="true" outlineLevel="0" collapsed="false">
      <c r="B26" s="22" t="s">
        <v>12</v>
      </c>
      <c r="C26" s="15" t="n">
        <f aca="false">COUNTIF(AVRtitulaire,$B26)</f>
        <v>1</v>
      </c>
      <c r="D26" s="16" t="n">
        <f aca="false">SUMIF(AVRtitulaire,$B26,AVRmontant_solde_euro)</f>
        <v>0</v>
      </c>
      <c r="E26" s="17" t="e">
        <f aca="false">D26/D$27</f>
        <v>#DIV/0!</v>
      </c>
      <c r="F26" s="18"/>
      <c r="G26" s="18"/>
      <c r="H26" s="18"/>
      <c r="I26" s="18"/>
    </row>
    <row r="27" customFormat="false" ht="16.5" hidden="false" customHeight="true" outlineLevel="0" collapsed="false">
      <c r="B27" s="23" t="s">
        <v>3</v>
      </c>
      <c r="C27" s="15" t="n">
        <f aca="false">SUM(C26)</f>
        <v>1</v>
      </c>
      <c r="D27" s="24" t="n">
        <f aca="false">ROUND(SUM(D26),2)</f>
        <v>0</v>
      </c>
      <c r="E27" s="17"/>
      <c r="F27" s="18"/>
      <c r="G27" s="18"/>
      <c r="H27" s="18"/>
      <c r="I27" s="18"/>
    </row>
    <row r="28" customFormat="false" ht="15.85" hidden="false" customHeight="true" outlineLevel="0" collapsed="false">
      <c r="B28" s="20" t="s">
        <v>20</v>
      </c>
      <c r="C28" s="25"/>
      <c r="D28" s="26"/>
      <c r="E28" s="12"/>
      <c r="F28" s="18"/>
      <c r="G28" s="18"/>
      <c r="H28" s="18"/>
      <c r="I28" s="18"/>
    </row>
    <row r="29" customFormat="false" ht="15.85" hidden="false" customHeight="true" outlineLevel="0" collapsed="false">
      <c r="B29" s="22" t="s">
        <v>21</v>
      </c>
      <c r="C29" s="15" t="n">
        <f aca="false">COUNTIF(AVRpropriete,$B29)</f>
        <v>1</v>
      </c>
      <c r="D29" s="16" t="n">
        <f aca="false">SUMIF(AVRpropriete,B29,AVRmontant_solde_euro)</f>
        <v>0</v>
      </c>
      <c r="E29" s="17" t="e">
        <f aca="false">D29/D$31</f>
        <v>#DIV/0!</v>
      </c>
      <c r="F29" s="18"/>
      <c r="G29" s="19"/>
      <c r="H29" s="18"/>
      <c r="I29" s="18"/>
    </row>
    <row r="30" customFormat="false" ht="15.85" hidden="false" customHeight="true" outlineLevel="0" collapsed="false">
      <c r="B30" s="22" t="s">
        <v>22</v>
      </c>
      <c r="C30" s="15" t="n">
        <f aca="false">COUNTIF(AVRpropriete,$B30)</f>
        <v>0</v>
      </c>
      <c r="D30" s="16" t="n">
        <f aca="false">SUMIF(AVRpropriete,B30,AVRmontant_solde_euro)</f>
        <v>0</v>
      </c>
      <c r="E30" s="17" t="e">
        <f aca="false">D30/D$31</f>
        <v>#DIV/0!</v>
      </c>
      <c r="F30" s="18"/>
      <c r="G30" s="19" t="s">
        <v>23</v>
      </c>
      <c r="H30" s="18"/>
      <c r="I30" s="18"/>
    </row>
    <row r="31" customFormat="false" ht="15.85" hidden="false" customHeight="true" outlineLevel="0" collapsed="false">
      <c r="B31" s="23" t="s">
        <v>3</v>
      </c>
      <c r="C31" s="15" t="n">
        <f aca="false">SUM(C29:C30)</f>
        <v>1</v>
      </c>
      <c r="D31" s="24" t="n">
        <f aca="false">ROUND(SUM(D29:D30),2)</f>
        <v>0</v>
      </c>
      <c r="E31" s="17"/>
      <c r="F31" s="18"/>
      <c r="G31" s="18"/>
      <c r="H31" s="18"/>
      <c r="I31" s="18"/>
    </row>
    <row r="32" customFormat="false" ht="15.85" hidden="false" customHeight="true" outlineLevel="0" collapsed="false">
      <c r="B32" s="14" t="s">
        <v>4</v>
      </c>
      <c r="C32" s="15"/>
      <c r="D32" s="16"/>
      <c r="E32" s="17"/>
      <c r="F32" s="18"/>
      <c r="G32" s="19"/>
      <c r="H32" s="18"/>
      <c r="I32" s="18"/>
    </row>
    <row r="33" customFormat="false" ht="12.75" hidden="false" customHeight="true" outlineLevel="0" collapsed="false">
      <c r="B33" s="30" t="s">
        <v>24</v>
      </c>
      <c r="C33" s="30"/>
      <c r="D33" s="31" t="n">
        <f aca="false">(ABS(D14-D4)&gt;0.5)+(ABS(D21-D4)&gt;0.5)+(ABS(D24-D4)&gt;0.5)+(ABS(D27-D4)&gt;0.5)+(ABS(D31-D4)&gt;0.5)</f>
        <v>0</v>
      </c>
      <c r="E33" s="30"/>
      <c r="F33" s="30"/>
      <c r="G33" s="30"/>
      <c r="H33" s="30"/>
      <c r="I33" s="30"/>
    </row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>
      <c r="J38" s="3" t="s">
        <v>25</v>
      </c>
      <c r="K38" s="3"/>
      <c r="L38" s="2"/>
    </row>
    <row r="39" customFormat="false" ht="15.75" hidden="false" customHeight="true" outlineLevel="0" collapsed="false">
      <c r="J39" s="2"/>
      <c r="K39" s="2" t="s">
        <v>26</v>
      </c>
      <c r="L39" s="2" t="s">
        <v>27</v>
      </c>
    </row>
    <row r="40" customFormat="false" ht="15.75" hidden="false" customHeight="true" outlineLevel="0" collapsed="false">
      <c r="J40" s="32" t="s">
        <v>4</v>
      </c>
      <c r="K40" s="15"/>
      <c r="L40" s="15"/>
    </row>
    <row r="41" customFormat="false" ht="15.75" hidden="false" customHeight="true" outlineLevel="0" collapsed="false">
      <c r="J41" s="32"/>
      <c r="K41" s="33" t="s">
        <v>28</v>
      </c>
      <c r="L41" s="34" t="s">
        <v>29</v>
      </c>
    </row>
    <row r="42" customFormat="false" ht="15.85" hidden="false" customHeight="true" outlineLevel="0" collapsed="false">
      <c r="J42" s="32"/>
      <c r="K42" s="35" t="s">
        <v>28</v>
      </c>
      <c r="L42" s="34" t="s">
        <v>30</v>
      </c>
    </row>
    <row r="43" customFormat="false" ht="15.85" hidden="false" customHeight="true" outlineLevel="0" collapsed="false">
      <c r="J43" s="32"/>
      <c r="K43" s="36" t="s">
        <v>28</v>
      </c>
      <c r="L43" s="34" t="s">
        <v>31</v>
      </c>
    </row>
    <row r="44" customFormat="false" ht="15.85" hidden="false" customHeight="true" outlineLevel="0" collapsed="false">
      <c r="J44" s="14"/>
      <c r="K44" s="37" t="s">
        <v>28</v>
      </c>
      <c r="L44" s="38" t="s">
        <v>32</v>
      </c>
    </row>
    <row r="45" customFormat="false" ht="15.85" hidden="false" customHeight="true" outlineLevel="0" collapsed="false">
      <c r="J45" s="14"/>
      <c r="K45" s="39" t="s">
        <v>33</v>
      </c>
      <c r="L45" s="38" t="s">
        <v>34</v>
      </c>
    </row>
    <row r="46" customFormat="false" ht="15.85" hidden="false" customHeight="true" outlineLevel="0" collapsed="false">
      <c r="J46" s="14"/>
      <c r="K46" s="40" t="s">
        <v>33</v>
      </c>
      <c r="L46" s="38" t="s">
        <v>35</v>
      </c>
    </row>
    <row r="47" customFormat="false" ht="15.85" hidden="false" customHeight="true" outlineLevel="0" collapsed="false">
      <c r="J47" s="14"/>
      <c r="K47" s="41" t="s">
        <v>28</v>
      </c>
      <c r="L47" s="38" t="s">
        <v>36</v>
      </c>
    </row>
    <row r="48" customFormat="false" ht="15.85" hidden="false" customHeight="true" outlineLevel="0" collapsed="false">
      <c r="J48" s="14"/>
      <c r="K48" s="42"/>
      <c r="L48" s="38"/>
    </row>
    <row r="49" customFormat="false" ht="15.85" hidden="false" customHeight="true" outlineLevel="0" collapsed="false">
      <c r="J49" s="14"/>
      <c r="K49" s="38" t="s">
        <v>37</v>
      </c>
      <c r="L49" s="38"/>
    </row>
    <row r="50" customFormat="false" ht="15.85" hidden="false" customHeight="true" outlineLevel="0" collapsed="false">
      <c r="J50" s="14"/>
      <c r="K50" s="42"/>
      <c r="L50" s="38"/>
    </row>
    <row r="51" customFormat="false" ht="15.85" hidden="false" customHeight="true" outlineLevel="0" collapsed="false">
      <c r="J51" s="14"/>
      <c r="K51" s="42" t="s">
        <v>3</v>
      </c>
      <c r="L51" s="38" t="s">
        <v>38</v>
      </c>
    </row>
    <row r="52" customFormat="false" ht="15.85" hidden="false" customHeight="true" outlineLevel="0" collapsed="false">
      <c r="J52" s="14"/>
      <c r="K52" s="42" t="s">
        <v>39</v>
      </c>
      <c r="L52" s="38" t="s">
        <v>40</v>
      </c>
    </row>
    <row r="53" customFormat="false" ht="15.85" hidden="false" customHeight="true" outlineLevel="0" collapsed="false">
      <c r="J53" s="14"/>
      <c r="K53" s="42" t="s">
        <v>41</v>
      </c>
      <c r="L53" s="38" t="s">
        <v>42</v>
      </c>
    </row>
    <row r="54" customFormat="false" ht="15.85" hidden="false" customHeight="true" outlineLevel="0" collapsed="false">
      <c r="J54" s="14"/>
      <c r="K54" s="42" t="s">
        <v>43</v>
      </c>
      <c r="L54" s="38" t="s">
        <v>42</v>
      </c>
    </row>
    <row r="55" customFormat="false" ht="15.85" hidden="false" customHeight="true" outlineLevel="0" collapsed="false">
      <c r="J55" s="14"/>
      <c r="K55" s="42" t="s">
        <v>44</v>
      </c>
      <c r="L55" s="38" t="s">
        <v>45</v>
      </c>
    </row>
    <row r="56" customFormat="false" ht="15.85" hidden="false" customHeight="true" outlineLevel="0" collapsed="false">
      <c r="J56" s="14"/>
      <c r="K56" s="42" t="s">
        <v>46</v>
      </c>
      <c r="L56" s="38" t="s">
        <v>47</v>
      </c>
    </row>
    <row r="57" customFormat="false" ht="15.85" hidden="false" customHeight="true" outlineLevel="0" collapsed="false">
      <c r="J57" s="14"/>
      <c r="K57" s="42" t="s">
        <v>48</v>
      </c>
      <c r="L57" s="38" t="s">
        <v>47</v>
      </c>
    </row>
    <row r="58" customFormat="false" ht="15.85" hidden="false" customHeight="true" outlineLevel="0" collapsed="false">
      <c r="J58" s="14"/>
      <c r="K58" s="42" t="s">
        <v>49</v>
      </c>
      <c r="L58" s="38" t="s">
        <v>50</v>
      </c>
    </row>
    <row r="59" customFormat="false" ht="15.85" hidden="false" customHeight="true" outlineLevel="0" collapsed="false">
      <c r="J59" s="14"/>
      <c r="K59" s="42" t="s">
        <v>51</v>
      </c>
      <c r="L59" s="38" t="s">
        <v>50</v>
      </c>
    </row>
    <row r="60" customFormat="false" ht="15.85" hidden="false" customHeight="true" outlineLevel="0" collapsed="false">
      <c r="J60" s="14"/>
      <c r="K60" s="42"/>
      <c r="L60" s="42"/>
    </row>
    <row r="61" customFormat="false" ht="15.85" hidden="false" customHeight="true" outlineLevel="0" collapsed="false">
      <c r="J61" s="14"/>
      <c r="K61" s="38" t="s">
        <v>52</v>
      </c>
      <c r="L61" s="42"/>
    </row>
    <row r="62" customFormat="false" ht="15.85" hidden="false" customHeight="true" outlineLevel="0" collapsed="false">
      <c r="J62" s="14" t="s">
        <v>4</v>
      </c>
      <c r="K62" s="42"/>
      <c r="L62" s="42"/>
    </row>
    <row r="63" customFormat="false" ht="15.85" hidden="false" customHeight="true" outlineLevel="0" collapsed="false">
      <c r="J63" s="30"/>
      <c r="K63" s="30"/>
      <c r="L63" s="30"/>
    </row>
    <row r="64" customFormat="false" ht="15.85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1">
    <cfRule type="cellIs" priority="2" operator="notEqual" aboveAverage="0" equalAverage="0" bottom="0" percent="0" rank="0" text="" dxfId="0">
      <formula>Avoirs!$L$7</formula>
    </cfRule>
  </conditionalFormatting>
  <conditionalFormatting sqref="D14">
    <cfRule type="cellIs" priority="3" operator="notEqual" aboveAverage="0" equalAverage="0" bottom="0" percent="0" rank="0" text="" dxfId="0">
      <formula>Avoirs!L2</formula>
    </cfRule>
  </conditionalFormatting>
  <conditionalFormatting sqref="D24">
    <cfRule type="cellIs" priority="4" operator="notEqual" aboveAverage="0" equalAverage="0" bottom="0" percent="0" rank="0" text="" dxfId="0">
      <formula>Avoirs!L2</formula>
    </cfRule>
  </conditionalFormatting>
  <conditionalFormatting sqref="D27">
    <cfRule type="cellIs" priority="5" operator="notEqual" aboveAverage="0" equalAverage="0" bottom="0" percent="0" rank="0" text="" dxfId="0">
      <formula>Avoirs!L2</formula>
    </cfRule>
  </conditionalFormatting>
  <conditionalFormatting sqref="D31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3" width="27.16"/>
    <col collapsed="false" customWidth="true" hidden="false" outlineLevel="0" max="2" min="2" style="43" width="20.83"/>
    <col collapsed="false" customWidth="true" hidden="false" outlineLevel="0" max="3" min="3" style="43" width="17.52"/>
    <col collapsed="false" customWidth="true" hidden="false" outlineLevel="0" max="4" min="4" style="44" width="15.13"/>
    <col collapsed="false" customWidth="true" hidden="false" outlineLevel="0" max="5" min="5" style="44" width="9.52"/>
    <col collapsed="false" customWidth="true" hidden="false" outlineLevel="0" max="6" min="6" style="44" width="10.66"/>
    <col collapsed="false" customWidth="true" hidden="false" outlineLevel="0" max="7" min="7" style="44" width="10.16"/>
    <col collapsed="false" customWidth="true" hidden="false" outlineLevel="0" max="8" min="8" style="44" width="12.51"/>
    <col collapsed="false" customWidth="true" hidden="false" outlineLevel="0" max="9" min="9" style="43" width="14.16"/>
    <col collapsed="false" customWidth="true" hidden="false" outlineLevel="0" max="10" min="10" style="44" width="12.15"/>
    <col collapsed="false" customWidth="true" hidden="false" outlineLevel="0" max="11" min="11" style="44" width="15.85"/>
    <col collapsed="false" customWidth="true" hidden="false" outlineLevel="0" max="12" min="12" style="43" width="16.16"/>
    <col collapsed="false" customWidth="true" hidden="false" outlineLevel="0" max="13" min="13" style="43" width="27.5"/>
    <col collapsed="false" customWidth="true" hidden="false" outlineLevel="0" max="14" min="14" style="43" width="15"/>
    <col collapsed="false" customWidth="true" hidden="false" outlineLevel="0" max="15" min="15" style="43" width="22"/>
    <col collapsed="false" customWidth="true" hidden="false" outlineLevel="0" max="16" min="16" style="43" width="17.16"/>
    <col collapsed="false" customWidth="true" hidden="false" outlineLevel="0" max="17" min="17" style="43" width="7"/>
    <col collapsed="false" customWidth="false" hidden="false" outlineLevel="0" max="16382" min="18" style="43" width="9.67"/>
  </cols>
  <sheetData>
    <row r="1" customFormat="false" ht="16.5" hidden="false" customHeight="true" outlineLevel="0" collapsed="false">
      <c r="A1" s="45" t="s">
        <v>53</v>
      </c>
      <c r="B1" s="46" t="s">
        <v>54</v>
      </c>
      <c r="C1" s="5"/>
      <c r="D1" s="10"/>
      <c r="E1" s="10"/>
      <c r="F1" s="10"/>
      <c r="G1" s="10"/>
      <c r="H1" s="10"/>
      <c r="I1" s="12"/>
      <c r="J1" s="10"/>
      <c r="K1" s="10"/>
      <c r="L1" s="47" t="str">
        <f aca="false">IF(ISERROR(L7),"✗","✓")</f>
        <v>✓</v>
      </c>
    </row>
    <row r="2" customFormat="false" ht="16.5" hidden="false" customHeight="true" outlineLevel="0" collapsed="false">
      <c r="A2" s="48" t="str">
        <f aca="false">Contrôles!K$28</f>
        <v>✓</v>
      </c>
      <c r="B2" s="5"/>
      <c r="C2" s="5"/>
      <c r="D2" s="10"/>
      <c r="E2" s="10"/>
      <c r="F2" s="10"/>
      <c r="G2" s="10"/>
      <c r="H2" s="46" t="s">
        <v>55</v>
      </c>
      <c r="I2" s="48"/>
      <c r="J2" s="46" t="s">
        <v>56</v>
      </c>
      <c r="K2" s="48"/>
      <c r="L2" s="49" t="n">
        <f aca="false">L7</f>
        <v>0</v>
      </c>
    </row>
    <row r="3" customFormat="false" ht="33.75" hidden="false" customHeight="true" outlineLevel="0" collapsed="false">
      <c r="A3" s="26" t="s">
        <v>57</v>
      </c>
      <c r="B3" s="46" t="s">
        <v>58</v>
      </c>
      <c r="C3" s="46" t="s">
        <v>59</v>
      </c>
      <c r="D3" s="48" t="s">
        <v>60</v>
      </c>
      <c r="E3" s="50" t="s">
        <v>61</v>
      </c>
      <c r="F3" s="48" t="s">
        <v>62</v>
      </c>
      <c r="G3" s="48" t="s">
        <v>63</v>
      </c>
      <c r="H3" s="48" t="s">
        <v>64</v>
      </c>
      <c r="I3" s="26" t="s">
        <v>65</v>
      </c>
      <c r="J3" s="48" t="s">
        <v>64</v>
      </c>
      <c r="K3" s="50" t="s">
        <v>65</v>
      </c>
      <c r="L3" s="50" t="s">
        <v>66</v>
      </c>
    </row>
    <row r="4" customFormat="false" ht="14.25" hidden="false" customHeight="true" outlineLevel="0" collapsed="false">
      <c r="A4" s="14" t="s">
        <v>4</v>
      </c>
      <c r="B4" s="51"/>
      <c r="C4" s="52"/>
      <c r="D4" s="53"/>
      <c r="E4" s="53"/>
      <c r="F4" s="54"/>
      <c r="G4" s="53"/>
      <c r="H4" s="53"/>
      <c r="I4" s="53"/>
      <c r="J4" s="53"/>
      <c r="K4" s="53"/>
      <c r="L4" s="53"/>
    </row>
    <row r="5" customFormat="false" ht="14.25" hidden="false" customHeight="true" outlineLevel="0" collapsed="false">
      <c r="A5" s="14" t="s">
        <v>67</v>
      </c>
      <c r="B5" s="51" t="s">
        <v>8</v>
      </c>
      <c r="C5" s="52" t="s">
        <v>12</v>
      </c>
      <c r="D5" s="53" t="s">
        <v>17</v>
      </c>
      <c r="E5" s="53" t="s">
        <v>68</v>
      </c>
      <c r="F5" s="54" t="s">
        <v>12</v>
      </c>
      <c r="G5" s="53" t="s">
        <v>21</v>
      </c>
      <c r="H5" s="55" t="n">
        <f aca="false">_xlfn.MAXIFS(OPdate,OPcompte,$A5,OPdevise,$E5,OPcatégorie,Solde,OPequiv_euro,"&lt;&gt;")</f>
        <v>0</v>
      </c>
      <c r="I5" s="56" t="n">
        <f aca="false">SUMIFS(OPmontant,OPcompte,$A5,OPdevise,$E5,OPcatégorie,Solde,OPdate,$H5)</f>
        <v>0</v>
      </c>
      <c r="J5" s="55" t="n">
        <f aca="false">_xlfn.MAXIFS(OPdate,OPcompte,$A5,OPdevise,$E5,OPcatégorie,Solde)</f>
        <v>0</v>
      </c>
      <c r="K5" s="56" t="n">
        <f aca="false">SUMIFS(OPmontant,OPcompte,$A5,OPdevise,$E5,OPcatégorie,Solde,OPdate,$J5)</f>
        <v>0</v>
      </c>
      <c r="L5" s="56" t="n">
        <f aca="false">K5</f>
        <v>0</v>
      </c>
    </row>
    <row r="6" customFormat="false" ht="16.5" hidden="false" customHeight="true" outlineLevel="0" collapsed="false">
      <c r="A6" s="14" t="s">
        <v>4</v>
      </c>
      <c r="B6" s="52"/>
      <c r="C6" s="52"/>
      <c r="D6" s="53"/>
      <c r="E6" s="53"/>
      <c r="F6" s="53"/>
      <c r="G6" s="53"/>
      <c r="H6" s="53"/>
      <c r="I6" s="53"/>
      <c r="J6" s="55"/>
      <c r="K6" s="56"/>
      <c r="L6" s="56"/>
    </row>
    <row r="7" customFormat="false" ht="17.25" hidden="false" customHeight="true" outlineLevel="0" collapsed="false">
      <c r="A7" s="57" t="s">
        <v>44</v>
      </c>
      <c r="B7" s="57"/>
      <c r="C7" s="30"/>
      <c r="D7" s="58"/>
      <c r="E7" s="58"/>
      <c r="F7" s="59"/>
      <c r="G7" s="59"/>
      <c r="H7" s="59"/>
      <c r="I7" s="60"/>
      <c r="J7" s="60"/>
      <c r="K7" s="60"/>
      <c r="L7" s="60" t="n">
        <f aca="false">ROUND(SUM(AVRmontant_solde_euro),2)</f>
        <v>0</v>
      </c>
    </row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>
      <c r="S42" s="61"/>
    </row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L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Neue,Regular"&amp;K000000Comptes</oddHeader>
    <oddFooter>&amp;L&amp;"Helvetica Neue,Regular"&amp;K000000Page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true" showOutlineSymbols="true" defaultGridColor="true" view="normal" topLeftCell="L1" colorId="64" zoomScale="120" zoomScaleNormal="120" zoomScalePageLayoutView="100" workbookViewId="0">
      <pane xSplit="0" ySplit="3" topLeftCell="A28" activePane="bottomLeft" state="frozen"/>
      <selection pane="topLeft" activeCell="L1" activeCellId="0" sqref="L1"/>
      <selection pane="bottomLeft" activeCell="M29" activeCellId="0" sqref="M29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3" width="33.52"/>
    <col collapsed="false" customWidth="true" hidden="false" outlineLevel="0" max="2" min="2" style="43" width="11.33"/>
    <col collapsed="false" customWidth="true" hidden="false" outlineLevel="0" max="3" min="3" style="43" width="15.33"/>
    <col collapsed="false" customWidth="true" hidden="false" outlineLevel="0" max="4" min="4" style="43" width="3"/>
    <col collapsed="false" customWidth="true" hidden="false" outlineLevel="0" max="5" min="5" style="62" width="31.68"/>
    <col collapsed="false" customWidth="true" hidden="false" outlineLevel="0" max="6" min="6" style="62" width="15.77"/>
    <col collapsed="false" customWidth="true" hidden="false" outlineLevel="0" max="7" min="7" style="62" width="12.84"/>
    <col collapsed="false" customWidth="true" hidden="false" outlineLevel="0" max="8" min="8" style="62" width="11.12"/>
    <col collapsed="false" customWidth="true" hidden="false" outlineLevel="0" max="9" min="9" style="62" width="13.16"/>
    <col collapsed="false" customWidth="true" hidden="false" outlineLevel="0" max="10" min="10" style="62" width="37"/>
    <col collapsed="false" customWidth="false" hidden="false" outlineLevel="0" max="16366" min="29" style="62" width="10.83"/>
    <col collapsed="false" customWidth="true" hidden="false" outlineLevel="0" max="16384" min="16367" style="62" width="11.53"/>
  </cols>
  <sheetData>
    <row r="1" customFormat="false" ht="16.5" hidden="false" customHeight="true" outlineLevel="0" collapsed="false">
      <c r="A1" s="50" t="str">
        <f aca="false">Contrôles!K$28</f>
        <v>✓</v>
      </c>
      <c r="B1" s="12"/>
      <c r="C1" s="63" t="n">
        <f aca="false">C$2-365</f>
        <v>45798</v>
      </c>
      <c r="D1" s="63"/>
    </row>
    <row r="2" customFormat="false" ht="16.5" hidden="false" customHeight="true" outlineLevel="0" collapsed="false">
      <c r="A2" s="12"/>
      <c r="B2" s="12"/>
      <c r="C2" s="63" t="n">
        <f aca="true">TODAY()</f>
        <v>46163</v>
      </c>
      <c r="D2" s="63"/>
    </row>
    <row r="3" customFormat="false" ht="28.5" hidden="false" customHeight="true" outlineLevel="0" collapsed="false">
      <c r="A3" s="26" t="s">
        <v>69</v>
      </c>
      <c r="B3" s="26" t="s">
        <v>58</v>
      </c>
      <c r="C3" s="26" t="s">
        <v>70</v>
      </c>
      <c r="D3" s="26"/>
    </row>
    <row r="4" customFormat="false" ht="15" hidden="false" customHeight="true" outlineLevel="0" collapsed="false">
      <c r="A4" s="32" t="s">
        <v>4</v>
      </c>
      <c r="B4" s="16"/>
      <c r="C4" s="16"/>
      <c r="D4" s="16"/>
    </row>
    <row r="5" customFormat="false" ht="16.5" hidden="false" customHeight="true" outlineLevel="0" collapsed="false">
      <c r="A5" s="32" t="s">
        <v>71</v>
      </c>
      <c r="B5" s="54" t="s">
        <v>72</v>
      </c>
      <c r="C5" s="16" t="n">
        <f aca="false">SUMIF(CATposte,A5,CATaffectation)</f>
        <v>0</v>
      </c>
      <c r="D5" s="16"/>
    </row>
    <row r="6" customFormat="false" ht="16.5" hidden="false" customHeight="true" outlineLevel="0" collapsed="false">
      <c r="A6" s="32" t="s">
        <v>73</v>
      </c>
      <c r="B6" s="54" t="s">
        <v>72</v>
      </c>
      <c r="C6" s="16" t="n">
        <f aca="false">SUMIF(CATposte,A6,CATaffectation)</f>
        <v>0</v>
      </c>
      <c r="D6" s="16"/>
    </row>
    <row r="7" customFormat="false" ht="16.5" hidden="false" customHeight="true" outlineLevel="0" collapsed="false">
      <c r="A7" s="32" t="s">
        <v>4</v>
      </c>
      <c r="B7" s="54"/>
      <c r="C7" s="16"/>
      <c r="D7" s="16"/>
    </row>
    <row r="8" customFormat="false" ht="17.25" hidden="false" customHeight="true" outlineLevel="0" collapsed="false">
      <c r="A8" s="64" t="s">
        <v>74</v>
      </c>
      <c r="B8" s="57"/>
      <c r="C8" s="60" t="n">
        <f aca="false">SUM(POSTESmontant)</f>
        <v>0</v>
      </c>
      <c r="D8" s="65"/>
    </row>
    <row r="9" customFormat="false" ht="16.5" hidden="false" customHeight="true" outlineLevel="0" collapsed="false">
      <c r="A9" s="66" t="s">
        <v>75</v>
      </c>
      <c r="B9" s="67"/>
      <c r="C9" s="68" t="n">
        <f aca="false">SUMIF(POSTEStype,"Fixe",POSTESmontant)</f>
        <v>0</v>
      </c>
      <c r="D9" s="69"/>
    </row>
    <row r="10" customFormat="false" ht="17.25" hidden="false" customHeight="true" outlineLevel="0" collapsed="false">
      <c r="A10" s="66" t="s">
        <v>76</v>
      </c>
      <c r="B10" s="67"/>
      <c r="C10" s="68" t="n">
        <f aca="false">C$9/12</f>
        <v>0</v>
      </c>
      <c r="D10" s="70"/>
    </row>
    <row r="11" customFormat="false" ht="16.5" hidden="false" customHeight="true" outlineLevel="0" collapsed="false">
      <c r="A11" s="66" t="s">
        <v>77</v>
      </c>
      <c r="B11" s="67"/>
      <c r="C11" s="68" t="n">
        <f aca="false">ROUND(C$8-I$29,2)</f>
        <v>0</v>
      </c>
      <c r="D11" s="71"/>
    </row>
    <row r="13" customFormat="false" ht="18.75" hidden="false" customHeight="true" outlineLevel="0" collapsed="false">
      <c r="E13" s="72" t="s">
        <v>39</v>
      </c>
      <c r="F13" s="72"/>
      <c r="G13" s="72"/>
      <c r="H13" s="72"/>
      <c r="I13" s="72"/>
      <c r="J13" s="72"/>
    </row>
    <row r="14" customFormat="false" ht="37.5" hidden="false" customHeight="true" outlineLevel="0" collapsed="false">
      <c r="E14" s="73" t="s">
        <v>78</v>
      </c>
      <c r="F14" s="74" t="s">
        <v>68</v>
      </c>
      <c r="G14" s="26" t="s">
        <v>79</v>
      </c>
      <c r="H14" s="50" t="s">
        <v>80</v>
      </c>
      <c r="I14" s="26" t="s">
        <v>81</v>
      </c>
      <c r="J14" s="26" t="s">
        <v>69</v>
      </c>
    </row>
    <row r="15" customFormat="false" ht="15" hidden="false" customHeight="true" outlineLevel="0" collapsed="false">
      <c r="E15" s="73" t="s">
        <v>82</v>
      </c>
      <c r="F15" s="75" t="n">
        <f aca="false">INDEX(COTcours,MATCH($F$14,COTcode,0))</f>
        <v>1</v>
      </c>
      <c r="G15" s="12"/>
      <c r="H15" s="76"/>
      <c r="I15" s="77"/>
      <c r="J15" s="77"/>
    </row>
    <row r="16" customFormat="false" ht="15" hidden="false" customHeight="true" outlineLevel="0" collapsed="false">
      <c r="E16" s="32" t="s">
        <v>4</v>
      </c>
      <c r="F16" s="16"/>
      <c r="G16" s="16"/>
      <c r="H16" s="78"/>
      <c r="I16" s="16"/>
      <c r="J16" s="79"/>
    </row>
    <row r="17" customFormat="false" ht="16.5" hidden="false" customHeight="true" outlineLevel="0" collapsed="false">
      <c r="E17" s="32" t="s">
        <v>83</v>
      </c>
      <c r="F17" s="16" t="n">
        <f aca="false">SUMIFS(OPmontant,OPdevise,F$14,OPcatégorie,$E17,OPdate,"&gt;"&amp;$C$2-365)</f>
        <v>0</v>
      </c>
      <c r="G17" s="16" t="n">
        <f aca="false">SUMPRODUCT(SUMIFS(OPmontant,OPcatégorie,$E17,OPdate,"&gt;"&amp;$C$2-365,OPdevise,COTcode)*COTcours)</f>
        <v>0</v>
      </c>
      <c r="H17" s="78"/>
      <c r="I17" s="16"/>
      <c r="J17" s="79"/>
    </row>
    <row r="18" customFormat="false" ht="16.5" hidden="false" customHeight="true" outlineLevel="0" collapsed="false">
      <c r="E18" s="32" t="s">
        <v>84</v>
      </c>
      <c r="F18" s="16" t="n">
        <f aca="false">SUMIFS(OPmontant,OPdevise,F$14,OPcatégorie,$E18,OPdate,"&gt;"&amp;$C$2-365)</f>
        <v>0</v>
      </c>
      <c r="G18" s="16" t="n">
        <f aca="false">SUMPRODUCT(SUMIFS(OPmontant,OPcatégorie,$E18,OPdate,"&gt;"&amp;$C$2-365,OPdevise,COTcode)*COTcours)</f>
        <v>0</v>
      </c>
      <c r="H18" s="78"/>
      <c r="I18" s="16"/>
      <c r="J18" s="79"/>
    </row>
    <row r="19" customFormat="false" ht="16.5" hidden="false" customHeight="true" outlineLevel="0" collapsed="false">
      <c r="E19" s="32" t="s">
        <v>85</v>
      </c>
      <c r="F19" s="16" t="n">
        <f aca="false">SUMIFS(OPmontant,OPdevise,F$14,OPcatégorie,$E19,OPdate,"&gt;"&amp;$C$2-365)</f>
        <v>0</v>
      </c>
      <c r="G19" s="16" t="n">
        <f aca="false">SUMPRODUCT(SUMIFS(OPmontant,OPcatégorie,$E19,OPdate,"&gt;"&amp;$C$2-365,OPdevise,COTcode)*COTcours)</f>
        <v>0</v>
      </c>
      <c r="H19" s="16"/>
      <c r="I19" s="16"/>
      <c r="J19" s="51"/>
    </row>
    <row r="20" customFormat="false" ht="16.5" hidden="false" customHeight="true" outlineLevel="0" collapsed="false">
      <c r="E20" s="32" t="s">
        <v>86</v>
      </c>
      <c r="F20" s="16" t="n">
        <f aca="false">SUMIFS(OPmontant,OPdevise,F$14,OPcatégorie,$E20,OPdate,"&gt;"&amp;$C$2-365)</f>
        <v>0</v>
      </c>
      <c r="G20" s="16" t="n">
        <f aca="false">SUMPRODUCT(SUMIFS(OPmontant,OPcatégorie,$E20,OPdate,"&gt;"&amp;$C$2-365,OPdevise,COTcode)*COTcours)</f>
        <v>0</v>
      </c>
      <c r="H20" s="16"/>
      <c r="I20" s="16"/>
      <c r="J20" s="51"/>
    </row>
    <row r="21" customFormat="false" ht="16.5" hidden="false" customHeight="true" outlineLevel="0" collapsed="false">
      <c r="E21" s="32" t="s">
        <v>87</v>
      </c>
      <c r="F21" s="16" t="n">
        <f aca="false">SUMIFS(OPmontant,OPdevise,F$14,OPcatégorie,$E21,OPdate,"&gt;"&amp;$C$2-365)</f>
        <v>0</v>
      </c>
      <c r="G21" s="16" t="n">
        <f aca="false">SUMPRODUCT(SUMIFS(OPmontant,OPcatégorie,$E21,OPdate,"&gt;"&amp;$C$2-365,OPdevise,COTcode)*COTcours)</f>
        <v>0</v>
      </c>
      <c r="H21" s="16"/>
      <c r="I21" s="16"/>
      <c r="J21" s="51"/>
    </row>
    <row r="22" customFormat="false" ht="16.5" hidden="false" customHeight="true" outlineLevel="0" collapsed="false">
      <c r="E22" s="32" t="s">
        <v>88</v>
      </c>
      <c r="F22" s="16" t="n">
        <f aca="false">SUMIFS(OPmontant,OPdevise,F$14,OPcatégorie,$E22,OPdate,"&gt;"&amp;$C$2-365)</f>
        <v>0</v>
      </c>
      <c r="G22" s="16" t="n">
        <f aca="false">SUMPRODUCT(SUMIFS(OPmontant,OPcatégorie,$E22,OPdate,"&gt;"&amp;$C$2-365,OPdevise,COTcode)*COTcours)</f>
        <v>0</v>
      </c>
      <c r="H22" s="78"/>
      <c r="I22" s="16"/>
      <c r="J22" s="79"/>
    </row>
    <row r="23" customFormat="false" ht="16.5" hidden="false" customHeight="true" outlineLevel="0" collapsed="false">
      <c r="E23" s="32" t="s">
        <v>12</v>
      </c>
      <c r="F23" s="16" t="n">
        <f aca="false">SUMIFS(OPmontant,OPdevise,F$14,OPcatégorie,$E23,OPdate,"&gt;"&amp;$C$2-365)</f>
        <v>0</v>
      </c>
      <c r="G23" s="16" t="n">
        <f aca="false">SUMPRODUCT(SUMIFS(OPmontant,OPcatégorie,$E23,OPdate,"&gt;"&amp;$C$2-365,OPdevise,COTcode)*COTcours)</f>
        <v>0</v>
      </c>
      <c r="H23" s="80" t="n">
        <v>1</v>
      </c>
      <c r="I23" s="16" t="n">
        <f aca="false">G23*H23</f>
        <v>0</v>
      </c>
      <c r="J23" s="51" t="s">
        <v>71</v>
      </c>
    </row>
    <row r="24" customFormat="false" ht="16.5" hidden="false" customHeight="true" outlineLevel="0" collapsed="false">
      <c r="E24" s="32" t="s">
        <v>89</v>
      </c>
      <c r="F24" s="16" t="n">
        <f aca="false">SUMIFS(OPmontant,OPdevise,F$14,OPcatégorie,$E24,OPdate,"&gt;"&amp;$C$2-365)</f>
        <v>0</v>
      </c>
      <c r="G24" s="16" t="n">
        <f aca="false">SUMPRODUCT(SUMIFS(OPmontant,OPcatégorie,$E24,OPdate,"&gt;"&amp;$C$2-365,OPdevise,COTcode)*COTcours)</f>
        <v>0</v>
      </c>
      <c r="H24" s="81" t="n">
        <v>1</v>
      </c>
      <c r="I24" s="16" t="n">
        <f aca="false">G24*H24</f>
        <v>0</v>
      </c>
      <c r="J24" s="51" t="s">
        <v>73</v>
      </c>
    </row>
    <row r="25" customFormat="false" ht="17.25" hidden="false" customHeight="true" outlineLevel="0" collapsed="false">
      <c r="E25" s="32" t="s">
        <v>4</v>
      </c>
      <c r="F25" s="16"/>
      <c r="G25" s="16"/>
      <c r="H25" s="16"/>
      <c r="I25" s="16"/>
      <c r="J25" s="51"/>
    </row>
    <row r="26" customFormat="false" ht="19.5" hidden="false" customHeight="true" outlineLevel="0" collapsed="false">
      <c r="E26" s="64" t="s">
        <v>44</v>
      </c>
      <c r="F26" s="60" t="n">
        <f aca="false">SUM(CATmontant)</f>
        <v>0</v>
      </c>
      <c r="G26" s="60" t="n">
        <f aca="false">SUM(CATtotal_euro)</f>
        <v>0</v>
      </c>
      <c r="H26" s="82"/>
      <c r="I26" s="60"/>
      <c r="J26" s="82"/>
    </row>
    <row r="27" customFormat="false" ht="18" hidden="false" customHeight="true" outlineLevel="0" collapsed="false">
      <c r="E27" s="66" t="s">
        <v>90</v>
      </c>
      <c r="F27" s="68" t="n">
        <f aca="false">SUMIFS(OPmontant,OPdevise,F$14,OPdate,"&gt;"&amp;$C$2-365,OPcatégorie,"&lt;&gt;"&amp;Spéciale)</f>
        <v>0</v>
      </c>
      <c r="G27" s="68" t="n">
        <f aca="false">SUMPRODUCT(SUMIFS(OPmontant,OPdate,"&gt;"&amp;$C$2-365,OPcatégorie,"&lt;&gt;"&amp;Spéciale,OPdevise,COTcode)*COTcours)</f>
        <v>0</v>
      </c>
      <c r="H27" s="83"/>
      <c r="I27" s="68"/>
      <c r="J27" s="83"/>
    </row>
    <row r="28" customFormat="false" ht="16.5" hidden="false" customHeight="true" outlineLevel="0" collapsed="false">
      <c r="E28" s="66" t="s">
        <v>91</v>
      </c>
      <c r="F28" s="68" t="n">
        <f aca="false">ROUND(F$26-F$27,2)</f>
        <v>0</v>
      </c>
      <c r="G28" s="68" t="n">
        <f aca="false">ROUND(G$26-G$27,2)</f>
        <v>0</v>
      </c>
      <c r="H28" s="83"/>
      <c r="I28" s="68"/>
      <c r="J28" s="83"/>
    </row>
    <row r="29" customFormat="false" ht="21.75" hidden="false" customHeight="true" outlineLevel="0" collapsed="false">
      <c r="E29" s="66" t="s">
        <v>92</v>
      </c>
      <c r="F29" s="68" t="n">
        <f aca="false">SUMIFS(CATmontant,CATnom,"&lt;&gt;@*")</f>
        <v>0</v>
      </c>
      <c r="G29" s="68" t="n">
        <f aca="false">SUMIFS(CATtotal_euro,CATnom,"&lt;&gt;@*")</f>
        <v>0</v>
      </c>
      <c r="H29" s="83"/>
      <c r="I29" s="68" t="n">
        <f aca="false">SUMIFS(CATaffectation,CATnom,"&lt;&gt;@*")</f>
        <v>0</v>
      </c>
      <c r="J29" s="83"/>
    </row>
    <row r="30" customFormat="false" ht="16.5" hidden="false" customHeight="true" outlineLevel="0" collapsed="false">
      <c r="E30" s="66" t="s">
        <v>93</v>
      </c>
      <c r="F30" s="68" t="n">
        <f aca="false">F$29*INDEX(COTcours,MATCH($F$14,COTcode,0))</f>
        <v>0</v>
      </c>
      <c r="G30" s="68" t="n">
        <f aca="false">SUM(F$30)</f>
        <v>0</v>
      </c>
      <c r="H30" s="83"/>
      <c r="I30" s="68"/>
      <c r="J30" s="83"/>
    </row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3:J13"/>
  </mergeCells>
  <conditionalFormatting sqref="I29">
    <cfRule type="cellIs" priority="2" operator="notEqual" aboveAverage="0" equalAverage="0" bottom="0" percent="0" rank="0" text="" dxfId="3">
      <formula>$G$29</formula>
    </cfRule>
    <cfRule type="cellIs" priority="3" operator="notEqual" aboveAverage="0" equalAverage="0" bottom="0" percent="0" rank="0" text="" dxfId="3">
      <formula>$G$29</formula>
    </cfRule>
  </conditionalFormatting>
  <conditionalFormatting sqref="F28:G28 C11">
    <cfRule type="cellIs" priority="4" operator="notEqual" aboveAverage="0" equalAverage="0" bottom="0" percent="0" rank="0" text="" dxfId="4">
      <formula>0</formula>
    </cfRule>
  </conditionalFormatting>
  <conditionalFormatting sqref="H23:H24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17:F24">
    <cfRule type="expression" priority="8" aboveAverage="0" equalAverage="0" bottom="0" percent="0" rank="0" text="" dxfId="6">
      <formula>$F$14="EUR"</formula>
    </cfRule>
  </conditionalFormatting>
  <conditionalFormatting sqref="F26:F29">
    <cfRule type="expression" priority="9" aboveAverage="0" equalAverage="0" bottom="0" percent="0" rank="0" text="" dxfId="6">
      <formula>$F$14="EUR"</formula>
    </cfRule>
  </conditionalFormatting>
  <dataValidations count="1">
    <dataValidation allowBlank="true" errorStyle="stop" operator="equal" showDropDown="false" showErrorMessage="true" showInputMessage="false" sqref="F14" type="list">
      <formula1>Cotations!$E$4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2" width="25.15"/>
    <col collapsed="false" customWidth="true" hidden="false" outlineLevel="0" max="2" min="2" style="62" width="31.42"/>
    <col collapsed="false" customWidth="true" hidden="false" outlineLevel="0" max="3" min="3" style="62" width="28.57"/>
    <col collapsed="false" customWidth="true" hidden="false" outlineLevel="0" max="4" min="4" style="62" width="15.09"/>
    <col collapsed="false" customWidth="true" hidden="false" outlineLevel="0" max="5" min="5" style="84" width="17.62"/>
    <col collapsed="false" customWidth="true" hidden="false" outlineLevel="0" max="6" min="6" style="62" width="13.67"/>
    <col collapsed="false" customWidth="true" hidden="false" outlineLevel="0" max="7" min="7" style="84" width="9.16"/>
    <col collapsed="false" customWidth="true" hidden="false" outlineLevel="0" max="8" min="8" style="62" width="15.66"/>
    <col collapsed="false" customWidth="true" hidden="false" outlineLevel="0" max="9" min="9" style="62" width="17.74"/>
    <col collapsed="false" customWidth="true" hidden="false" outlineLevel="0" max="10" min="10" style="62" width="15.66"/>
    <col collapsed="false" customWidth="true" hidden="false" outlineLevel="0" max="11" min="11" style="84" width="17.74"/>
    <col collapsed="false" customWidth="true" hidden="false" outlineLevel="0" max="12" min="12" style="84" width="13.67"/>
    <col collapsed="false" customWidth="false" hidden="false" outlineLevel="0" max="16379" min="13" style="62" width="13.16"/>
    <col collapsed="false" customWidth="true" hidden="false" outlineLevel="0" max="16384" min="16380" style="62" width="11.53"/>
  </cols>
  <sheetData>
    <row r="1" customFormat="false" ht="16.5" hidden="false" customHeight="true" outlineLevel="0" collapsed="false">
      <c r="A1" s="73" t="str">
        <f aca="false">Contrôles!$K28</f>
        <v>✓</v>
      </c>
      <c r="B1" s="46" t="s">
        <v>94</v>
      </c>
      <c r="C1" s="12"/>
      <c r="D1" s="73"/>
      <c r="E1" s="12"/>
      <c r="F1" s="73"/>
      <c r="G1" s="12"/>
      <c r="H1" s="12"/>
      <c r="I1" s="12"/>
      <c r="J1" s="73"/>
      <c r="K1" s="73"/>
    </row>
    <row r="2" customFormat="false" ht="16.5" hidden="false" customHeight="true" outlineLevel="0" collapsed="false">
      <c r="A2" s="46"/>
      <c r="B2" s="46" t="s">
        <v>95</v>
      </c>
      <c r="C2" s="46"/>
      <c r="D2" s="73"/>
      <c r="E2" s="12"/>
      <c r="F2" s="73"/>
      <c r="G2" s="12"/>
      <c r="H2" s="12"/>
      <c r="I2" s="12"/>
      <c r="J2" s="46"/>
      <c r="K2" s="12"/>
    </row>
    <row r="3" customFormat="false" ht="16.5" hidden="false" customHeight="true" outlineLevel="0" collapsed="false">
      <c r="A3" s="46"/>
      <c r="B3" s="46" t="str">
        <f aca="false">IF(OR(ISERROR(E15),ISERROR(K15)),"✗","✓")</f>
        <v>✓</v>
      </c>
      <c r="C3" s="46"/>
      <c r="D3" s="73"/>
      <c r="E3" s="11" t="n">
        <f aca="false">E15</f>
        <v>0</v>
      </c>
      <c r="F3" s="73"/>
      <c r="G3" s="85" t="n">
        <f aca="false">G15</f>
        <v>0</v>
      </c>
      <c r="H3" s="46"/>
      <c r="I3" s="12"/>
      <c r="J3" s="46"/>
      <c r="K3" s="12"/>
    </row>
    <row r="4" customFormat="false" ht="24.75" hidden="false" customHeight="true" outlineLevel="0" collapsed="false">
      <c r="A4" s="86" t="s">
        <v>96</v>
      </c>
      <c r="B4" s="26" t="s">
        <v>48</v>
      </c>
      <c r="C4" s="26" t="s">
        <v>97</v>
      </c>
      <c r="D4" s="26" t="s">
        <v>61</v>
      </c>
      <c r="E4" s="87" t="s">
        <v>98</v>
      </c>
      <c r="F4" s="26" t="s">
        <v>99</v>
      </c>
      <c r="G4" s="50" t="s">
        <v>100</v>
      </c>
      <c r="H4" s="26" t="s">
        <v>101</v>
      </c>
      <c r="I4" s="88" t="s">
        <v>102</v>
      </c>
      <c r="J4" s="50" t="s">
        <v>103</v>
      </c>
      <c r="K4" s="88" t="s">
        <v>104</v>
      </c>
    </row>
    <row r="5" customFormat="false" ht="16.5" hidden="false" customHeight="true" outlineLevel="0" collapsed="false">
      <c r="A5" s="32" t="s">
        <v>4</v>
      </c>
      <c r="B5" s="51"/>
      <c r="C5" s="51"/>
      <c r="D5" s="51"/>
      <c r="E5" s="51"/>
      <c r="F5" s="51"/>
      <c r="G5" s="51"/>
      <c r="H5" s="51"/>
      <c r="I5" s="51"/>
      <c r="J5" s="51"/>
      <c r="K5" s="51"/>
    </row>
    <row r="6" customFormat="false" ht="16.5" hidden="false" customHeight="true" outlineLevel="0" collapsed="false">
      <c r="A6" s="89" t="s">
        <v>105</v>
      </c>
      <c r="B6" s="51"/>
      <c r="C6" s="51"/>
      <c r="D6" s="51"/>
      <c r="E6" s="51"/>
      <c r="F6" s="51"/>
      <c r="G6" s="51"/>
      <c r="H6" s="51"/>
      <c r="I6" s="51"/>
      <c r="J6" s="51"/>
      <c r="K6" s="51"/>
    </row>
    <row r="7" customFormat="false" ht="16.5" hidden="false" customHeight="true" outlineLevel="0" collapsed="false">
      <c r="A7" s="32"/>
      <c r="B7" s="51"/>
      <c r="C7" s="51"/>
      <c r="D7" s="51"/>
      <c r="E7" s="51"/>
      <c r="F7" s="51"/>
      <c r="G7" s="51"/>
      <c r="H7" s="51"/>
      <c r="I7" s="51"/>
      <c r="J7" s="51"/>
      <c r="K7" s="51"/>
    </row>
    <row r="8" customFormat="false" ht="16.5" hidden="false" customHeight="true" outlineLevel="0" collapsed="false">
      <c r="A8" s="89" t="s">
        <v>106</v>
      </c>
      <c r="B8" s="51"/>
      <c r="C8" s="51"/>
      <c r="D8" s="51"/>
      <c r="E8" s="51"/>
      <c r="F8" s="51"/>
      <c r="G8" s="51"/>
      <c r="H8" s="51"/>
      <c r="I8" s="51"/>
      <c r="J8" s="51"/>
      <c r="K8" s="51"/>
    </row>
    <row r="9" customFormat="false" ht="16.5" hidden="false" customHeight="true" outlineLevel="0" collapsed="false">
      <c r="A9" s="32"/>
      <c r="B9" s="51"/>
      <c r="C9" s="51"/>
      <c r="D9" s="51"/>
      <c r="E9" s="51"/>
      <c r="F9" s="51"/>
      <c r="G9" s="51"/>
      <c r="H9" s="51"/>
      <c r="I9" s="51"/>
      <c r="J9" s="51"/>
      <c r="K9" s="51"/>
    </row>
    <row r="10" customFormat="false" ht="16.5" hidden="false" customHeight="true" outlineLevel="0" collapsed="false">
      <c r="A10" s="89" t="s">
        <v>107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</row>
    <row r="11" customFormat="false" ht="16.5" hidden="false" customHeight="true" outlineLevel="0" collapsed="false">
      <c r="A11" s="32"/>
      <c r="B11" s="51"/>
      <c r="C11" s="51"/>
      <c r="D11" s="51"/>
      <c r="E11" s="51"/>
      <c r="F11" s="51"/>
      <c r="G11" s="51"/>
      <c r="H11" s="51"/>
      <c r="I11" s="51"/>
      <c r="J11" s="51"/>
      <c r="K11" s="51"/>
    </row>
    <row r="12" customFormat="false" ht="16.5" hidden="false" customHeight="true" outlineLevel="0" collapsed="false">
      <c r="A12" s="89" t="s">
        <v>108</v>
      </c>
      <c r="B12" s="51"/>
      <c r="C12" s="51"/>
      <c r="D12" s="51"/>
      <c r="E12" s="51"/>
      <c r="F12" s="51"/>
      <c r="G12" s="51"/>
      <c r="H12" s="51"/>
      <c r="I12" s="51"/>
      <c r="J12" s="51"/>
      <c r="K12" s="51"/>
    </row>
    <row r="13" customFormat="false" ht="16.5" hidden="false" customHeight="true" outlineLevel="0" collapsed="false">
      <c r="A13" s="32"/>
      <c r="B13" s="51"/>
      <c r="C13" s="51"/>
      <c r="D13" s="51"/>
      <c r="E13" s="51"/>
      <c r="F13" s="51"/>
      <c r="G13" s="51"/>
      <c r="H13" s="51"/>
      <c r="I13" s="51"/>
      <c r="J13" s="51"/>
      <c r="K13" s="51"/>
    </row>
    <row r="14" customFormat="false" ht="16.5" hidden="false" customHeight="true" outlineLevel="0" collapsed="false">
      <c r="A14" s="89" t="s">
        <v>4</v>
      </c>
      <c r="B14" s="90"/>
      <c r="C14" s="91"/>
      <c r="D14" s="92"/>
      <c r="E14" s="91"/>
      <c r="F14" s="91"/>
      <c r="G14" s="93"/>
      <c r="H14" s="91"/>
      <c r="I14" s="91"/>
      <c r="J14" s="91"/>
      <c r="K14" s="91"/>
    </row>
    <row r="15" customFormat="false" ht="16.5" hidden="false" customHeight="true" outlineLevel="0" collapsed="false">
      <c r="A15" s="57" t="s">
        <v>51</v>
      </c>
      <c r="B15" s="57"/>
      <c r="C15" s="57"/>
      <c r="D15" s="59" t="s">
        <v>68</v>
      </c>
      <c r="E15" s="94" t="n">
        <f aca="false">SUM(E16:E19)</f>
        <v>0</v>
      </c>
      <c r="F15" s="95" t="e">
        <f aca="false">E15/(H15+I15)</f>
        <v>#DIV/0!</v>
      </c>
      <c r="G15" s="96" t="n">
        <f aca="false">MIN(G16:G19)</f>
        <v>0</v>
      </c>
      <c r="H15" s="97" t="n">
        <f aca="false">SUM(H16:H19)</f>
        <v>0</v>
      </c>
      <c r="I15" s="97" t="n">
        <f aca="false">SUM(I16:I19)</f>
        <v>0</v>
      </c>
      <c r="J15" s="98"/>
      <c r="K15" s="94" t="n">
        <f aca="false">SUM(K16:K19)</f>
        <v>0</v>
      </c>
    </row>
    <row r="16" customFormat="false" ht="16.5" hidden="false" customHeight="true" outlineLevel="0" collapsed="false">
      <c r="A16" s="32" t="s">
        <v>109</v>
      </c>
      <c r="B16" s="32"/>
      <c r="C16" s="32"/>
      <c r="D16" s="22" t="s">
        <v>68</v>
      </c>
      <c r="E16" s="99" t="n">
        <f aca="false">K16-(H16+I16)</f>
        <v>0</v>
      </c>
      <c r="F16" s="100" t="e">
        <f aca="false">E16/(H16+I16)</f>
        <v>#DIV/0!</v>
      </c>
      <c r="G16" s="101" t="n">
        <f aca="false">MIN(_xlfn.MINIFS(G:G,A:A,"portefeuilles",C:C,"Retenu",G:G,"&gt;0"))</f>
        <v>0</v>
      </c>
      <c r="H16" s="102" t="n">
        <f aca="false">SUMPRODUCT((PVLsection="portefeuilles")*(PVLtitre="Retenu")*PVLmontant_init*IFERROR(INDEX(COTcours,MATCH(PVLdevise,COTcode,0)),1))</f>
        <v>0</v>
      </c>
      <c r="I16" s="102" t="n">
        <f aca="false">SUMPRODUCT((PVLsection="portefeuilles")*(PVLtitre="Retenu")*PVLsigma*IFERROR(INDEX(COTcours,MATCH(PVLdevise,COTcode,0)),1))</f>
        <v>0</v>
      </c>
      <c r="J16" s="101" t="n">
        <f aca="false">_xlfn.MAXIFS(J:J,A:A,"portefeuilles",C:C,"Retenu")</f>
        <v>0</v>
      </c>
      <c r="K16" s="99" t="n">
        <f aca="false">SUMPRODUCT((PVLsection="portefeuilles")*(PVLtitre="Retenu")*PVLmontant*IFERROR(INDEX(COTcours,MATCH(PVLdevise,COTcode,0)),1))</f>
        <v>0</v>
      </c>
    </row>
    <row r="17" customFormat="false" ht="16.5" hidden="false" customHeight="true" outlineLevel="0" collapsed="false">
      <c r="A17" s="32" t="s">
        <v>110</v>
      </c>
      <c r="B17" s="32"/>
      <c r="C17" s="32"/>
      <c r="D17" s="22" t="s">
        <v>68</v>
      </c>
      <c r="E17" s="99" t="n">
        <f aca="false">K17-(H17+I17)</f>
        <v>0</v>
      </c>
      <c r="F17" s="100" t="e">
        <f aca="false">E17/(H17+I17)</f>
        <v>#DIV/0!</v>
      </c>
      <c r="G17" s="101" t="n">
        <f aca="false">MIN(_xlfn.MINIFS(G:G,A:A,"métaux",G:G,"&gt;0"))</f>
        <v>0</v>
      </c>
      <c r="H17" s="102" t="n">
        <f aca="false">SUMIFS(PVLmontant_init,PVLsection,"métaux")</f>
        <v>0</v>
      </c>
      <c r="I17" s="102" t="n">
        <f aca="false">SUMIFS(PVLsigma,PVLsection,"métaux")</f>
        <v>0</v>
      </c>
      <c r="J17" s="101" t="n">
        <f aca="false">_xlfn.MAXIFS(J:J,A:A,"métaux")</f>
        <v>0</v>
      </c>
      <c r="K17" s="99" t="n">
        <f aca="false">SUMIFS(PVLmontant,PVLsection,"métaux")</f>
        <v>0</v>
      </c>
    </row>
    <row r="18" customFormat="false" ht="16.5" hidden="false" customHeight="true" outlineLevel="0" collapsed="false">
      <c r="A18" s="32" t="s">
        <v>111</v>
      </c>
      <c r="B18" s="32"/>
      <c r="C18" s="32"/>
      <c r="D18" s="22" t="s">
        <v>68</v>
      </c>
      <c r="E18" s="99" t="n">
        <f aca="false">K18-(H18+I18)</f>
        <v>0</v>
      </c>
      <c r="F18" s="100" t="e">
        <f aca="false">E18/(H18+I18)</f>
        <v>#DIV/0!</v>
      </c>
      <c r="G18" s="101" t="n">
        <f aca="false">MIN(_xlfn.MINIFS(G:G,A:A,"crypto",G:G,"&gt;0"))</f>
        <v>0</v>
      </c>
      <c r="H18" s="102" t="n">
        <f aca="false">SUMIFS(PVLmontant_init,PVLsection,"crypto")</f>
        <v>0</v>
      </c>
      <c r="I18" s="102" t="n">
        <f aca="false">SUMIFS(PVLsigma,PVLsection,"crypto")</f>
        <v>0</v>
      </c>
      <c r="J18" s="101" t="n">
        <f aca="false">_xlfn.MAXIFS(J:J,A:A,"crypto")</f>
        <v>0</v>
      </c>
      <c r="K18" s="99" t="n">
        <f aca="false">SUMIFS(PVLmontant,PVLsection,"crypto")</f>
        <v>0</v>
      </c>
    </row>
    <row r="19" customFormat="false" ht="16.5" hidden="false" customHeight="true" outlineLevel="0" collapsed="false">
      <c r="A19" s="32" t="s">
        <v>112</v>
      </c>
      <c r="B19" s="32"/>
      <c r="C19" s="32"/>
      <c r="D19" s="22" t="s">
        <v>68</v>
      </c>
      <c r="E19" s="99" t="n">
        <f aca="false">K19-(H19+I19)</f>
        <v>0</v>
      </c>
      <c r="F19" s="100" t="e">
        <f aca="false">E19/(H19+I19)</f>
        <v>#DIV/0!</v>
      </c>
      <c r="G19" s="101" t="n">
        <f aca="false">MIN(_xlfn.MINIFS(G:G,A:A,"devises",G:G,"&gt;0"))</f>
        <v>0</v>
      </c>
      <c r="H19" s="102" t="n">
        <f aca="false">SUMIFS(PVLmontant_init,PVLsection,"devises")</f>
        <v>0</v>
      </c>
      <c r="I19" s="102" t="n">
        <f aca="false">SUMIFS(PVLsigma,PVLsection,"devises")</f>
        <v>0</v>
      </c>
      <c r="J19" s="101" t="n">
        <f aca="false">_xlfn.MAXIFS(J:J,A:A,"devises")</f>
        <v>0</v>
      </c>
      <c r="K19" s="99" t="n">
        <f aca="false">SUMIFS(PVLmontant,PVLsection,"devises")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Neue,Regular"&amp;11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F5" activeCellId="0" sqref="F5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03" width="12.39"/>
    <col collapsed="false" customWidth="true" hidden="false" outlineLevel="0" max="2" min="2" style="43" width="34.31"/>
    <col collapsed="false" customWidth="true" hidden="false" outlineLevel="0" max="3" min="3" style="43" width="17"/>
    <col collapsed="false" customWidth="true" hidden="false" outlineLevel="0" max="4" min="4" style="43" width="10.33"/>
    <col collapsed="false" customWidth="true" hidden="false" outlineLevel="0" max="5" min="5" style="43" width="12.61"/>
    <col collapsed="false" customWidth="true" hidden="false" outlineLevel="0" max="6" min="6" style="43" width="8.13"/>
    <col collapsed="false" customWidth="true" hidden="false" outlineLevel="0" max="7" min="7" style="43" width="26.88"/>
    <col collapsed="false" customWidth="true" hidden="false" outlineLevel="0" max="8" min="8" style="43" width="24.9"/>
    <col collapsed="false" customWidth="true" hidden="false" outlineLevel="0" max="9" min="9" style="43" width="41.5"/>
    <col collapsed="false" customWidth="true" hidden="false" outlineLevel="0" max="10" min="10" style="43" width="29.83"/>
    <col collapsed="false" customWidth="true" hidden="false" outlineLevel="0" max="11" min="11" style="43" width="22.83"/>
    <col collapsed="false" customWidth="false" hidden="false" outlineLevel="0" max="16379" min="12" style="43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6" t="s">
        <v>113</v>
      </c>
      <c r="B1" s="5"/>
      <c r="C1" s="5"/>
      <c r="D1" s="5"/>
      <c r="E1" s="104"/>
      <c r="F1" s="10" t="s">
        <v>114</v>
      </c>
      <c r="G1" s="5"/>
      <c r="H1" s="5"/>
      <c r="I1" s="5"/>
    </row>
    <row r="2" customFormat="false" ht="16.5" hidden="false" customHeight="true" outlineLevel="0" collapsed="false">
      <c r="A2" s="105" t="n">
        <f aca="true">TODAY()</f>
        <v>46163</v>
      </c>
      <c r="B2" s="48" t="str">
        <f aca="false">Contrôles!K$28</f>
        <v>✓</v>
      </c>
      <c r="C2" s="106"/>
      <c r="D2" s="5"/>
      <c r="E2" s="104"/>
      <c r="F2" s="107" t="s">
        <v>115</v>
      </c>
      <c r="G2" s="10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48" t="s">
        <v>64</v>
      </c>
      <c r="B3" s="48" t="s">
        <v>116</v>
      </c>
      <c r="C3" s="48" t="s">
        <v>65</v>
      </c>
      <c r="D3" s="48" t="s">
        <v>61</v>
      </c>
      <c r="E3" s="48" t="s">
        <v>117</v>
      </c>
      <c r="F3" s="50" t="s">
        <v>118</v>
      </c>
      <c r="G3" s="48" t="s">
        <v>119</v>
      </c>
      <c r="H3" s="48" t="s">
        <v>48</v>
      </c>
      <c r="I3" s="46" t="s">
        <v>120</v>
      </c>
    </row>
    <row r="4" customFormat="false" ht="14.25" hidden="false" customHeight="true" outlineLevel="0" collapsed="false">
      <c r="A4" s="108" t="s">
        <v>4</v>
      </c>
      <c r="B4" s="109"/>
      <c r="C4" s="110"/>
      <c r="D4" s="111"/>
      <c r="E4" s="110"/>
      <c r="F4" s="112"/>
      <c r="G4" s="113"/>
      <c r="H4" s="113"/>
      <c r="I4" s="109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13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14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2813" activePane="bottomLeft" state="frozen"/>
      <selection pane="topLeft" activeCell="A1" activeCellId="0" sqref="A1"/>
      <selection pane="bottomLeft" activeCell="I2833" activeCellId="0" sqref="I2833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3" width="28.33"/>
    <col collapsed="false" customWidth="true" hidden="false" outlineLevel="0" max="2" min="2" style="44" width="7.67"/>
    <col collapsed="false" customWidth="true" hidden="false" outlineLevel="0" max="3" min="3" style="44" width="13.16"/>
    <col collapsed="false" customWidth="true" hidden="false" outlineLevel="0" max="4" min="4" style="44" width="11.89"/>
    <col collapsed="false" customWidth="true" hidden="false" outlineLevel="0" max="5" min="5" style="44" width="14.89"/>
    <col collapsed="false" customWidth="true" hidden="false" outlineLevel="0" max="7" min="6" style="43" width="14.89"/>
    <col collapsed="false" customWidth="true" hidden="false" outlineLevel="0" max="8" min="8" style="43" width="14.83"/>
    <col collapsed="false" customWidth="true" hidden="false" outlineLevel="0" max="9" min="9" style="44" width="9.33"/>
    <col collapsed="false" customWidth="true" hidden="false" outlineLevel="0" max="10" min="10" style="62" width="41.42"/>
    <col collapsed="false" customWidth="true" hidden="false" outlineLevel="0" max="11" min="11" style="62" width="14.98"/>
    <col collapsed="false" customWidth="true" hidden="false" outlineLevel="0" max="12" min="12" style="62" width="11"/>
    <col collapsed="false" customWidth="true" hidden="false" outlineLevel="0" max="13" min="13" style="62" width="15.51"/>
    <col collapsed="false" customWidth="false" hidden="false" outlineLevel="0" max="16368" min="16" style="62" width="19.16"/>
    <col collapsed="false" customWidth="true" hidden="false" outlineLevel="0" max="16382" min="16369" style="1" width="11.53"/>
    <col collapsed="false" customWidth="true" hidden="false" outlineLevel="0" max="16384" min="16383" style="62" width="11.53"/>
  </cols>
  <sheetData>
    <row r="1" customFormat="false" ht="16.5" hidden="false" customHeight="true" outlineLevel="0" collapsed="false">
      <c r="A1" s="114" t="str">
        <f aca="false">$K$28</f>
        <v>✓</v>
      </c>
      <c r="B1" s="10"/>
      <c r="C1" s="10"/>
      <c r="D1" s="10"/>
      <c r="E1" s="10"/>
      <c r="F1" s="12"/>
      <c r="G1" s="12"/>
      <c r="H1" s="12"/>
      <c r="I1" s="73"/>
    </row>
    <row r="2" customFormat="false" ht="28.5" hidden="false" customHeight="true" outlineLevel="0" collapsed="false">
      <c r="A2" s="50" t="s">
        <v>121</v>
      </c>
      <c r="B2" s="73" t="s">
        <v>61</v>
      </c>
      <c r="C2" s="73" t="s">
        <v>122</v>
      </c>
      <c r="D2" s="73" t="s">
        <v>123</v>
      </c>
      <c r="E2" s="73" t="s">
        <v>124</v>
      </c>
      <c r="F2" s="26" t="s">
        <v>125</v>
      </c>
      <c r="G2" s="26" t="s">
        <v>126</v>
      </c>
      <c r="H2" s="50" t="s">
        <v>91</v>
      </c>
      <c r="I2" s="50" t="s">
        <v>127</v>
      </c>
    </row>
    <row r="3" customFormat="false" ht="15" hidden="false" customHeight="true" outlineLevel="0" collapsed="false">
      <c r="A3" s="14" t="s">
        <v>4</v>
      </c>
      <c r="B3" s="54"/>
      <c r="C3" s="93"/>
      <c r="D3" s="93"/>
      <c r="E3" s="16"/>
      <c r="F3" s="16"/>
      <c r="G3" s="16"/>
      <c r="H3" s="16"/>
      <c r="I3" s="16"/>
    </row>
    <row r="4" customFormat="false" ht="15" hidden="false" customHeight="true" outlineLevel="0" collapsed="false">
      <c r="A4" s="14" t="str">
        <f aca="false">Avoirs!A5</f>
        <v>Livret A Barnabé</v>
      </c>
      <c r="B4" s="54" t="s">
        <v>68</v>
      </c>
      <c r="C4" s="93" t="n">
        <f aca="false">IF(COUNTIFS(OPcompte,$A4,OPdevise,$B4,OPcatégorie,Solde)&gt;=2,_xlfn.MINIFS(OPdate,OPcompte,$A4,OPdevise,$B4,OPcatégorie,Solde),0)</f>
        <v>0</v>
      </c>
      <c r="D4" s="93" t="n">
        <f aca="false">_xlfn.MAXIFS(OPdate,OPcompte,$A4,OPdevise,$B4,OPcatégorie,Solde)</f>
        <v>0</v>
      </c>
      <c r="E4" s="16" t="n">
        <f aca="false">IF($C4=0,0,_xlfn.XLOOKUP(1,(OPcompte=$A4)*(OPdevise=$B4)*(OPcatégorie=Solde)*(OPdate=$C4),OPmontant,0,0,1))</f>
        <v>0</v>
      </c>
      <c r="F4" s="16" t="n">
        <f aca="false">$E4+SUMIFS(OPmontant,OPcompte,$A4,OPdevise,$B4,OPdate,"&gt;"&amp;$C4,OPdate,"&lt;="&amp;$D4,OPcatégorie,"&lt;&gt;Solde",OPcatégorie,"&lt;&gt;"&amp;Spéciale)</f>
        <v>0</v>
      </c>
      <c r="G4" s="16" t="n">
        <f aca="false">_xlfn.XLOOKUP(1,(OPcompte=$A4)*(OPdevise=$B4)*(OPcatégorie=Solde)*(OPdate=$D4),OPmontant,0,0,-1)</f>
        <v>0</v>
      </c>
      <c r="H4" s="16" t="n">
        <f aca="false">IF(ABS($G4-$F4)&lt;0.015,0,ROUND($G4-$F4,2))</f>
        <v>0</v>
      </c>
      <c r="I4" s="16" t="s">
        <v>128</v>
      </c>
    </row>
    <row r="5" customFormat="false" ht="16.5" hidden="false" customHeight="true" outlineLevel="0" collapsed="false">
      <c r="A5" s="115" t="s">
        <v>4</v>
      </c>
      <c r="B5" s="116"/>
      <c r="C5" s="116"/>
      <c r="D5" s="116"/>
      <c r="E5" s="116"/>
      <c r="F5" s="117"/>
      <c r="G5" s="118"/>
      <c r="H5" s="118"/>
      <c r="I5" s="116"/>
    </row>
    <row r="6" customFormat="false" ht="17.25" hidden="false" customHeight="true" outlineLevel="0" collapsed="false">
      <c r="A6" s="57"/>
      <c r="B6" s="59"/>
      <c r="C6" s="59"/>
      <c r="D6" s="59"/>
      <c r="E6" s="59"/>
      <c r="F6" s="119"/>
      <c r="G6" s="57"/>
      <c r="H6" s="57"/>
      <c r="I6" s="57"/>
    </row>
    <row r="8" customFormat="false" ht="18.75" hidden="false" customHeight="true" outlineLevel="0" collapsed="false">
      <c r="J8" s="72" t="s">
        <v>129</v>
      </c>
      <c r="K8" s="72"/>
      <c r="L8" s="72"/>
      <c r="M8" s="72"/>
    </row>
    <row r="9" customFormat="false" ht="19.5" hidden="false" customHeight="true" outlineLevel="0" collapsed="false">
      <c r="J9" s="26" t="s">
        <v>130</v>
      </c>
      <c r="K9" s="26" t="s">
        <v>131</v>
      </c>
      <c r="L9" s="26" t="s">
        <v>132</v>
      </c>
      <c r="M9" s="74" t="s">
        <v>68</v>
      </c>
    </row>
    <row r="10" customFormat="false" ht="16.5" hidden="false" customHeight="true" outlineLevel="0" collapsed="false">
      <c r="J10" s="14" t="s">
        <v>4</v>
      </c>
      <c r="K10" s="54"/>
      <c r="L10" s="120"/>
      <c r="M10" s="79"/>
    </row>
    <row r="11" customFormat="false" ht="16.5" hidden="false" customHeight="true" outlineLevel="0" collapsed="false">
      <c r="J11" s="32" t="s">
        <v>133</v>
      </c>
      <c r="K11" s="116" t="str">
        <f aca="false">IF(L11=0,"✓","✗")</f>
        <v>✓</v>
      </c>
      <c r="L11" s="120" t="n">
        <f aca="false">COUNTIFS(CTRL1controle,"Oui")-COUNTIFS(CTRL1controle,"Oui",CTRL1ecart,0)</f>
        <v>0</v>
      </c>
      <c r="M11" s="120" t="n">
        <f aca="false">COUNTIFS(CTRL1devise,M$9,CTRL1controle,"Oui")-COUNTIFS(CTRL1devise,M$9,CTRL1controle,"Oui",CTRL1ecart,0)</f>
        <v>0</v>
      </c>
    </row>
    <row r="12" customFormat="false" ht="16.5" hidden="false" customHeight="true" outlineLevel="0" collapsed="false">
      <c r="J12" s="32" t="s">
        <v>134</v>
      </c>
      <c r="K12" s="116" t="str">
        <f aca="false">IF(ABS(L12)&lt;1,"✓","✗")</f>
        <v>✓</v>
      </c>
      <c r="L12" s="79" t="n">
        <f aca="false">ABS(Budget!G$28)+ABS(Budget!I$29-Budget!G$29)+ABS(Budget!C$11)</f>
        <v>0</v>
      </c>
      <c r="M12" s="79" t="n">
        <f aca="false">ROUND(SUMPRODUCT(SUMIFS(OPmontant,OPdevise,M$9,OPcatégorie,CATnom,OPdate,"&gt;"&amp;Budget!$C$2-365))-SUMIFS(OPmontant,OPdevise,M$9,OPcatégorie,"&lt;&gt;"&amp;Spéciale,OPdate,"&gt;"&amp;Budget!$C$2-365),2)</f>
        <v>0</v>
      </c>
    </row>
    <row r="13" customFormat="false" ht="16.5" hidden="false" customHeight="true" outlineLevel="0" collapsed="false">
      <c r="J13" s="32" t="s">
        <v>43</v>
      </c>
      <c r="K13" s="116" t="str">
        <f aca="false">IF(L13&gt;0,"⚠","✓")</f>
        <v>✓</v>
      </c>
      <c r="L13" s="34" t="n">
        <f aca="false">SUM(L14:L16)</f>
        <v>0</v>
      </c>
      <c r="M13" s="79"/>
    </row>
    <row r="14" customFormat="false" ht="16.5" hidden="false" customHeight="true" outlineLevel="0" collapsed="false">
      <c r="J14" s="32" t="s">
        <v>135</v>
      </c>
      <c r="K14" s="116"/>
      <c r="L14" s="34" t="n">
        <f aca="false">COUNTIF(OPdate,"&lt;"&amp;DATE(2020,1,1))+COUNTIF(OPdate,"&gt;"&amp;DATE(année_courante,12,31))</f>
        <v>0</v>
      </c>
      <c r="M14" s="79"/>
    </row>
    <row r="15" customFormat="false" ht="16.5" hidden="false" customHeight="true" outlineLevel="0" collapsed="false">
      <c r="J15" s="32" t="s">
        <v>136</v>
      </c>
      <c r="K15" s="116"/>
      <c r="L15" s="34" t="n">
        <f aca="false">Patrimoine!D33</f>
        <v>0</v>
      </c>
      <c r="M15" s="79"/>
    </row>
    <row r="16" customFormat="false" ht="16.5" hidden="false" customHeight="true" outlineLevel="0" collapsed="false">
      <c r="J16" s="32" t="s">
        <v>137</v>
      </c>
      <c r="K16" s="116"/>
      <c r="L16" s="34" t="n">
        <f aca="false">IF(Cotations!B20="⚠",1,0)</f>
        <v>0</v>
      </c>
      <c r="M16" s="79"/>
    </row>
    <row r="17" customFormat="false" ht="16.5" hidden="false" customHeight="true" outlineLevel="0" collapsed="false">
      <c r="J17" s="32" t="s">
        <v>138</v>
      </c>
      <c r="K17" s="116" t="str">
        <f aca="false">IF(L17=0,"✓","⚠")</f>
        <v>✓</v>
      </c>
      <c r="L17" s="120" t="n">
        <f aca="false">COUNTIFS(OPréf,"-")</f>
        <v>0</v>
      </c>
      <c r="M17" s="120" t="n">
        <f aca="false">COUNTIFS(OPréf,"-",OPdevise,M$9)</f>
        <v>0</v>
      </c>
    </row>
    <row r="18" customFormat="false" ht="16.5" hidden="false" customHeight="true" outlineLevel="0" collapsed="false">
      <c r="J18" s="115" t="s">
        <v>139</v>
      </c>
      <c r="K18" s="116" t="str">
        <f aca="false">IF(L18=0,"✓","⚠")</f>
        <v>✓</v>
      </c>
      <c r="L18" s="120" t="n">
        <f aca="false">3-COUNTIFS(L19:L21,0)</f>
        <v>0</v>
      </c>
      <c r="M18" s="120" t="n">
        <f aca="false">COUNTA($J19:$J21)-COUNTIFS(M19:M21,0)</f>
        <v>0</v>
      </c>
    </row>
    <row r="19" customFormat="false" ht="16.5" hidden="false" customHeight="true" outlineLevel="0" collapsed="false">
      <c r="J19" s="121" t="s">
        <v>140</v>
      </c>
      <c r="K19" s="54"/>
      <c r="L19" s="79" t="n">
        <f aca="false">ROUND(SUMIFS(OPequiv_euro,OPcatégorie,"@Virement"),0)</f>
        <v>0</v>
      </c>
      <c r="M19" s="79" t="n">
        <f aca="false">SUMIFS(OPequiv_euro,OPdevise,M$9,OPcatégorie,"@Virement")</f>
        <v>0</v>
      </c>
    </row>
    <row r="20" customFormat="false" ht="16.5" hidden="false" customHeight="true" outlineLevel="0" collapsed="false">
      <c r="J20" s="121" t="s">
        <v>141</v>
      </c>
      <c r="K20" s="54"/>
      <c r="L20" s="79" t="n">
        <f aca="false">ROUND(SUMIFS(OPequiv_euro,OPcatégorie,"*titres"),0)</f>
        <v>0</v>
      </c>
      <c r="M20" s="79" t="n">
        <f aca="false">SUMIFS(OPequiv_euro,OPdevise,M$9,OPcatégorie,"*titres")</f>
        <v>0</v>
      </c>
    </row>
    <row r="21" customFormat="false" ht="16.5" hidden="false" customHeight="true" outlineLevel="0" collapsed="false">
      <c r="J21" s="122" t="s">
        <v>142</v>
      </c>
      <c r="K21" s="54"/>
      <c r="L21" s="79" t="n">
        <f aca="false">SUMIFS(OPequiv_euro,OPcatégorie,"@Change") + SUMIFS(OPequiv_euro,OPcatégorie,"@Achat métaux")</f>
        <v>0</v>
      </c>
      <c r="M21" s="79" t="n">
        <f aca="false">SUMIFS(OPequiv_euro,OPdevise,M$9,OPcatégorie,"@Change")+SUMIFS(OPequiv_euro,OPdevise,M$9,OPcatégorie,"@Achat métaux")</f>
        <v>0</v>
      </c>
    </row>
    <row r="22" customFormat="false" ht="16.5" hidden="false" customHeight="true" outlineLevel="0" collapsed="false">
      <c r="J22" s="123" t="s">
        <v>143</v>
      </c>
      <c r="K22" s="54"/>
      <c r="L22" s="79" t="n">
        <f aca="false">L19+L20+L21</f>
        <v>0</v>
      </c>
      <c r="M22" s="79" t="n">
        <f aca="false">M19+M20+M21</f>
        <v>0</v>
      </c>
    </row>
    <row r="23" customFormat="false" ht="16.5" hidden="false" customHeight="true" outlineLevel="0" collapsed="false">
      <c r="J23" s="115" t="s">
        <v>144</v>
      </c>
      <c r="K23" s="116" t="str">
        <f aca="false">IF(L23=0,"✓","✗")</f>
        <v>✓</v>
      </c>
      <c r="L23" s="120" t="n">
        <f aca="false">SUMPRODUCT((COUNTIF(AVRintitulé,OPcompte)=0)*(OPcompte&lt;&gt;""))</f>
        <v>0</v>
      </c>
      <c r="M23" s="79"/>
    </row>
    <row r="24" customFormat="false" ht="16.5" hidden="false" customHeight="true" outlineLevel="0" collapsed="false">
      <c r="J24" s="115" t="s">
        <v>145</v>
      </c>
      <c r="K24" s="116" t="str">
        <f aca="false">IF(L24&gt;0,"✗","✓")</f>
        <v>✓</v>
      </c>
      <c r="L24" s="120" t="n">
        <f aca="false">SUM(L25:L26)</f>
        <v>0</v>
      </c>
      <c r="M24" s="79"/>
    </row>
    <row r="25" customFormat="false" ht="16.5" hidden="false" customHeight="true" outlineLevel="0" collapsed="false">
      <c r="J25" s="115" t="s">
        <v>146</v>
      </c>
      <c r="K25" s="116"/>
      <c r="L25" s="120" t="n">
        <f aca="false">IF(Avoirs!L1="✗",1,0)</f>
        <v>0</v>
      </c>
      <c r="M25" s="79"/>
    </row>
    <row r="26" customFormat="false" ht="16.5" hidden="false" customHeight="true" outlineLevel="0" collapsed="false">
      <c r="J26" s="115" t="s">
        <v>147</v>
      </c>
      <c r="K26" s="116"/>
      <c r="L26" s="120" t="n">
        <f aca="false">IF(Plus_value!B3="✗",1,0)</f>
        <v>0</v>
      </c>
      <c r="M26" s="79"/>
    </row>
    <row r="27" customFormat="false" ht="16.5" hidden="false" customHeight="true" outlineLevel="0" collapsed="false">
      <c r="J27" s="14" t="s">
        <v>4</v>
      </c>
      <c r="K27" s="54"/>
      <c r="L27" s="120"/>
      <c r="M27" s="79"/>
    </row>
    <row r="28" customFormat="false" ht="17.25" hidden="false" customHeight="true" outlineLevel="0" collapsed="false">
      <c r="J28" s="57" t="s">
        <v>148</v>
      </c>
      <c r="K28" s="59" t="str">
        <f aca="false">IF(ISNUMBER(FIND("✗",IFERROR(K11,"⚠")&amp;IFERROR(K12,"⚠")&amp;IFERROR(K13,"⚠")&amp;IFERROR(K17,"⚠")&amp;IFERROR(K18,"⚠")&amp;IFERROR(K23,"⚠")&amp;IFERROR(K24,"⚠"))),"✗",IF(ISNUMBER(FIND("⚠",IFERROR(K11,"⚠")&amp;IFERROR(K12,"⚠")&amp;IFERROR(K13,"⚠")&amp;IFERROR(K17,"⚠")&amp;IFERROR(K18,"⚠")&amp;IFERROR(K23,"⚠")&amp;IFERROR(K24,"⚠"))),"⚠","✓"))</f>
        <v>✓</v>
      </c>
      <c r="L28" s="124"/>
      <c r="M28" s="57"/>
    </row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8:M8"/>
  </mergeCells>
  <conditionalFormatting sqref="L12 L19:L22">
    <cfRule type="cellIs" priority="2" operator="notEqual" aboveAverage="0" equalAverage="0" bottom="0" percent="0" rank="0" text="" dxfId="0">
      <formula>0</formula>
    </cfRule>
  </conditionalFormatting>
  <conditionalFormatting sqref="L10:L11 L13:L18 L23:L27">
    <cfRule type="cellIs" priority="3" operator="notEqual" aboveAverage="0" equalAverage="0" bottom="0" percent="0" rank="0" text="" dxfId="0">
      <formula>0</formula>
    </cfRule>
  </conditionalFormatting>
  <conditionalFormatting sqref="K1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2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17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A1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C1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M12">
    <cfRule type="expression" priority="14" aboveAverage="0" equalAverage="0" bottom="0" percent="0" rank="0" text="" dxfId="6">
      <formula>$M$9="EUR"</formula>
    </cfRule>
  </conditionalFormatting>
  <conditionalFormatting sqref="K18">
    <cfRule type="expression" priority="15" aboveAverage="0" equalAverage="0" bottom="0" percent="0" rank="0" text="" dxfId="1">
      <formula>NOT(ISERROR(FIND("✗",INDIRECT("RC",0))))</formula>
    </cfRule>
    <cfRule type="expression" priority="16" aboveAverage="0" equalAverage="0" bottom="0" percent="0" rank="0" text="" dxfId="2">
      <formula>NOT(ISERROR(FIND("⚠",INDIRECT("RC",0))))</formula>
    </cfRule>
  </conditionalFormatting>
  <conditionalFormatting sqref="K28">
    <cfRule type="expression" priority="17" aboveAverage="0" equalAverage="0" bottom="0" percent="0" rank="0" text="" dxfId="1">
      <formula>NOT(ISERROR(FIND("✗",INDIRECT("RC",0))))</formula>
    </cfRule>
    <cfRule type="expression" priority="18" aboveAverage="0" equalAverage="0" bottom="0" percent="0" rank="0" text="" dxfId="2">
      <formula>NOT(ISERROR(FIND("⚠",INDIRECT("RC",0))))</formula>
    </cfRule>
  </conditionalFormatting>
  <conditionalFormatting sqref="K13">
    <cfRule type="expression" priority="19" aboveAverage="0" equalAverage="0" bottom="0" percent="0" rank="0" text="" dxfId="1">
      <formula>NOT(ISERROR(FIND("✗",INDIRECT("RC",0))))</formula>
    </cfRule>
    <cfRule type="expression" priority="20" aboveAverage="0" equalAverage="0" bottom="0" percent="0" rank="0" text="" dxfId="2">
      <formula>NOT(ISERROR(FIND("⚠",INDIRECT("RC",0))))</formula>
    </cfRule>
  </conditionalFormatting>
  <conditionalFormatting sqref="K23">
    <cfRule type="expression" priority="21" aboveAverage="0" equalAverage="0" bottom="0" percent="0" rank="0" text="" dxfId="1">
      <formula>NOT(ISERROR(FIND("✗",INDIRECT("RC",0))))</formula>
    </cfRule>
    <cfRule type="expression" priority="22" aboveAverage="0" equalAverage="0" bottom="0" percent="0" rank="0" text="" dxfId="2">
      <formula>NOT(ISERROR(FIND("⚠",INDIRECT("RC",0))))</formula>
    </cfRule>
  </conditionalFormatting>
  <conditionalFormatting sqref="K24">
    <cfRule type="expression" priority="23" aboveAverage="0" equalAverage="0" bottom="0" percent="0" rank="0" text="" dxfId="1">
      <formula>NOT(ISERROR(FIND("✗",INDIRECT("RC",0))))</formula>
    </cfRule>
    <cfRule type="expression" priority="24" aboveAverage="0" equalAverage="0" bottom="0" percent="0" rank="0" text="" dxfId="2">
      <formula>NOT(ISERROR(FIND("⚠",INDIRECT("RC",0))))</formula>
    </cfRule>
  </conditionalFormatting>
  <dataValidations count="2">
    <dataValidation allowBlank="false" errorStyle="stop" operator="between" showDropDown="false" showErrorMessage="false" showInputMessage="false" sqref="M5:M8" type="none">
      <formula1>0</formula1>
      <formula2>0</formula2>
    </dataValidation>
    <dataValidation allowBlank="true" errorStyle="stop" operator="equal" showDropDown="false" showErrorMessage="true" showInputMessage="false" sqref="M9" type="list">
      <formula1>Cotations!$E$4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Neue,Regular"&amp;11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2" width="45.77"/>
    <col collapsed="false" customWidth="true" hidden="false" outlineLevel="0" max="3" min="2" style="62" width="9"/>
    <col collapsed="false" customWidth="true" hidden="false" outlineLevel="0" max="4" min="4" style="62" width="10.66"/>
    <col collapsed="false" customWidth="true" hidden="false" outlineLevel="0" max="5" min="5" style="84" width="9"/>
    <col collapsed="false" customWidth="true" hidden="false" outlineLevel="0" max="6" min="6" style="62" width="14.47"/>
    <col collapsed="false" customWidth="true" hidden="false" outlineLevel="0" max="7" min="7" style="62" width="13.44"/>
    <col collapsed="false" customWidth="true" hidden="false" outlineLevel="0" max="8" min="8" style="62" width="27.36"/>
    <col collapsed="false" customWidth="true" hidden="false" outlineLevel="0" max="9" min="9" style="43" width="9.83"/>
    <col collapsed="false" customWidth="true" hidden="false" outlineLevel="0" max="10" min="10" style="43" width="9.52"/>
    <col collapsed="false" customWidth="true" hidden="false" outlineLevel="0" max="11" min="11" style="43" width="3.5"/>
    <col collapsed="false" customWidth="true" hidden="false" outlineLevel="0" max="12" min="12" style="43" width="16.15"/>
    <col collapsed="false" customWidth="false" hidden="false" outlineLevel="0" max="16383" min="13" style="43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73" t="str">
        <f aca="false">Contrôles!$K$28</f>
        <v>✓</v>
      </c>
      <c r="B1" s="73"/>
      <c r="C1" s="73"/>
      <c r="D1" s="73"/>
      <c r="E1" s="73"/>
      <c r="F1" s="73" t="str">
        <f aca="false">année_courante</f>
        <v>2026</v>
      </c>
      <c r="G1" s="73"/>
      <c r="H1" s="12"/>
    </row>
    <row r="2" customFormat="false" ht="21" hidden="false" customHeight="true" outlineLevel="0" collapsed="false">
      <c r="A2" s="26" t="s">
        <v>149</v>
      </c>
      <c r="B2" s="26" t="s">
        <v>150</v>
      </c>
      <c r="C2" s="26" t="s">
        <v>151</v>
      </c>
      <c r="D2" s="26" t="s">
        <v>152</v>
      </c>
      <c r="E2" s="50" t="s">
        <v>153</v>
      </c>
      <c r="F2" s="50" t="s">
        <v>154</v>
      </c>
      <c r="G2" s="50" t="s">
        <v>64</v>
      </c>
      <c r="H2" s="50" t="s">
        <v>155</v>
      </c>
    </row>
    <row r="3" customFormat="false" ht="14.25" hidden="false" customHeight="true" outlineLevel="0" collapsed="false">
      <c r="A3" s="125" t="s">
        <v>4</v>
      </c>
      <c r="B3" s="126"/>
      <c r="C3" s="126"/>
      <c r="D3" s="126"/>
      <c r="E3" s="54"/>
      <c r="F3" s="16"/>
      <c r="G3" s="16"/>
      <c r="H3" s="16"/>
    </row>
    <row r="4" customFormat="false" ht="16.5" hidden="false" customHeight="true" outlineLevel="0" collapsed="false">
      <c r="A4" s="125" t="s">
        <v>17</v>
      </c>
      <c r="B4" s="126" t="s">
        <v>156</v>
      </c>
      <c r="C4" s="126" t="s">
        <v>157</v>
      </c>
      <c r="D4" s="126" t="n">
        <v>2</v>
      </c>
      <c r="E4" s="54" t="s">
        <v>68</v>
      </c>
      <c r="F4" s="110" t="n">
        <v>1</v>
      </c>
      <c r="G4" s="110"/>
      <c r="H4" s="127"/>
    </row>
    <row r="5" customFormat="false" ht="16.5" hidden="false" customHeight="true" outlineLevel="0" collapsed="false">
      <c r="A5" s="125" t="s">
        <v>4</v>
      </c>
      <c r="B5" s="126"/>
      <c r="C5" s="126"/>
      <c r="D5" s="126"/>
      <c r="E5" s="54"/>
      <c r="F5" s="16"/>
      <c r="G5" s="16"/>
      <c r="H5" s="16"/>
    </row>
    <row r="6" customFormat="false" ht="15" hidden="false" customHeight="true" outlineLevel="0" collapsed="false">
      <c r="A6" s="57" t="s">
        <v>158</v>
      </c>
      <c r="B6" s="57" t="str">
        <f aca="false">IF(SUMPRODUCT((COUNTIF(COTcode,PVLdevise)=0)*(PVLdevise&lt;&gt;""))+SUMPRODUCT((COUNTIF(COTcode,AVRdevise)=0)*(AVRdevise&lt;&gt;""))+IFERROR(SUMPRODUCT((COTcode&lt;&gt;"")*(COTcours="")),1)&gt;0,"⚠","✓")</f>
        <v>✓</v>
      </c>
      <c r="C6" s="57"/>
      <c r="D6" s="57"/>
      <c r="E6" s="57"/>
      <c r="F6" s="57"/>
      <c r="G6" s="57"/>
      <c r="H6" s="57"/>
    </row>
    <row r="7" customFormat="false" ht="18" hidden="false" customHeight="true" outlineLevel="0" collapsed="false">
      <c r="F7" s="128"/>
      <c r="G7" s="128"/>
    </row>
    <row r="8" customFormat="false" ht="18" hidden="false" customHeight="true" outlineLevel="0" collapsed="false">
      <c r="F8" s="128"/>
      <c r="G8" s="128"/>
    </row>
    <row r="9" customFormat="false" ht="18" hidden="false" customHeight="true" outlineLevel="0" collapsed="false">
      <c r="F9" s="128"/>
      <c r="G9" s="128"/>
    </row>
    <row r="10" customFormat="false" ht="18" hidden="false" customHeight="true" outlineLevel="0" collapsed="false">
      <c r="F10" s="128"/>
      <c r="G10" s="128"/>
    </row>
    <row r="11" customFormat="false" ht="18" hidden="false" customHeight="true" outlineLevel="0" collapsed="false">
      <c r="F11" s="128"/>
      <c r="G11" s="128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6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Neue,Regular"&amp;11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</TotalTime>
  <Application>LibreOffice/26.2.2.2$Linux_X86_64 LibreOffice_project/620$Build-2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2026-05-21T23:47:47Z</dcterms:modified>
  <cp:revision>1011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