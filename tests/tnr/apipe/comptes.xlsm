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Avoirs!$H$4:$H$64</definedName>
    <definedName function="false" hidden="false" name="AVRdate_solde" vbProcedure="false">Avoirs!$J$4:$J$64</definedName>
    <definedName function="false" hidden="false" name="AVRdevise" vbProcedure="false">Avoirs!$E$4:$E$64</definedName>
    <definedName function="false" hidden="false" name="AVRdomiciliation" vbProcedure="false">Avoirs!$C$4:$C$64</definedName>
    <definedName function="false" hidden="false" name="AVRintitulé" vbProcedure="false">Avoirs!$A$4:$A$64</definedName>
    <definedName function="false" hidden="false" name="AVRmontant_anter" vbProcedure="false">Avoirs!$I$4:$I$64</definedName>
    <definedName function="false" hidden="false" name="AVRmontant_solde" vbProcedure="false">Avoirs!$K$4:$K$64</definedName>
    <definedName function="false" hidden="false" name="AVRmontant_solde_euro" vbProcedure="false">Avoirs!$L$4:$L$64</definedName>
    <definedName function="false" hidden="false" name="AVRpropriete" vbProcedure="false">Avoirs!$G$4:$G$64</definedName>
    <definedName function="false" hidden="false" name="AVRsous_type" vbProcedure="false">Avoirs!$D$4:$D$64</definedName>
    <definedName function="false" hidden="false" name="AVRtitulaire" vbProcedure="false">Avoirs!$F$4:$F$64</definedName>
    <definedName function="false" hidden="false" name="AVRtype" vbProcedure="false">Avoirs!$B$4:$B$64</definedName>
    <definedName function="false" hidden="false" name="CATaffectation" vbProcedure="false">Budget!$I$31:$I$96</definedName>
    <definedName function="false" hidden="false" name="CATaffectation_pct" vbProcedure="false">Budget!$H$31:$H$96</definedName>
    <definedName function="false" hidden="false" name="CATmontant" vbProcedure="false">Budget!$F$31:$F$96</definedName>
    <definedName function="false" hidden="false" name="CATnom" vbProcedure="false">Budget!$E$31:$E$96</definedName>
    <definedName function="false" hidden="false" name="CATposte" vbProcedure="false">Budget!$J$31:$J$96</definedName>
    <definedName function="false" hidden="false" name="CATtotal_euro" vbProcedure="false">Budget!$G$31:$G$96</definedName>
    <definedName function="false" hidden="false" name="CONVcell" vbProcedure="false">Patrimoine!$K$64:$K$89</definedName>
    <definedName function="false" hidden="false" name="CONVlégende" vbProcedure="false">Patrimoine!$L$64:$L$89</definedName>
    <definedName function="false" hidden="false" name="CONVnom" vbProcedure="false">Patrimoine!$J$64:$J$89</definedName>
    <definedName function="false" hidden="false" name="COTcode" vbProcedure="false">Cotations!$E$3:$E$19</definedName>
    <definedName function="false" hidden="false" name="COTcours" vbProcedure="false">Cotations!$F$3:$F$19</definedName>
    <definedName function="false" hidden="false" name="COTcours2" vbProcedure="false">Cotations!$H$3:$H$19</definedName>
    <definedName function="false" hidden="false" name="COTdate" vbProcedure="false">Cotations!$G$3:$G$19</definedName>
    <definedName function="false" hidden="false" name="COTdecimales" vbProcedure="false">Cotations!$D$3:$D$19</definedName>
    <definedName function="false" hidden="false" name="COTfamille" vbProcedure="false">Cotations!$C$3:$C$19</definedName>
    <definedName function="false" hidden="false" name="COTlabel" vbProcedure="false">Cotations!$A$3:$A$19</definedName>
    <definedName function="false" hidden="false" name="COTnature" vbProcedure="false">Cotations!$B$3:$B$19</definedName>
    <definedName function="false" hidden="false" name="cours_AgJo" vbProcedure="false">Cotations!$F$15</definedName>
    <definedName function="false" hidden="false" name="cours_AgPr" vbProcedure="false">Cotations!$F$13</definedName>
    <definedName function="false" hidden="false" name="cours_BTC" vbProcedure="false">Cotations!$F$16</definedName>
    <definedName function="false" hidden="false" name="cours_CHF" vbProcedure="false">Cotations!$F$6</definedName>
    <definedName function="false" hidden="false" name="cours_JPY" vbProcedure="false">Cotations!$F$7</definedName>
    <definedName function="false" hidden="false" name="cours_OrJo" vbProcedure="false">Cotations!$F$14</definedName>
    <definedName function="false" hidden="false" name="cours_OrPr" vbProcedure="false">Cotations!$F$12</definedName>
    <definedName function="false" hidden="false" name="cours_SAT" vbProcedure="false">Cotations!$F$18</definedName>
    <definedName function="false" hidden="false" name="cours_SEK" vbProcedure="false">Cotations!$F$9</definedName>
    <definedName function="false" hidden="false" name="cours_SGD" vbProcedure="false">Cotations!$F$8</definedName>
    <definedName function="false" hidden="false" name="cours_USD" vbProcedure="false">Cotations!$F$5</definedName>
    <definedName function="false" hidden="false" name="cours_XAG" vbProcedure="false">Cotations!$F$11</definedName>
    <definedName function="false" hidden="false" name="cours_XAU" vbProcedure="false">Cotations!$F$10</definedName>
    <definedName function="false" hidden="false" name="cours_XMR" vbProcedure="false">Cotations!$F$17</definedName>
    <definedName function="false" hidden="false" name="CTRL1compte" vbProcedure="false">Contrôles!$A$3:$A$44</definedName>
    <definedName function="false" hidden="false" name="CTRL1controle" vbProcedure="false">Contrôles!$I$3:$I$44</definedName>
    <definedName function="false" hidden="false" name="CTRL1date_ancrage" vbProcedure="false">Contrôles!$C$3:$C$44</definedName>
    <definedName function="false" hidden="false" name="CTRL1date_releve" vbProcedure="false">Contrôles!$D$3:$D$44</definedName>
    <definedName function="false" hidden="false" name="CTRL1devise" vbProcedure="false">Contrôles!$B$3:$B$44</definedName>
    <definedName function="false" hidden="false" name="CTRL1ecart" vbProcedure="false">Contrôles!$H$3:$H$44</definedName>
    <definedName function="false" hidden="false" name="CTRL1montant_ancrage" vbProcedure="false">Contrôles!$E$3:$E$44</definedName>
    <definedName function="false" hidden="false" name="CTRL1montant_releve" vbProcedure="false">Contrôles!$G$3:$G$44</definedName>
    <definedName function="false" hidden="false" name="CTRL1solde_calc" vbProcedure="false">Contrôles!$F$3:$F$44</definedName>
    <definedName function="false" hidden="false" name="CTRL2affichage" vbProcedure="false">Contrôles!$K$49:$K$69</definedName>
    <definedName function="false" hidden="false" name="CTRL2drill" vbProcedure="false">Contrôles!$M$49:$M$69</definedName>
    <definedName function="false" hidden="false" name="CTRL2general" vbProcedure="false">Contrôles!$L$49:$L$69</definedName>
    <definedName function="false" hidden="false" name="CTRL2type" vbProcedure="false">Contrôles!$J$49:$J$69</definedName>
    <definedName function="false" hidden="false" name="CTRL2_fonds_en_transit" vbProcedure="false">Contrôles!$L$64</definedName>
    <definedName function="false" hidden="false" name="CTRL2_synthese" vbProcedure="false">Contrôles!$K$70</definedName>
    <definedName function="false" hidden="false" name="OPcatégorie" vbProcedure="false">Opérations!$G$4:$G$9532</definedName>
    <definedName function="false" hidden="false" name="OPcommentaire" vbProcedure="false">Opérations!$I$4:$I$9532</definedName>
    <definedName function="false" hidden="false" name="OPcompte" vbProcedure="false">Opérations!$H$4:$H$9532</definedName>
    <definedName function="false" hidden="false" name="OPdate" vbProcedure="false">Opérations!$A$4:$A$9532</definedName>
    <definedName function="false" hidden="false" name="OPdevise" vbProcedure="false">Opérations!$D$4:$D$9532</definedName>
    <definedName function="false" hidden="false" name="OPequiv_euro" vbProcedure="false">Opérations!$E$4:$E$9532</definedName>
    <definedName function="false" hidden="false" name="OPlibellé" vbProcedure="false">Opérations!$B$4:$B$9532</definedName>
    <definedName function="false" hidden="false" name="OPmontant" vbProcedure="false">Opérations!$C$4:$C$9532</definedName>
    <definedName function="false" hidden="false" name="OPréf" vbProcedure="false">Opérations!$F$4:$F$9532</definedName>
    <definedName function="false" hidden="false" name="PAText1" vbProcedure="false">Patrimoine!$F$5:$F$56</definedName>
    <definedName function="false" hidden="false" name="PAText2" vbProcedure="false">Patrimoine!$G$5:$G$56</definedName>
    <definedName function="false" hidden="false" name="PAText3" vbProcedure="false">Patrimoine!$H$5:$H$56</definedName>
    <definedName function="false" hidden="false" name="PAText4" vbProcedure="false">Patrimoine!$I$5:$I$56</definedName>
    <definedName function="false" hidden="false" name="PATlabel" vbProcedure="false">Patrimoine!$B$5:$B$56</definedName>
    <definedName function="false" hidden="false" name="PATnombre" vbProcedure="false">Patrimoine!$C$5:$C$56</definedName>
    <definedName function="false" hidden="false" name="PATpoids" vbProcedure="false">Patrimoine!$E$5:$E$56</definedName>
    <definedName function="false" hidden="false" name="PATvaleur" vbProcedure="false">Patrimoine!$D$5:$D$56</definedName>
    <definedName function="false" hidden="false" name="POSTESmontant" vbProcedure="false">Budget!$C$4:$C$22</definedName>
    <definedName function="false" hidden="false" name="POSTESnom" vbProcedure="false">Budget!$A$4:$A$22</definedName>
    <definedName function="false" hidden="false" name="POSTEStype" vbProcedure="false">Budget!$B$4:$B$22</definedName>
    <definedName function="false" hidden="false" name="PVLcompte" vbProcedure="false">Plus_value!$B$5:$B$108</definedName>
    <definedName function="false" hidden="false" name="PVLdate" vbProcedure="false">Plus_value!$J$5:$J$108</definedName>
    <definedName function="false" hidden="false" name="PVLdate_init" vbProcedure="false">Plus_value!$G$5:$G$108</definedName>
    <definedName function="false" hidden="false" name="PVLdevise" vbProcedure="false">Plus_value!$D$5:$D$108</definedName>
    <definedName function="false" hidden="false" name="PVLmontant" vbProcedure="false">Plus_value!$K$5:$K$108</definedName>
    <definedName function="false" hidden="false" name="PVLmontant_init" vbProcedure="false">Plus_value!$H$5:$H$108</definedName>
    <definedName function="false" hidden="false" name="PVLpct" vbProcedure="false">Plus_value!$F$5:$F$108</definedName>
    <definedName function="false" hidden="false" name="PVLpvl" vbProcedure="false">Plus_value!$E$5:$E$108</definedName>
    <definedName function="false" hidden="false" name="PVLsection" vbProcedure="false">Plus_value!$A$5:$A$108</definedName>
    <definedName function="false" hidden="false" name="PVLsigma" vbProcedure="false">Plus_value!$I$5:$I$108</definedName>
    <definedName function="false" hidden="false" name="PVLtitre" vbProcedure="false">Plus_value!$C$5:$C$108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<sst xmlns="http://schemas.openxmlformats.org/spreadsheetml/2006/main" count="9492" uniqueCount="1878">
  <si>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</si>
  <si>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</si>
  <si>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</si>
  <si>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</si>
  <si>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</si>
  <si>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</si>
  <si>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</si>
  <si>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</si>
  <si>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</si>
  <si>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</si>
  <si>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</si>
  <si>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</si>
  <si>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</si>
  <si>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clos</t>
  </si>
  <si>
    <t xml:space="preserve">par sous-type</t>
  </si>
  <si>
    <t xml:space="preserve">Titres</t>
  </si>
  <si>
    <t xml:space="preserve">Mobilier</t>
  </si>
  <si>
    <t xml:space="preserve">Euro</t>
  </si>
  <si>
    <t xml:space="preserve">Bitcoin</t>
  </si>
  <si>
    <t xml:space="preserve">Couronne suédoise</t>
  </si>
  <si>
    <t xml:space="preserve">Dollar Singapour</t>
  </si>
  <si>
    <t xml:space="preserve">Dollar US</t>
  </si>
  <si>
    <t xml:space="preserve">Franc Suisse</t>
  </si>
  <si>
    <t xml:space="preserve">Monero</t>
  </si>
  <si>
    <t xml:space="preserve">par domiciliation</t>
  </si>
  <si>
    <t xml:space="preserve">Paul &amp; Zoe</t>
  </si>
  <si>
    <t xml:space="preserve">Amazon</t>
  </si>
  <si>
    <t xml:space="preserve">Blockchain</t>
  </si>
  <si>
    <t xml:space="preserve">BoursoBank</t>
  </si>
  <si>
    <t xml:space="preserve">Coffre</t>
  </si>
  <si>
    <t xml:space="preserve">DEGIRO</t>
  </si>
  <si>
    <t xml:space="preserve">Binance</t>
  </si>
  <si>
    <t xml:space="preserve">En transit</t>
  </si>
  <si>
    <t xml:space="preserve">Kraken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</si>
  <si>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</si>
  <si>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</si>
  <si>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</si>
  <si>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</si>
  <si>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</si>
  <si>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</si>
  <si>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Commun</t>
  </si>
  <si>
    <t xml:space="preserve">Hélène</t>
  </si>
  <si>
    <t xml:space="preserve">Julien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</si>
  <si>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</si>
  <si>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</si>
  <si>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</si>
  <si>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</si>
  <si>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</si>
  <si>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</si>
  <si>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</si>
  <si>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</si>
  <si>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</si>
  <si>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</si>
  <si>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</si>
  <si>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</si>
  <si>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</si>
  <si>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</si>
  <si>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</si>
  <si>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</si>
  <si>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</si>
  <si>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</si>
  <si>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</si>
  <si>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</si>
  <si>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</si>
  <si>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</si>
  <si>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</si>
  <si>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</si>
  <si>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</si>
  <si>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</si>
  <si>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</si>
  <si>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</si>
  <si>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</si>
  <si>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</si>
  <si>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</si>
  <si>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</si>
  <si>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</si>
  <si>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</si>
  <si>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</si>
  <si>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</si>
  <si>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</si>
  <si>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</si>
  <si>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</si>
  <si>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</si>
  <si>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</si>
  <si>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</si>
  <si>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</si>
  <si>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</si>
  <si>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</si>
  <si>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</si>
  <si>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</si>
  <si>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</si>
  <si>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</si>
  <si>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</si>
  <si>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</si>
  <si>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</si>
  <si>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</si>
  <si>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 vie acajou Hélène</t>
  </si>
  <si>
    <t xml:space="preserve">EUR</t>
  </si>
  <si>
    <t xml:space="preserve">Ass vie acajou 2 Hélène</t>
  </si>
  <si>
    <t xml:space="preserve">PEE Agrovia Hélène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</si>
  <si>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</si>
  <si>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</si>
  <si>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</si>
  <si>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</si>
  <si>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</si>
  <si>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</si>
  <si>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SG</t>
  </si>
  <si>
    <t xml:space="preserve">Compte Binance EUR</t>
  </si>
  <si>
    <t xml:space="preserve">Espèces</t>
  </si>
  <si>
    <t xml:space="preserve">Compte livret BB</t>
  </si>
  <si>
    <t xml:space="preserve">Compte livret SG</t>
  </si>
  <si>
    <t xml:space="preserve">LDD Hélène</t>
  </si>
  <si>
    <t xml:space="preserve">LDD Julien</t>
  </si>
  <si>
    <t xml:space="preserve">Livret A Hélène</t>
  </si>
  <si>
    <t xml:space="preserve">Livret A Julien</t>
  </si>
  <si>
    <t xml:space="preserve">Compte Paypal</t>
  </si>
  <si>
    <t xml:space="preserve">Compte eToro Money</t>
  </si>
  <si>
    <t xml:space="preserve">Compte Wise EUR</t>
  </si>
  <si>
    <t xml:space="preserve">Compte Wise EUR Intérêts</t>
  </si>
  <si>
    <t xml:space="preserve">Compte Kraken EUR</t>
  </si>
  <si>
    <t xml:space="preserve">Transfert de fonds</t>
  </si>
  <si>
    <t xml:space="preserve">Portefeuille DEGIRO Réserve</t>
  </si>
  <si>
    <t xml:space="preserve">Portefeuille BB Réserve</t>
  </si>
  <si>
    <t xml:space="preserve">Compte Wise CHF</t>
  </si>
  <si>
    <t xml:space="preserve">CHF</t>
  </si>
  <si>
    <t xml:space="preserve">Compte Wise USD</t>
  </si>
  <si>
    <t xml:space="preserve">Compte Wise USD Intérêts</t>
  </si>
  <si>
    <t xml:space="preserve">Compte Wise SGD</t>
  </si>
  <si>
    <t xml:space="preserve">SGD</t>
  </si>
  <si>
    <t xml:space="preserve">Compte Wise SEK</t>
  </si>
  <si>
    <t xml:space="preserve">SEK</t>
  </si>
  <si>
    <t xml:space="preserve">Portefeuille eToro USD Réserve</t>
  </si>
  <si>
    <t xml:space="preserve">Créance prêt familial</t>
  </si>
  <si>
    <t xml:space="preserve">Créance 3 prêt familial</t>
  </si>
  <si>
    <t xml:space="preserve">Créance 4 prêt Zoe</t>
  </si>
  <si>
    <t xml:space="preserve">Relai BTC</t>
  </si>
  <si>
    <t xml:space="preserve">SAT</t>
  </si>
  <si>
    <t xml:space="preserve">BlueWallet BTC</t>
  </si>
  <si>
    <t xml:space="preserve">Sparrow BTC</t>
  </si>
  <si>
    <t xml:space="preserve">Phoenix Lightning BTC</t>
  </si>
  <si>
    <t xml:space="preserve">Cake Wallet XMR</t>
  </si>
  <si>
    <t xml:space="preserve">XMR</t>
  </si>
  <si>
    <t xml:space="preserve">Julien XMR</t>
  </si>
  <si>
    <t xml:space="preserve">Compte Kraken BTC</t>
  </si>
  <si>
    <t xml:space="preserve">Binance BTC</t>
  </si>
  <si>
    <t xml:space="preserve">Pièces or</t>
  </si>
  <si>
    <t xml:space="preserve">OrPr</t>
  </si>
  <si>
    <t xml:space="preserve">Bijoux Argent</t>
  </si>
  <si>
    <t xml:space="preserve">AgJo</t>
  </si>
  <si>
    <t xml:space="preserve">Bijoux Or</t>
  </si>
  <si>
    <t xml:space="preserve">OrJo</t>
  </si>
  <si>
    <t xml:space="preserve">Amex</t>
  </si>
  <si>
    <t xml:space="preserve">Ass vie acajou Julien</t>
  </si>
  <si>
    <t xml:space="preserve">Ass vie acajou 2 Julien</t>
  </si>
  <si>
    <t xml:space="preserve">BlueWallet Lightning</t>
  </si>
  <si>
    <t xml:space="preserve">Compte titre SG</t>
  </si>
  <si>
    <t xml:space="preserve">Créance 2 prêt familial</t>
  </si>
  <si>
    <t xml:space="preserve">Solana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</si>
  <si>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</si>
  <si>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</si>
  <si>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</si>
  <si>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</si>
  <si>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Nanou Anne</t>
  </si>
  <si>
    <t xml:space="preserve">Marché (alimentation, divers)</t>
  </si>
  <si>
    <t xml:space="preserve">Quiberon</t>
  </si>
  <si>
    <t xml:space="preserve">Suresnes</t>
  </si>
  <si>
    <t xml:space="preserve">Transports</t>
  </si>
  <si>
    <t xml:space="preserve">Santé</t>
  </si>
  <si>
    <t xml:space="preserve">Cadeaux</t>
  </si>
  <si>
    <t xml:space="preserve">Personnel (abonnements, soins …)</t>
  </si>
  <si>
    <t xml:space="preserve">Loisirs et restaurant</t>
  </si>
  <si>
    <t xml:space="preserve">Impôts revenu</t>
  </si>
  <si>
    <t xml:space="preserve">Revenus Hélène</t>
  </si>
  <si>
    <t xml:space="preserve">Revenus Julien</t>
  </si>
  <si>
    <t xml:space="preserve">Charenne</t>
  </si>
  <si>
    <t xml:space="preserve">Produits financiers</t>
  </si>
  <si>
    <t xml:space="preserve">Dépenses exceptionnelles</t>
  </si>
  <si>
    <t xml:space="preserve">Variable</t>
  </si>
  <si>
    <t xml:space="preserve">Revenus exceptionnels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</si>
  <si>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</si>
  <si>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</si>
  <si>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</si>
  <si>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</si>
  <si>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</si>
  <si>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</si>
  <si>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</si>
  <si>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</si>
  <si>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</si>
  <si>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</si>
  <si>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</si>
  <si>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</si>
  <si>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</si>
  <si>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</si>
  <si>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</si>
  <si>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APICIL</t>
  </si>
  <si>
    <t xml:space="preserve">Ajustement</t>
  </si>
  <si>
    <t xml:space="preserve">Sandrine</t>
  </si>
  <si>
    <t xml:space="preserve">GENERALI</t>
  </si>
  <si>
    <t xml:space="preserve">CNAV</t>
  </si>
  <si>
    <t xml:space="preserve">Coupon</t>
  </si>
  <si>
    <t xml:space="preserve">CPAM</t>
  </si>
  <si>
    <t xml:space="preserve">VALIL</t>
  </si>
  <si>
    <t xml:space="preserve">ENGIE Suresnes</t>
  </si>
  <si>
    <t xml:space="preserve">ENGIE Quiberon</t>
  </si>
  <si>
    <t xml:space="preserve">Frais bancaires</t>
  </si>
  <si>
    <t xml:space="preserve">Habillement</t>
  </si>
  <si>
    <t xml:space="preserve">KLESIA</t>
  </si>
  <si>
    <t xml:space="preserve">Impôts 56</t>
  </si>
  <si>
    <t xml:space="preserve">Impôts 92</t>
  </si>
  <si>
    <t xml:space="preserve">Intérêts</t>
  </si>
  <si>
    <t xml:space="preserve">Livres</t>
  </si>
  <si>
    <t xml:space="preserve">Loisirs</t>
  </si>
  <si>
    <t xml:space="preserve">MAAF</t>
  </si>
  <si>
    <t xml:space="preserve">Marché</t>
  </si>
  <si>
    <t xml:space="preserve">HENNER</t>
  </si>
  <si>
    <t xml:space="preserve">MSA retraite</t>
  </si>
  <si>
    <t xml:space="preserve">MSA santé</t>
  </si>
  <si>
    <t xml:space="preserve">Numericable Suresnes</t>
  </si>
  <si>
    <t xml:space="preserve">Numericable Julien</t>
  </si>
  <si>
    <t xml:space="preserve">Numericable Nanou</t>
  </si>
  <si>
    <t xml:space="preserve">Numericable Quiberon</t>
  </si>
  <si>
    <t xml:space="preserve">Numericable Hélène</t>
  </si>
  <si>
    <t xml:space="preserve">SCALEWAY</t>
  </si>
  <si>
    <t xml:space="preserve">Pertes et profits</t>
  </si>
  <si>
    <t xml:space="preserve">CARDIF</t>
  </si>
  <si>
    <t xml:space="preserve">Restaurant</t>
  </si>
  <si>
    <t xml:space="preserve">SUEZ</t>
  </si>
  <si>
    <t xml:space="preserve">Soins</t>
  </si>
  <si>
    <t xml:space="preserve">SAUR</t>
  </si>
  <si>
    <t xml:space="preserve">Agrovia</t>
  </si>
  <si>
    <t xml:space="preserve">Honda assurances</t>
  </si>
  <si>
    <t xml:space="preserve">Transport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</si>
  <si>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</si>
  <si>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</si>
  <si>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</si>
  <si>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</si>
  <si>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</si>
  <si>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</si>
  <si>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</si>
  <si>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</si>
  <si>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</si>
  <si>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</si>
  <si>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</si>
  <si>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</si>
  <si>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</si>
  <si>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</si>
  <si>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</si>
  <si>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</si>
  <si>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</si>
  <si>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*SÉCURITÉ EUROS*</t>
  </si>
  <si>
    <t xml:space="preserve">*SCI PIERRE CAPIMMO*</t>
  </si>
  <si>
    <t xml:space="preserve">*CARMIGNAC FUND - HIGH YIELD*</t>
  </si>
  <si>
    <t xml:space="preserve">*CARMIGNAC FUND - SG CREDIT*</t>
  </si>
  <si>
    <t xml:space="preserve">*CARMIGNAC FUND - US EQUITY*</t>
  </si>
  <si>
    <t xml:space="preserve">#Solde Opérations</t>
  </si>
  <si>
    <t xml:space="preserve">*SG LIQUIDITE*</t>
  </si>
  <si>
    <t xml:space="preserve">*COMGEST*</t>
  </si>
  <si>
    <t xml:space="preserve">*ODDO AVENIR N°1*</t>
  </si>
  <si>
    <t xml:space="preserve">*ALYSEE*</t>
  </si>
  <si>
    <t xml:space="preserve">*CROISSANCE*</t>
  </si>
  <si>
    <t xml:space="preserve">*ACTIONS GLOBAL*</t>
  </si>
  <si>
    <t xml:space="preserve">*DIVERSIFIE*</t>
  </si>
  <si>
    <t xml:space="preserve">*TRESORERIE*</t>
  </si>
  <si>
    <t xml:space="preserve">*OBLIGATAIRE EURO*</t>
  </si>
  <si>
    <t xml:space="preserve">*PRUDENT*</t>
  </si>
  <si>
    <t xml:space="preserve">*EDENRED*</t>
  </si>
  <si>
    <t xml:space="preserve">*VEOLIA ENVIRONNEMENT*</t>
  </si>
  <si>
    <t xml:space="preserve">*BAYER*</t>
  </si>
  <si>
    <t xml:space="preserve">*SAVENCIA*</t>
  </si>
  <si>
    <t xml:space="preserve">*DAIMLER*</t>
  </si>
  <si>
    <t xml:space="preserve">*ATOS*</t>
  </si>
  <si>
    <t xml:space="preserve">*HEINEKEN*</t>
  </si>
  <si>
    <t xml:space="preserve">*REPSOL*</t>
  </si>
  <si>
    <t xml:space="preserve">*COTY*</t>
  </si>
  <si>
    <t xml:space="preserve">*KERING*</t>
  </si>
  <si>
    <t xml:space="preserve">*ERICSSON*</t>
  </si>
  <si>
    <t xml:space="preserve">*UNILEVER*</t>
  </si>
  <si>
    <t xml:space="preserve">*SANOFI*</t>
  </si>
  <si>
    <t xml:space="preserve">*REMY COINTREAU*</t>
  </si>
  <si>
    <t xml:space="preserve">*NVIDIA*</t>
  </si>
  <si>
    <t xml:space="preserve">*ALSTOM*</t>
  </si>
  <si>
    <t xml:space="preserve">*LEGRAND*</t>
  </si>
  <si>
    <t xml:space="preserve">*ELIOR*</t>
  </si>
  <si>
    <t xml:space="preserve">*FORD*</t>
  </si>
  <si>
    <t xml:space="preserve">*ENI*</t>
  </si>
  <si>
    <t xml:space="preserve">*HONDA*</t>
  </si>
  <si>
    <t xml:space="preserve">*FREEPORT*</t>
  </si>
  <si>
    <t xml:space="preserve">*GOLD*</t>
  </si>
  <si>
    <t xml:space="preserve">*BOUYGUES*</t>
  </si>
  <si>
    <t xml:space="preserve">*Leonardo*</t>
  </si>
  <si>
    <t xml:space="preserve">*Chevron*</t>
  </si>
  <si>
    <t xml:space="preserve">*Airbus group SA*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</si>
  <si>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</si>
  <si>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</si>
  <si>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</si>
  <si>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</si>
  <si>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</si>
  <si>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</si>
  <si>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</si>
  <si>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</si>
  <si>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</si>
  <si>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</si>
  <si>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</si>
  <si>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</si>
  <si>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</si>
  <si>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</si>
  <si>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</si>
  <si>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</si>
  <si>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</si>
  <si>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</si>
  <si>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</si>
  <si>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</si>
  <si>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</si>
  <si>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</si>
  <si>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</si>
  <si>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#Solde</t>
  </si>
  <si>
    <t xml:space="preserve">t0</t>
  </si>
  <si>
    <t xml:space="preserve">ISR TRESORERIE (E) - 85016</t>
  </si>
  <si>
    <t xml:space="preserve">t1</t>
  </si>
  <si>
    <t xml:space="preserve">ISR DIVERSIFIE ET SOLIDAIRE (G) - 77614</t>
  </si>
  <si>
    <t xml:space="preserve">t222</t>
  </si>
  <si>
    <t xml:space="preserve">CROISSANCE (G) - 55040</t>
  </si>
  <si>
    <t xml:space="preserve">ISR OBLIGATAIRE EURO ET SOLIDAIRE (E) - 64184</t>
  </si>
  <si>
    <t xml:space="preserve">PRUDENT (E) - 21903</t>
  </si>
  <si>
    <t xml:space="preserve">SÉCURITÉ EUROS</t>
  </si>
  <si>
    <t xml:space="preserve">t9</t>
  </si>
  <si>
    <t xml:space="preserve">SG LIQUIDITE E</t>
  </si>
  <si>
    <t xml:space="preserve">t10</t>
  </si>
  <si>
    <t xml:space="preserve">ISR ACTIONS GLOBAL (E) - 87071</t>
  </si>
  <si>
    <t xml:space="preserve">t223</t>
  </si>
  <si>
    <t xml:space="preserve">SCI PIERRE CAPIMMO</t>
  </si>
  <si>
    <t xml:space="preserve">t224</t>
  </si>
  <si>
    <t xml:space="preserve">COMGEST</t>
  </si>
  <si>
    <t xml:space="preserve">t12</t>
  </si>
  <si>
    <t xml:space="preserve">VIREMENT EN LIGNE POUR: Relai AG REF: 044071482876581510000000 REMISE:044071482876581510000000</t>
  </si>
  <si>
    <t xml:space="preserve">btc0</t>
  </si>
  <si>
    <t xml:space="preserve">VIR RECU    2960496343S DE: SOGECAP MOTIF: 00172000245800332042909810KORIL REF: 00172000245800332042909810KORIL</t>
  </si>
  <si>
    <t xml:space="preserve">t5</t>
  </si>
  <si>
    <t xml:space="preserve">V5-1</t>
  </si>
  <si>
    <t xml:space="preserve">CARMIGNAC FUND - HIGH YIELD ...</t>
  </si>
  <si>
    <t xml:space="preserve">V5-2</t>
  </si>
  <si>
    <t xml:space="preserve">1) Transfert Relai BTC —&gt; Relai BTC (test)</t>
  </si>
  <si>
    <t xml:space="preserve">v668</t>
  </si>
  <si>
    <t xml:space="preserve">2) Transfert Relai BTC —&gt; Blue Wallet BTC (test)</t>
  </si>
  <si>
    <t xml:space="preserve">v13</t>
  </si>
  <si>
    <t xml:space="preserve">3) Transfert Blue Wallet BTC —&gt; Blue Wallet Lightning</t>
  </si>
  <si>
    <t xml:space="preserve">v14</t>
  </si>
  <si>
    <t xml:space="preserve">5) Transfert Blue Wallet Lightning —&gt; Phoenix Lightning BTC 1/2</t>
  </si>
  <si>
    <t xml:space="preserve">v16</t>
  </si>
  <si>
    <t xml:space="preserve">5) Transfert Blue Wallet Lightning —&gt; Phoenix Lightning BTC 1/2 Ouverture</t>
  </si>
  <si>
    <t xml:space="preserve">6) Transfert Blue Wallet Lightning —&gt; Phoenix Lightning BTC 2/2</t>
  </si>
  <si>
    <t xml:space="preserve">v17</t>
  </si>
  <si>
    <t xml:space="preserve">7) 000006 VIR EUROPEEN EMIS   NETGEST POUR: Relai AG REF: 1603213150369 CHEZ: PLNRCHXX</t>
  </si>
  <si>
    <t xml:space="preserve">btc1</t>
  </si>
  <si>
    <t xml:space="preserve">7) Approvisionnement Relai BTC</t>
  </si>
  <si>
    <t xml:space="preserve">8) Achat Monero sur Carelpalas avec Bitcoin</t>
  </si>
  <si>
    <t xml:space="preserve">xmr1</t>
  </si>
  <si>
    <t xml:space="preserve">8) Frais</t>
  </si>
  <si>
    <t xml:space="preserve">8) Crédit Cake Wallet XMR</t>
  </si>
  <si>
    <t xml:space="preserve">9) Achat carte cadeau 10,03 € Amazon sur Harenpalet</t>
  </si>
  <si>
    <t xml:space="preserve">eur5</t>
  </si>
  <si>
    <t xml:space="preserve">10) 000006 VIR EUROPEEN EMIS   NETGEST POUR: Relai AG REF: 2604592016028 CHEZ: PLNRCHXX</t>
  </si>
  <si>
    <t xml:space="preserve">btc34</t>
  </si>
  <si>
    <t xml:space="preserve">10) Approvisionnement Relai BTC</t>
  </si>
  <si>
    <t xml:space="preserve">11) 000006 VIR EUROPEEN EMIS   NETGEST POUR: Relai AG REF: 7807913233440 CHEZ: PLNRCHXX</t>
  </si>
  <si>
    <t xml:space="preserve">btc3</t>
  </si>
  <si>
    <t xml:space="preserve">Approvisionnement Relai</t>
  </si>
  <si>
    <t xml:space="preserve">000006 VIR EUROPEEN EMIS   NETGEST POUR: Relai AG REF: 1804439814657 CHEZ: PLNRCHXX</t>
  </si>
  <si>
    <t xml:space="preserve">btc35</t>
  </si>
  <si>
    <t xml:space="preserve">virement depuis SG</t>
  </si>
  <si>
    <t xml:space="preserve">Achat livres</t>
  </si>
  <si>
    <t xml:space="preserve">000006 VIR EUROPEEN EMIS   NETGEST POUR: Relai AG REF: 3909338720991 CHEZ: PLNRCHXX</t>
  </si>
  <si>
    <t xml:space="preserve">btc36</t>
  </si>
  <si>
    <t xml:space="preserve">000006 VIR EUROPEEN EMIS   NETGEST POUR: POCKET  Suisse REF: 7408239000129 CHEZ: ZKRTCH19</t>
  </si>
  <si>
    <t xml:space="preserve">btc37</t>
  </si>
  <si>
    <t xml:space="preserve">Approvisionnement Pocket</t>
  </si>
  <si>
    <t xml:space="preserve">000006 VIR EUROPEEN EMIS   NETGEST POUR: Relai AG REF: 3902336005882 CHEZ: PLNRCHXX</t>
  </si>
  <si>
    <t xml:space="preserve">btc7</t>
  </si>
  <si>
    <t xml:space="preserve">000006 VIR EUROPEEN EMIS   NETGEST POUR: POCKET  Suisse REF: 4103883641371 CHEZ: ZKRTCH19</t>
  </si>
  <si>
    <t xml:space="preserve">btc8</t>
  </si>
  <si>
    <t xml:space="preserve">000006 VIR EUROPEEN EMIS   NETGEST POUR: POCKET  Suisse REF: 8101940727235 CHEZ: ZKRTCH19</t>
  </si>
  <si>
    <t xml:space="preserve">btc9</t>
  </si>
  <si>
    <t xml:space="preserve">VIREMENT EN LIGNE REF: 076011090216678120000000 REMISE:076011090216678120000000</t>
  </si>
  <si>
    <t xml:space="preserve">btc10</t>
  </si>
  <si>
    <t xml:space="preserve">000006 VIR EUROPEEN EMIS   NETGEST POUR: POCKET  Suisse REF: 5506399072431 CHEZ: ZKRTCH19</t>
  </si>
  <si>
    <t xml:space="preserve">btc11</t>
  </si>
  <si>
    <t xml:space="preserve">000006 VIR EUROPEEN EMIS   NETGEST POUR: POCKET  Suisse REF: 6705941129722 CHEZ: ZKRTCH19</t>
  </si>
  <si>
    <t xml:space="preserve">btc12</t>
  </si>
  <si>
    <t xml:space="preserve">000006 VIR EUROPEEN EMIS   NETGEST POUR: POCKET  Suisse REF: 4703337278745 CHEZ: ZKRTCH19</t>
  </si>
  <si>
    <t xml:space="preserve">btc13</t>
  </si>
  <si>
    <t xml:space="preserve">VIREMENT EN LIGNE REF: 091057097530300930000000 REMISE:091057097530300930000000</t>
  </si>
  <si>
    <t xml:space="preserve">btc14</t>
  </si>
  <si>
    <t xml:space="preserve">000006 VIR EUROPEEN EMIS   NETGEST POUR: Relai AG REF: 5290335258395 CHEZ: PLNRCHXX</t>
  </si>
  <si>
    <t xml:space="preserve">btc15</t>
  </si>
  <si>
    <t xml:space="preserve">000006 VIR EUROPEEN EMIS   NETGEST POUR: POCKET  Suisse REF: 7360291514924 CHEZ: ZKRTCH19</t>
  </si>
  <si>
    <t xml:space="preserve">btc16</t>
  </si>
  <si>
    <t xml:space="preserve">000006 VIR EUROPEEN EMIS   NETGEST POUR: POCKET  Suisse REF: 7710875681776 CHEZ: ZKRTCH19</t>
  </si>
  <si>
    <t xml:space="preserve">btc17</t>
  </si>
  <si>
    <t xml:space="preserve">000006 VIR EUROPEEN EMIS   NETGEST POUR: POCKET  Suisse REF: 8350933867654 CHEZ: ZKRTCH19</t>
  </si>
  <si>
    <t xml:space="preserve">btc18</t>
  </si>
  <si>
    <t xml:space="preserve">000006 VIR EUROPEEN EMIS   NETGEST POUR: POCKET  Suisse REF: 8730659712368 CHEZ: ZKRTCH19</t>
  </si>
  <si>
    <t xml:space="preserve">btc19</t>
  </si>
  <si>
    <t xml:space="preserve">000006 VIR EUROPEEN EMIS   NETGEST POUR: POCKET  Suisse REF: 9311004567686 CHEZ: ZKRTCH19</t>
  </si>
  <si>
    <t xml:space="preserve">btc20</t>
  </si>
  <si>
    <t xml:space="preserve">000006 VIR EUROPEEN EMIS   NETGEST POUR: POCKET  Suisse REF: 3473302214292 CHEZ: ZKRTCH19</t>
  </si>
  <si>
    <t xml:space="preserve">btc21</t>
  </si>
  <si>
    <t xml:space="preserve">CARTE X4418 18/04 CMA</t>
  </si>
  <si>
    <t xml:space="preserve">or509</t>
  </si>
  <si>
    <t xml:space="preserve">CMA</t>
  </si>
  <si>
    <t xml:space="preserve">000006 VIR EUROPEEN EMIS   NETGEST POUR: POCKET  Suisse REF: 6883081861555 CHEZ: ZKRTCH19</t>
  </si>
  <si>
    <t xml:space="preserve">btc22</t>
  </si>
  <si>
    <t xml:space="preserve">Achat Euro sur Carelpalas</t>
  </si>
  <si>
    <t xml:space="preserve">xmr123</t>
  </si>
  <si>
    <t xml:space="preserve">Approvisionnement Carelpalas</t>
  </si>
  <si>
    <t xml:space="preserve">Frais de transfert blockchain</t>
  </si>
  <si>
    <t xml:space="preserve">t226</t>
  </si>
  <si>
    <t xml:space="preserve">CARMIGNAC FUND - SG CREDIT CLOET</t>
  </si>
  <si>
    <t xml:space="preserve">V45-4</t>
  </si>
  <si>
    <t xml:space="preserve">ODDO AVENIR N°1</t>
  </si>
  <si>
    <t xml:space="preserve">t227</t>
  </si>
  <si>
    <t xml:space="preserve">t228</t>
  </si>
  <si>
    <t xml:space="preserve">CARTE X4418 11/10 CMA</t>
  </si>
  <si>
    <t xml:space="preserve">or201</t>
  </si>
  <si>
    <t xml:space="preserve">CARTE CAROT 15/11 CMA</t>
  </si>
  <si>
    <t xml:space="preserve">or510</t>
  </si>
  <si>
    <t xml:space="preserve">v3</t>
  </si>
  <si>
    <t xml:space="preserve">VIREMENT VIR RECU 2269264107S DE: SOGECAP MOTIF: 00895000443700167082513054KORIL REF: 00895000443700167082513054KORIL</t>
  </si>
  <si>
    <t xml:space="preserve">VIREMENT EN LIGNE REF: 053055085594644570000000 REMISE:053055085594644570000000</t>
  </si>
  <si>
    <t xml:space="preserve">btc23</t>
  </si>
  <si>
    <t xml:space="preserve">Crédit</t>
  </si>
  <si>
    <t xml:space="preserve">btc24</t>
  </si>
  <si>
    <t xml:space="preserve">000006 VIR EUROPEEN EMIS   NETGEST POUR: Relai AG 2024 REF: 5103682460076 CHEZ: KORELJALON</t>
  </si>
  <si>
    <t xml:space="preserve">btc25</t>
  </si>
  <si>
    <t xml:space="preserve">000006 VIR EUROPEEN EMIS   NETGEST POUR: POCKET  Suisse REF: 3107416550994 CHEZ: ZKRTCH19</t>
  </si>
  <si>
    <t xml:space="preserve">btc26</t>
  </si>
  <si>
    <t xml:space="preserve">000006 VIR EUROPEEN EMIS   NETGEST POUR: POCKET  Suisse REF: 3907586487274 CHEZ: ZKRTCH19</t>
  </si>
  <si>
    <t xml:space="preserve">Achat 4 Once d’Or 50 DOLLARS - 2x4 400 = 8 800 Eur</t>
  </si>
  <si>
    <t xml:space="preserve">or70</t>
  </si>
  <si>
    <t xml:space="preserve">000006 VIR EUROPEEN EMIS   NETGEST POUR: POCKET  Suisse REF: 8905753015110 CHEZ: ZKRTCH19</t>
  </si>
  <si>
    <t xml:space="preserve">btc27</t>
  </si>
  <si>
    <t xml:space="preserve">CARTE X4418 30/01 CMA</t>
  </si>
  <si>
    <t xml:space="preserve">CARTE CAROT 30/01 CMA</t>
  </si>
  <si>
    <t xml:space="preserve">xmr3</t>
  </si>
  <si>
    <t xml:space="preserve">000006 VIR EUROPEEN EMIS   NETGEST POUR: GLX AG REF: 4703696150240 CHEZ: VLDNCHXX</t>
  </si>
  <si>
    <t xml:space="preserve">chaîne or facture 47 VERONNORY - 75,78 €</t>
  </si>
  <si>
    <t xml:space="preserve">orjo82</t>
  </si>
  <si>
    <t xml:space="preserve">2 bagues facture 22 VERONNORY - 540,66 €</t>
  </si>
  <si>
    <t xml:space="preserve">orjo83</t>
  </si>
  <si>
    <t xml:space="preserve">pendentif, clips, bague facture 45 VERONNORY - 113,82 € + divers</t>
  </si>
  <si>
    <t xml:space="preserve">orjo84</t>
  </si>
  <si>
    <t xml:space="preserve">2 pendentifs facture 46 VERONNORY - 59,99 €</t>
  </si>
  <si>
    <t xml:space="preserve">orjo85</t>
  </si>
  <si>
    <t xml:space="preserve">CHEQUE    1864</t>
  </si>
  <si>
    <t xml:space="preserve">CHEQUE    1869</t>
  </si>
  <si>
    <t xml:space="preserve">000006 VIR EUROPEEN EMIS   NETGEST POUR: POCKET  Suisse REF: 1441658400679 CHEZ: ZKRTCH19</t>
  </si>
  <si>
    <t xml:space="preserve">btc28</t>
  </si>
  <si>
    <t xml:space="preserve">VIREMENT EN LIGNE REF: 016096672917230850000000 REMISE:016096672917230850000000</t>
  </si>
  <si>
    <t xml:space="preserve">xmr4</t>
  </si>
  <si>
    <t xml:space="preserve">CARTE X4418 13/04 KORINCLOAIS BRIIJALAN</t>
  </si>
  <si>
    <t xml:space="preserve">Crédit pour achat 180,12 €</t>
  </si>
  <si>
    <t xml:space="preserve">xmr5</t>
  </si>
  <si>
    <t xml:space="preserve">VIREMENT EN LIGNE REF: 046047985314066570000000 REMISE:046047985314066570000000</t>
  </si>
  <si>
    <t xml:space="preserve">btc29</t>
  </si>
  <si>
    <t xml:space="preserve">VIREMENT EN LIGNE REF: 077031633564519290000000 REMISE:077031633564519290000000</t>
  </si>
  <si>
    <t xml:space="preserve">btc30</t>
  </si>
  <si>
    <t xml:space="preserve">VIREMENT EN LIGNE REF: 062017624258825310000000 REMISE:062017624258825310000000</t>
  </si>
  <si>
    <t xml:space="preserve">xmr6</t>
  </si>
  <si>
    <t xml:space="preserve">000006 VIR EUROPEEN EMIS   NETGEST POUR: GLX AG REF: 3895792938884 CHEZ: VLDNCHXX</t>
  </si>
  <si>
    <t xml:space="preserve">Achat 6 Napoléons CMA</t>
  </si>
  <si>
    <t xml:space="preserve">or21</t>
  </si>
  <si>
    <t xml:space="preserve">Achat Monero GLX</t>
  </si>
  <si>
    <t xml:space="preserve">Achat Bitcoin Pocket</t>
  </si>
  <si>
    <t xml:space="preserve">Achat Bitcoin Relai</t>
  </si>
  <si>
    <t xml:space="preserve">CARTE X4417 14/06 CMA</t>
  </si>
  <si>
    <t xml:space="preserve">v54</t>
  </si>
  <si>
    <t xml:space="preserve">Crédit pour achat 197,36 €</t>
  </si>
  <si>
    <t xml:space="preserve">xmr7</t>
  </si>
  <si>
    <t xml:space="preserve">v697</t>
  </si>
  <si>
    <t xml:space="preserve">000006 VIR EUROPEEN EMIS   NETGEST POUR: GLX AG REF: 7197134932297 CHEZ: VLDNCHXX</t>
  </si>
  <si>
    <t xml:space="preserve">btc31</t>
  </si>
  <si>
    <t xml:space="preserve">xmr8</t>
  </si>
  <si>
    <t xml:space="preserve">000006 VIR EUROPEEN EMIS   NETGEST POUR: GLX AG REF: 5464194326147 CHEZ: VLDNCHXX</t>
  </si>
  <si>
    <t xml:space="preserve">000006 VIR EUROPEEN EMIS   NETGEST POUR: POCKET  Suisse REF: 4137163522485 CHEZ: ZKRTCH19</t>
  </si>
  <si>
    <t xml:space="preserve">COUPONS ELIOR</t>
  </si>
  <si>
    <t xml:space="preserve">ACHAT COMPTANT OLN SANOFI</t>
  </si>
  <si>
    <t xml:space="preserve">t60</t>
  </si>
  <si>
    <t xml:space="preserve">ACHAT COMPTANT OLN UNILEVER NOM.</t>
  </si>
  <si>
    <t xml:space="preserve">t61</t>
  </si>
  <si>
    <t xml:space="preserve">ACHAT COMPTANT OLN DAIMLER</t>
  </si>
  <si>
    <t xml:space="preserve">t62</t>
  </si>
  <si>
    <t xml:space="preserve">ACHAT COMPTANT OLN BAYER NOM.</t>
  </si>
  <si>
    <t xml:space="preserve">t241</t>
  </si>
  <si>
    <t xml:space="preserve">ACHAT COMPTANT OLN HONDA MOTOR ADR</t>
  </si>
  <si>
    <t xml:space="preserve">t242</t>
  </si>
  <si>
    <t xml:space="preserve">ACHAT COMPTANT OLN ERICSSON SOL. WI</t>
  </si>
  <si>
    <t xml:space="preserve">t243</t>
  </si>
  <si>
    <t xml:space="preserve">ACHAT COMPTANT OLN NVIDIA</t>
  </si>
  <si>
    <t xml:space="preserve">t244</t>
  </si>
  <si>
    <t xml:space="preserve">ACHAT COMPTANT OLN FORD INC.</t>
  </si>
  <si>
    <t xml:space="preserve">t245</t>
  </si>
  <si>
    <t xml:space="preserve">ACHAT COMPTANT VEOLIA ENVIRONNEMENT</t>
  </si>
  <si>
    <t xml:space="preserve">t68</t>
  </si>
  <si>
    <t xml:space="preserve">ACHAT COMPTANT EDENRED</t>
  </si>
  <si>
    <t xml:space="preserve">t246</t>
  </si>
  <si>
    <t xml:space="preserve">ACHAT COMPTANT ATOS</t>
  </si>
  <si>
    <t xml:space="preserve">t247</t>
  </si>
  <si>
    <t xml:space="preserve">ACHAT COMPTANT HEINEKEN</t>
  </si>
  <si>
    <t xml:space="preserve">t248</t>
  </si>
  <si>
    <t xml:space="preserve">ACHAT COMPTANT COTY INC</t>
  </si>
  <si>
    <t xml:space="preserve">t249</t>
  </si>
  <si>
    <t xml:space="preserve">ACHAT COMPTANT KERING FEROT CLOEC</t>
  </si>
  <si>
    <t xml:space="preserve">t250</t>
  </si>
  <si>
    <t xml:space="preserve">ACHAT COMPTANT REMY COINTREAU</t>
  </si>
  <si>
    <t xml:space="preserve">t74</t>
  </si>
  <si>
    <t xml:space="preserve">ACHAT COMPTANT LEGRAND ELECTRIC</t>
  </si>
  <si>
    <t xml:space="preserve">t75</t>
  </si>
  <si>
    <t xml:space="preserve">ACHAT COMPTANT ELIOR</t>
  </si>
  <si>
    <t xml:space="preserve">t76</t>
  </si>
  <si>
    <t xml:space="preserve">ACHAT COMPTANT ENI SE</t>
  </si>
  <si>
    <t xml:space="preserve">t77</t>
  </si>
  <si>
    <t xml:space="preserve">btc32</t>
  </si>
  <si>
    <t xml:space="preserve">000006 VIR EUROPEEN EMIS   NETGEST POUR: GLX AG REF: 5558254647836 CHEZ: VLDNCHXX</t>
  </si>
  <si>
    <t xml:space="preserve">xmr9</t>
  </si>
  <si>
    <t xml:space="preserve">000006 VIR EUROPEEN EMIS   NETGEST POUR: Relai AG 2024 REF: 9197231607151 CHEZ: KORELJALON</t>
  </si>
  <si>
    <t xml:space="preserve">btc33</t>
  </si>
  <si>
    <t xml:space="preserve">000006 VIR EUROPEEN EMIS   NETGEST POUR: Jaly Swaps Lamot REF: 3624593521658 CHEZ: BALIBRIAS</t>
  </si>
  <si>
    <t xml:space="preserve">000006 VIR EUROPEEN EMIS   NETGEST POUR: BoursoBank Portefeuille Julien 02 09 BQ 2058160149 CPT 00090560905 REF: 5958472171789</t>
  </si>
  <si>
    <t xml:space="preserve">v704</t>
  </si>
  <si>
    <t xml:space="preserve">VIR SEPA MR OU MME JULIEN MOREL</t>
  </si>
  <si>
    <t xml:space="preserve">000006 VIR EUROPEEN EMIS   NETGEST POUR: BoursoBank Portefeuille Julien 05 09 BQ 2058160149 CPT 00090560905 REF: 7347944942543</t>
  </si>
  <si>
    <t xml:space="preserve">v662</t>
  </si>
  <si>
    <t xml:space="preserve">V83-1</t>
  </si>
  <si>
    <t xml:space="preserve">CARMIGNAC FUND - US EQUITY TARONBRIUX</t>
  </si>
  <si>
    <t xml:space="preserve">t251</t>
  </si>
  <si>
    <t xml:space="preserve">ALYSEE</t>
  </si>
  <si>
    <t xml:space="preserve">t84</t>
  </si>
  <si>
    <t xml:space="preserve">t85</t>
  </si>
  <si>
    <t xml:space="preserve">t86</t>
  </si>
  <si>
    <t xml:space="preserve">t87</t>
  </si>
  <si>
    <t xml:space="preserve">NVIDIA COUPONS ECHEANCE 30/09</t>
  </si>
  <si>
    <t xml:space="preserve">v89</t>
  </si>
  <si>
    <t xml:space="preserve">Achat Monero GLX Briel</t>
  </si>
  <si>
    <t xml:space="preserve">xmr124</t>
  </si>
  <si>
    <t xml:space="preserve">COUPONS AGIP</t>
  </si>
  <si>
    <t xml:space="preserve">Achat 6 NVIDIA</t>
  </si>
  <si>
    <t xml:space="preserve">t90</t>
  </si>
  <si>
    <t xml:space="preserve">Achat 5 FORD</t>
  </si>
  <si>
    <t xml:space="preserve">t91</t>
  </si>
  <si>
    <t xml:space="preserve">000006 VIR EUROPEEN EMIS   NETGEST POUR: GLX AG REF: 7675617626613 CHEZ: VLDNCHXX</t>
  </si>
  <si>
    <t xml:space="preserve">COUPONS ERICSSON SOL. WI</t>
  </si>
  <si>
    <t xml:space="preserve">xmr125</t>
  </si>
  <si>
    <t xml:space="preserve">xmr12</t>
  </si>
  <si>
    <t xml:space="preserve">000006 VIR EUROPEEN EMIS   NETGEST POUR: GLX AG REF: 3714187040248 CHEZ: VLDNCHXX</t>
  </si>
  <si>
    <t xml:space="preserve">000006 VIR EUROPEEN EMIS   NETGEST POUR: GLX AG REF: 1795738107667 CHEZ: VLDNCHXX</t>
  </si>
  <si>
    <t xml:space="preserve">xmr13</t>
  </si>
  <si>
    <t xml:space="preserve">v103</t>
  </si>
  <si>
    <t xml:space="preserve">v104</t>
  </si>
  <si>
    <t xml:space="preserve">SANOFI N</t>
  </si>
  <si>
    <t xml:space="preserve">t105</t>
  </si>
  <si>
    <t xml:space="preserve">UNILEVER N</t>
  </si>
  <si>
    <t xml:space="preserve">t106</t>
  </si>
  <si>
    <t xml:space="preserve">COTY INC</t>
  </si>
  <si>
    <t xml:space="preserve">t107</t>
  </si>
  <si>
    <t xml:space="preserve">000006 VIR EUROPEEN EMIS   NETGEST POUR: BoursoBank Portefeuille Julien 18 11 BQ 2058160149 CPT 00090560905 REF: 5328542632930</t>
  </si>
  <si>
    <t xml:space="preserve">v108</t>
  </si>
  <si>
    <t xml:space="preserve">000006 VIR EUROPEEN EMIS   NETGEST POUR: GLX AG REF: 9394964289977 CHEZ: VLDNCHXX</t>
  </si>
  <si>
    <t xml:space="preserve">000006 VIR EUROPEEN EMIS   NETGEST POUR: BoursoBank Portefeuille Julien 14 11 BQ 2058160149 CPT 00090560905 REF: 9235936734261</t>
  </si>
  <si>
    <t xml:space="preserve">v109</t>
  </si>
  <si>
    <t xml:space="preserve">000006 VIR EUROPEEN EMIS   NETGEST POUR: DEGIRO Julien MOREL REF: 3374223693815 CHEZ: LAMOLAMAIS</t>
  </si>
  <si>
    <t xml:space="preserve">v111</t>
  </si>
  <si>
    <t xml:space="preserve">usd6</t>
  </si>
  <si>
    <t xml:space="preserve">Veolia Environnement AI.PA</t>
  </si>
  <si>
    <t xml:space="preserve">eur3</t>
  </si>
  <si>
    <t xml:space="preserve">Création Compte eToro Money</t>
  </si>
  <si>
    <t xml:space="preserve">CARTE X4417 VALELPALY 27/11 veriharobriel*Mar 200,15 EUR DELENZALET 570876907250211OPRF</t>
  </si>
  <si>
    <t xml:space="preserve">Coupons BRIABALARBALUX 7</t>
  </si>
  <si>
    <t xml:space="preserve">V1.1</t>
  </si>
  <si>
    <t xml:space="preserve">V1.2</t>
  </si>
  <si>
    <t xml:space="preserve">V1.3</t>
  </si>
  <si>
    <t xml:space="preserve">CARTE X4418 06/11 SAS   EC SAINT VALMONT2 520289700688873OPRF</t>
  </si>
  <si>
    <t xml:space="preserve">orjo86</t>
  </si>
  <si>
    <t xml:space="preserve">CARTE X4418 13/11 EASY CASH NANTUEL 270933809324661OPRF</t>
  </si>
  <si>
    <t xml:space="preserve">orjo87</t>
  </si>
  <si>
    <t xml:space="preserve">CARTE X4418 02/11 EASY CASH 170560503008007OPRF</t>
  </si>
  <si>
    <t xml:space="preserve">or29.1</t>
  </si>
  <si>
    <t xml:space="preserve">CARTE X4418 22/11 EASY CASH NANTUEL 240395103573239OPRF</t>
  </si>
  <si>
    <t xml:space="preserve">orjo88</t>
  </si>
  <si>
    <t xml:space="preserve">sgd2</t>
  </si>
  <si>
    <t xml:space="preserve">eur4</t>
  </si>
  <si>
    <t xml:space="preserve">COUPONS KERING FEROT CLOEC</t>
  </si>
  <si>
    <t xml:space="preserve">xmr14</t>
  </si>
  <si>
    <t xml:space="preserve">000006 VIR EUROPEEN EMIS   NETGEST POUR: GLX AG REF: 8576229149949 CHEZ: VLDNCHXX</t>
  </si>
  <si>
    <t xml:space="preserve">usd8</t>
  </si>
  <si>
    <t xml:space="preserve">COUPONS HONDA MOTOR ADR</t>
  </si>
  <si>
    <t xml:space="preserve">COUPONS NVIDIA</t>
  </si>
  <si>
    <t xml:space="preserve">CARTE X4419 12/12 EASY CASH</t>
  </si>
  <si>
    <t xml:space="preserve">orjo89</t>
  </si>
  <si>
    <t xml:space="preserve">CARTE X4419 28/11 SAS EC SAINT VALMONT2</t>
  </si>
  <si>
    <t xml:space="preserve">orjo90</t>
  </si>
  <si>
    <t xml:space="preserve">v637</t>
  </si>
  <si>
    <t xml:space="preserve">Frais de service des actifs EUR Transaction : Salabalarcloejalejalensalugarinvery</t>
  </si>
  <si>
    <t xml:space="preserve">Frais de service des actifs USD 0,40 janvier 2025 Transaction : Briaharabalonlamougaristarisbalelverel</t>
  </si>
  <si>
    <t xml:space="preserve">CHEQUE    1980</t>
  </si>
  <si>
    <t xml:space="preserve">VIR RECU    0795637460S DE: GENERALI I A R D GENERALI I A R D MOTIF: CONTRAT : SALINMERON    COTIS : 06 8003422298</t>
  </si>
  <si>
    <t xml:space="preserve">000006 VIR EUROPEEN EMIS   NETGEST POUR: Wise REF: 2300882463849 CHEZ: TARINVALAN</t>
  </si>
  <si>
    <t xml:space="preserve">VIR RECU    0669470252S DE: CA ASSURANCES RETRAITE DE: 991G MOTIF: UBE RETRAITE RENTE VIAGERE ARTICLE</t>
  </si>
  <si>
    <t xml:space="preserve">000006 VIR PERM POUR: Anne BARDET RENAUD REF: 274082851723 MOTIF: EHPAD Mer Aurelle</t>
  </si>
  <si>
    <t xml:space="preserve">VIR RECU    0542087620S DE: ALPROagirc-arrco APICIL MOTIF: ALPROAGIRC-ARRCO APICIL REF : 14547 70200000007/135311321   VALON/2025 M</t>
  </si>
  <si>
    <t xml:space="preserve">VIR RECU    3682653798S DE: KLESIA RETRAITE AGIRC ARRCO FT MOTIF: MH AGIRC-ARRCO REF : 00000000000034 474875/89314805   VALON/2025 JULIEN LE</t>
  </si>
  <si>
    <t xml:space="preserve">VIR RECU    4943399479S DE: KLESIA RETRAITE AGIRC ARRCO FT MOTIF: MH AGIRC-ARRCO REF : 00000000000034 474875/35711282   VALON/2025 JULIEN LE</t>
  </si>
  <si>
    <t xml:space="preserve">Remise de balance</t>
  </si>
  <si>
    <t xml:space="preserve">PRELEVEMENT EUROPEEN 0823489276 DE: ENGIE clients particuliers ID: FR11ZZZ200249 MOTIF: MOREL                JULIEN</t>
  </si>
  <si>
    <t xml:space="preserve">PRELEVEMENT EUROPEEN 0844142152 DE: GENERALI I A R D GENERALI I A R D ID: FR11ZZZ600698 MOTIF: 155LAMISVALONGARUX                PQ7</t>
  </si>
  <si>
    <t xml:space="preserve">PRELEVEMENT EUROPEEN 0808404850 DE: Numericable SA ID: FR11ZZZ400876 MOTIF: Votre abonnement mobile: 06XXXXX210</t>
  </si>
  <si>
    <t xml:space="preserve">000006 VIR EUROPEEN EMIS   NETGEST POUR: M GAROUHARONBRIAS DUHAMEL 06 01 BQ 1091308475 CPT 00080929007 REF: 2600768194956</t>
  </si>
  <si>
    <t xml:space="preserve">VIR RECU    0788436094S DE: MME OU M SANDRINE DUHAMEL MOTIF: REMBOURSEMENT PRET 70K REF: Remboursement pr t 70k</t>
  </si>
  <si>
    <t xml:space="preserve">v540</t>
  </si>
  <si>
    <t xml:space="preserve">VIR RECU    0233371682S DE: MME OU M SANDRINE DUHAMEL MOTIF: REMBOURSEMENT PR T REF: remboursement pr t</t>
  </si>
  <si>
    <t xml:space="preserve">v541</t>
  </si>
  <si>
    <t xml:space="preserve">usd9</t>
  </si>
  <si>
    <t xml:space="preserve">Or 750/1000 5G BO dormeuse or + CARENGARIER environ 0,04 KORAVERIL et rubis 0,16 KORAVERIL</t>
  </si>
  <si>
    <t xml:space="preserve">v638</t>
  </si>
  <si>
    <t xml:space="preserve">000006 VIR EUROPEEN EMIS   NETGEST POUR: Wise REF: 1801951820065 CHEZ: TARINVALAN</t>
  </si>
  <si>
    <t xml:space="preserve">000006 VIR EUROPEEN EMIS   NETGEST POUR: Anne BARDET RENAUD 13 01 BQ 4255438880 CPT 08568491850 REF: 1605753065048</t>
  </si>
  <si>
    <t xml:space="preserve">PRELEVEMENT EUROPEEN 0725189145 DE: MAAF CNO Production-mutualis ID: FR11ZZZ600341 MOTIF: -PRELEV 0270093051  00684407127</t>
  </si>
  <si>
    <t xml:space="preserve">VIR RECU    0758431125S DE: CNAVTS MOTIF: ASSURANCE RETRAITE REF: 11836772      MOREL        1224</t>
  </si>
  <si>
    <t xml:space="preserve">VIR RECU    0423352904S DE: MUTUALITE SOCIALE AGRICOLE D'AUBE DE FR ANCE MOTIF: CV22/01           MTRFLKQPBNVXS</t>
  </si>
  <si>
    <t xml:space="preserve">usd10</t>
  </si>
  <si>
    <t xml:space="preserve">COUPONS ENI SE</t>
  </si>
  <si>
    <t xml:space="preserve">VIR RECU    9458198574S DE: GENERALI I A R D GENERALI I A R D MOTIF: GENERALI 60810982823995268 REF: FRB5 590219009191806</t>
  </si>
  <si>
    <t xml:space="preserve">VIR RECU    1592690335S DE: GENERALI I A R D GENERALI I A R D MOTIF: GENERALI 10460238823995268 REF: FRB5 250117003772206</t>
  </si>
  <si>
    <t xml:space="preserve">VIR RECU    5146008904S DE: CPAM DES VALMONT MOTIF: 720700007253 REF: 720700007253</t>
  </si>
  <si>
    <t xml:space="preserve">PRELEVEMENT EUROPEEN 7403710119 DE: Numericable SA ID: FR11ZZZ400876 MOTIF: Votre abonnement mobile: 06XXXXX212</t>
  </si>
  <si>
    <t xml:space="preserve">PRELEVEMENT EUROPEEN 6606068349 DE: Numericable SA ID: FR11ZZZ400876 MOTIF: Votre abonnement fibre (facture: XX</t>
  </si>
  <si>
    <t xml:space="preserve">VIR RECU    6437180123S DE: CPAM DES VALMONT MOTIF: 770860003200 REF: 770860003200</t>
  </si>
  <si>
    <t xml:space="preserve">COMMISSION OFFRE ALYSEE Période du 01/10/2024 au 31/12/2024</t>
  </si>
  <si>
    <t xml:space="preserve">PRELEVEMENT EUROPEEN 0521228388 POUR CPTE DE:D.G.F.I.P. IMPOT 58032 ID: FR11ZZZ300127 MOTIF: 660660902897612930 111</t>
  </si>
  <si>
    <t xml:space="preserve">PRELEVEMENT EUROPEEN 0221231907 POUR CPTE DE:D.G.F.I.P. IMPOT 58032 ID: FR11ZZZ300127 MOTIF: 660660902897612930 111</t>
  </si>
  <si>
    <t xml:space="preserve">PRELEVEMENT EUROPEEN 0753201897 POUR CPTE DE:D.G.F.I.P. IMPOT 88042 ID: FR11ZZZ300127 MOTIF: 310140648846701094 111</t>
  </si>
  <si>
    <t xml:space="preserve">PRELEVEMENT EUROPEEN 6147685250 DE: GENERALI I A R D GENERALI I A R D ID: FR11ZZZ600698 MOTIF: 195HARELBALIJALAS                PQ7</t>
  </si>
  <si>
    <t xml:space="preserve">PRELEVEMENT EUROPEEN 0164169989 POUR CPTE DE:D.G.F.I.P. IMPOT PAS ID: FR11ZZZ300127 MOTIF: PRELEVEMENT A LA SOURCE REVENUS 202</t>
  </si>
  <si>
    <t xml:space="preserve">Or 750/1000 1,265g pépite</t>
  </si>
  <si>
    <t xml:space="preserve">orjo91</t>
  </si>
  <si>
    <t xml:space="preserve">Bague or émeraude épaulée de deux petits diamants, poinçon tête d’aigle / manque sur l’émeraude. Or 750/1000 0,747g</t>
  </si>
  <si>
    <t xml:space="preserve">orjo92</t>
  </si>
  <si>
    <t xml:space="preserve">VIR RECU    5095499349S DE: SOGECAP MOTIF: 00564005605100897068668602KORIL REF: 00564005605100897068668602KORIL</t>
  </si>
  <si>
    <t xml:space="preserve">t252</t>
  </si>
  <si>
    <t xml:space="preserve">PRELEVEMENT EUROPEEN 8580580278 DE: ENGIE clients particuliers ID: FR11ZZZ200249 MOTIF: MOREL                JULIEN</t>
  </si>
  <si>
    <t xml:space="preserve">PRELEVEMENT EUROPEEN 4809848642 DE: SUEZ ID: FR11ZZZ700812 MOTIF: Y 397602382492 98 1172557152</t>
  </si>
  <si>
    <t xml:space="preserve">v665</t>
  </si>
  <si>
    <t xml:space="preserve">000006 VIR EUROPEEN EMIS   NETGEST POUR: MR OU MME JULIEN MOREL 31 01 SG 02935 CPT 00031949085 REF: 9909827230570</t>
  </si>
  <si>
    <t xml:space="preserve">000006 VIR EUROPEEN EMIS   NETGEST POUR: DEGIRO Julien MOREL REF: 5905111953176 CHEZ: LAMOLAMAIS</t>
  </si>
  <si>
    <t xml:space="preserve">v707</t>
  </si>
  <si>
    <t xml:space="preserve">PRELEVEMENT EUROPEEN 1002223210 DE: Numericable SA-NUMERICABLE ID: FR11ZZZ400876 MOTIF: Votre abonnement mobile: 06XXXXX211</t>
  </si>
  <si>
    <t xml:space="preserve">CARTE X4419 16/01 SALIVALIER I CASH 430109700633610OPRF</t>
  </si>
  <si>
    <t xml:space="preserve">CARTE X4419 30/12 E MARCADIS 460411101921555OPRF</t>
  </si>
  <si>
    <t xml:space="preserve">CARTE X4419 21/01 E MARCADIS 690308204157009OPRF</t>
  </si>
  <si>
    <t xml:space="preserve">CARTE X4419 15/01 PRIMARCMARKET 270508405538611OPRF</t>
  </si>
  <si>
    <t xml:space="preserve">CARTE X4419 23/01 LA POSTE 127050 930704600214539OPRF</t>
  </si>
  <si>
    <t xml:space="preserve">CARTE X4419 13/01 PRIMARCMARKET 130504905645868OPRF</t>
  </si>
  <si>
    <t xml:space="preserve">CARTE X4417 17/01 CLOOBRIOU 540604003610721OPRF</t>
  </si>
  <si>
    <t xml:space="preserve">CARTE X4419 31/12 E MARCADIS 510300909410046OPRF</t>
  </si>
  <si>
    <t xml:space="preserve">CARTE X4419 30/12 E MARCADIS 390265105143516OPRF</t>
  </si>
  <si>
    <t xml:space="preserve">CARTE X4417 07/01 HARELDELONLAMELVALOVERAS COMMERCE ELECTRONIQUE 450600304900486OPRF</t>
  </si>
  <si>
    <t xml:space="preserve">CARTE X4417 08/01 ORBILINK INTERNET 8,02 EUR IRLANDE COMMERCE ELECTRONIQUE 530200300668437OPRF</t>
  </si>
  <si>
    <t xml:space="preserve">CARTE X4419 10/01 BALUN 760307504856496OPRF</t>
  </si>
  <si>
    <t xml:space="preserve">CARTE X4417 27/12 HARARVALEC -MEROU COMMERCE ELECTRONIQUE 720629100052584OPRF</t>
  </si>
  <si>
    <t xml:space="preserve">CARTE X4419 09/01 E MARCADIS 360302006901027OPRF</t>
  </si>
  <si>
    <t xml:space="preserve">CARTE X4419 17/01 AUTOROUTIS LA ROCHEFEUIL VI 980507905060419OPRF</t>
  </si>
  <si>
    <t xml:space="preserve">CARTE X4419 10/01 AUTOROUTIS MERUN 540909903065069OPRF</t>
  </si>
  <si>
    <t xml:space="preserve">CARTE X4419 10/01 R DU PAYS DE CLOUVALOU 750704209584216OPRF</t>
  </si>
  <si>
    <t xml:space="preserve">CARTE X4419 23/01 SOBRIS 140309206859347OPRF</t>
  </si>
  <si>
    <t xml:space="preserve">CARTE X4419 12/01 BELLE EPOQUE 170203200552190OPRF</t>
  </si>
  <si>
    <t xml:space="preserve">CARTE X4419 09/01 LA POSTE 858390 630503001508719OPRF</t>
  </si>
  <si>
    <t xml:space="preserve">CARTE X4419 10/01 RELAIS DU PAYS DE R 750709500617152OPRF</t>
  </si>
  <si>
    <t xml:space="preserve">CARTE X4419 06/01 E MARCADIS 670700402376216OPRF</t>
  </si>
  <si>
    <t xml:space="preserve">CARTE X4419 06/01 E MARCADIS 530400503772138OPRF</t>
  </si>
  <si>
    <t xml:space="preserve">CARTE X4417 07/01 HARELDELONLAMELVALOVERAS COMMERCE ELECTRONIQUE 290500707400832OPRF</t>
  </si>
  <si>
    <t xml:space="preserve">CARTE X4419 31/12 VIDAL SYLVE 520300201747887OPRF</t>
  </si>
  <si>
    <t xml:space="preserve">CARTE X4419 31/12 E MARCADIS 660600405360077OPRF</t>
  </si>
  <si>
    <t xml:space="preserve">CARTE X4419 16/01 SALENCLOEFERON 430804706626155OPRF</t>
  </si>
  <si>
    <t xml:space="preserve">CARTE X4419 06/01 SALURINAS CLOONORAY 250700806123586OPRF</t>
  </si>
  <si>
    <t xml:space="preserve">CARTE X4419 23/01 MARCHE AUX CARIN 150408902492593OPRF</t>
  </si>
  <si>
    <t xml:space="preserve">CARTE X4417 26/01 HELP.STREAMO.TV COMMERCE ELECTRONIQUE 740506906387344OPRF</t>
  </si>
  <si>
    <t xml:space="preserve">CARTE X4417 26/12 HELP.STREAMO.TV COMMERCE ELECTRONIQUE 240127106726215OPRF</t>
  </si>
  <si>
    <t xml:space="preserve">CARTE X4419 17/01 RELAIS DE ZALENBALOC 750408700616212OPRF</t>
  </si>
  <si>
    <t xml:space="preserve">CARTE X4419 13/01 SALENCLOEFERON 160505509306293OPRF</t>
  </si>
  <si>
    <t xml:space="preserve">CARTE X4419 18/01 L'ATELIER GOURMAND 250206007970034OPRF</t>
  </si>
  <si>
    <t xml:space="preserve">CARTE X4419 06/01 SALURINAS CLOONORAY 370900304918437OPRF</t>
  </si>
  <si>
    <t xml:space="preserve">CARTE X4419 08/01 ZMD NANTUEL CHU 310200609127726OPRF</t>
  </si>
  <si>
    <t xml:space="preserve">CARTE X4419 12/01 BELLE EPOQUE 760602100492818OPRF</t>
  </si>
  <si>
    <t xml:space="preserve">CARTE X4419 08/01 L'ATELIER TARARCARAIS 960300304491340OPRF</t>
  </si>
  <si>
    <t xml:space="preserve">Frais Wise Assets Europe</t>
  </si>
  <si>
    <t xml:space="preserve">orjo93</t>
  </si>
  <si>
    <t xml:space="preserve">v639</t>
  </si>
  <si>
    <t xml:space="preserve">PRELEVEMENT EUROPEEN 7208786486 POUR CPTE DE:D.G.F.I.P. IMPOT 58032 ID: FR11ZZZ300127 MOTIF: 660660902897612930 111</t>
  </si>
  <si>
    <t xml:space="preserve">PRELEVEMENT EUROPEEN 9257662301 POUR CPTE DE:D.G.F.I.P. IMPOT 58032 ID: FR11ZZZ300127 MOTIF: 660660902897612930 111</t>
  </si>
  <si>
    <t xml:space="preserve">PRELEVEMENT EUROPEEN 5820326784 POUR CPTE DE:D.G.F.I.P. IMPOT 88042 ID: FR11ZZZ300127 MOTIF: 310140648846701094 111</t>
  </si>
  <si>
    <t xml:space="preserve">PRELEVEMENT EUROPEEN 7589776070 DE: GENERALI I A R D GENERALI I A R D ID: FR11ZZZ600698 MOTIF: 183FERARSALONZALIS                PQ7</t>
  </si>
  <si>
    <t xml:space="preserve">PRELEVEMENT EUROPEEN 8112105511 POUR CPTE DE:D.G.F.I.P. IMPOT PAS ID: FR11ZZZ300127 MOTIF: PRELEVEMENT A LA SOURCE REVENUS 202</t>
  </si>
  <si>
    <t xml:space="preserve">PRELEVEMENT EUROPEEN 7409959718 DE: Numericable SA ID: FR11ZZZ400876 MOTIF: Votre abonnement fibre (facture: XX</t>
  </si>
  <si>
    <t xml:space="preserve">000006 VIR EUROPEEN EMIS   NETGEST POUR: Wise REF: 3607801138971 CHEZ: TARINVALAN</t>
  </si>
  <si>
    <t xml:space="preserve">CARTE X4419 RETRAIT DAB 14/02 11FERAGARUN SALENTARARRINY 2 28286 860803300620121OPRF</t>
  </si>
  <si>
    <t xml:space="preserve">v618</t>
  </si>
  <si>
    <t xml:space="preserve">VIR RECU    6379774162S DE: CPAM DES VALMONT MOTIF: 420710007668040979460 01 REF: 420710007668040979460 01</t>
  </si>
  <si>
    <t xml:space="preserve">PRELEVEMENT EUROPEEN 4117976336 DE: MAAF CNO Production-mutualis ID: FR11ZZZ600341 MOTIF: -PRELEV 0320013051  00684407127</t>
  </si>
  <si>
    <t xml:space="preserve">PRELEVEMENT EUROPEEN 1505149783 DE: Numericable SA ID: FR11ZZZ400876 MOTIF: Votre abonnement mobile: 06XXXXX210</t>
  </si>
  <si>
    <t xml:space="preserve">VIR RECU    2370544763S DE: CNAVTS MOTIF: PENSION ACTUALISEE REF: 11836772      MOREL        0125</t>
  </si>
  <si>
    <t xml:space="preserve">VIR RECU    7349816065S DE: MME OU M SANDRINE DUHAMEL MOTIF: REMBOURSEMENT PRET 70K REF: Remboursement pr t 70k</t>
  </si>
  <si>
    <t xml:space="preserve">v542</t>
  </si>
  <si>
    <t xml:space="preserve">VIR RECU    7327690788S DE: MUTUALITE SOCIALE AGRICOLE D'AUBE DE FR ANCE MOTIF: MERY/02           MTRFLKQPBNVXS</t>
  </si>
  <si>
    <t xml:space="preserve">PRELEVEMENT EUROPEEN 5948871726 DE: ENGIE clients particuliers ID: FR11ZZZ200249 MOTIF: MOREL                JULIEN</t>
  </si>
  <si>
    <t xml:space="preserve">VIR RECU    4572737626S DE: CA ASSURANCES RETRAITE DE: 991G MOTIF: UBE RETRAITE RENTE VIAGERE ARTICLE</t>
  </si>
  <si>
    <t xml:space="preserve">PRELEVEMENT EUROPEEN 4600025048 DE: GENERALI I A R D GENERALI I A R D ID: FR11ZZZ600698 MOTIF: 153MERISNORENCAROU                PQ7</t>
  </si>
  <si>
    <t xml:space="preserve">PRELEVEMENT EUROPEEN 3726581455 DE: SCALEWAY SAS ID: FR11ZZZ800773 MOTIF: payment for order 868071080</t>
  </si>
  <si>
    <t xml:space="preserve">VIR RECU    8761228695S DE: MME OU M SANDRINE DUHAMEL MOTIF: REMBOURSEMENT PR T REF: remboursement pr t</t>
  </si>
  <si>
    <t xml:space="preserve">v543</t>
  </si>
  <si>
    <t xml:space="preserve">VIR RECU    6149312798S DE: ALPROagirc-arrco APICIL MOTIF: ALPROAGIRC-ARRCO APICIL REF : 14547 70200000007/341947547   FEROU/2025 M</t>
  </si>
  <si>
    <t xml:space="preserve">VIR RECU    2979010985S DE: KLESIA RETRAITE AGIRC ARRCO FT MOTIF: MH AGIRC-ARRCO REF : 00000000000034 474875/93592689   FEROU/2025 JULIEN LE</t>
  </si>
  <si>
    <t xml:space="preserve">VIR RECU    3736698965S DE: KLESIA RETRAITE AGIRC ARRCO FT MOTIF: MH AGIRC-ARRCO REF : 00000000000034 474875/74217488   FEROU/2025 JULIEN LE</t>
  </si>
  <si>
    <t xml:space="preserve">Julien Morel</t>
  </si>
  <si>
    <t xml:space="preserve">v659</t>
  </si>
  <si>
    <t xml:space="preserve">eToro Trading Lamarzalard PALAS</t>
  </si>
  <si>
    <t xml:space="preserve">usd11</t>
  </si>
  <si>
    <t xml:space="preserve">Dépôt 99.97 EUR balokoroc</t>
  </si>
  <si>
    <t xml:space="preserve">Position ouverte SPX500/USD</t>
  </si>
  <si>
    <t xml:space="preserve">V16-1</t>
  </si>
  <si>
    <t xml:space="preserve">usd4</t>
  </si>
  <si>
    <t xml:space="preserve">000006 VIR INSTANTANE EMIS NETGEST POUR: M RINUZALON MERAMERIS 27 02 BQ VALELZALIL CPT 98673828274 DATE: 27/02/2025 11:26</t>
  </si>
  <si>
    <t xml:space="preserve">CHEQUE    1978</t>
  </si>
  <si>
    <t xml:space="preserve">000006 VIR EUROPEEN EMIS   NETGEST POUR: eToro 26 02 BQ 5058500006 CPT 00000078372 REF: 5602594879992</t>
  </si>
  <si>
    <t xml:space="preserve">PRELEVEMENT EUROPEEN 4208517608 DE: SUEZ ID: FR11ZZZ700812 MOTIF: Y 966275472112 98 1172557152</t>
  </si>
  <si>
    <t xml:space="preserve">PRELEVEMENT EUROPEEN 2002451016 DE: Numericable SA ID: FR11ZZZ400876 MOTIF: Votre abonnement mobile: 06XXXXX212</t>
  </si>
  <si>
    <t xml:space="preserve">COTIS OPTION CRYPTO CROISSANCE Visa X4417</t>
  </si>
  <si>
    <t xml:space="preserve">VIR RECU    4244013212S DE: MME OU M SANDRINE DUHAMEL MOTIF: REMBOURSEMENT PR T REF: remboursement pr t</t>
  </si>
  <si>
    <t xml:space="preserve">v544</t>
  </si>
  <si>
    <t xml:space="preserve">PRELEVEMENT EUROPEEN 3100993414 DE: ENGIE clients particuliers ID: FR11ZZZ200249 MOTIF: MOREL                JULIEN</t>
  </si>
  <si>
    <t xml:space="preserve">PRELEVEMENT EUROPEEN 2101178987 DE: Numericable SA-NUMERICABLE ID: FR11ZZZ400876 MOTIF: Votre abonnement mobile: 06XXXXX211</t>
  </si>
  <si>
    <t xml:space="preserve">VIR RECU    2237454686S DE: CA ASSURANCES RETRAITE DE: 991H MOTIF: UBE RETRAITE RENTE VIAGERE ARTICLE</t>
  </si>
  <si>
    <t xml:space="preserve">VIR RECU    2391728118S DE: ALPROagirc-arrco APICIL MOTIF: ALPROAGIRC-ARRCO APICIL REF : 14547 70200000007/268807234   NORARD/2025 M</t>
  </si>
  <si>
    <t xml:space="preserve">VIR RECU    9346891403S DE: KLESIA RETRAITE AGIRC ARRCO FT MOTIF: MH AGIRC-ARRCO REF : 00000000000034 474875/99597395   NORARD/2025 JULIEN LE</t>
  </si>
  <si>
    <t xml:space="preserve">VIR RECU    6771074771S DE: KLESIA RETRAITE AGIRC ARRCO FT MOTIF: MH AGIRC-ARRCO REF : 00000000000034 474875/94748744   NORARD/2025 JULIEN LE</t>
  </si>
  <si>
    <t xml:space="preserve">CARTE X4419 04/02 SAS   EC SAINT VALMONT2 160508500347587OPRF</t>
  </si>
  <si>
    <t xml:space="preserve">CARTE X4419 29/01 EASY CASH NANTUEL 770204005258239OPRF</t>
  </si>
  <si>
    <t xml:space="preserve">idem</t>
  </si>
  <si>
    <t xml:space="preserve">CARTE X4419 07/02 E MARCADIS 380802901551151OPRF</t>
  </si>
  <si>
    <t xml:space="preserve">CARTE X4419 26/02 E MARCADIS 550406503780342OPRF</t>
  </si>
  <si>
    <t xml:space="preserve">CARTE X4419 20/02 E MARCADIS 470309901460140OPRF</t>
  </si>
  <si>
    <t xml:space="preserve">CARTE X4419 12/02 SOBRIS 610309101173604OPRF</t>
  </si>
  <si>
    <t xml:space="preserve">CARTE X4419 30/01 E MARCADIS 160808708129892OPRF</t>
  </si>
  <si>
    <t xml:space="preserve">CARTE X4419 17/02 SOBRIS 250603104754202OPRF</t>
  </si>
  <si>
    <t xml:space="preserve">CARTE X4419 06/02 EUROPLAC 770208806860482OPRF</t>
  </si>
  <si>
    <t xml:space="preserve">CARTE X4417 08/02 ORBILINK INTERNET 8,02 EUR IRLANDE COMMERCE ELECTRONIQUE 820106007686309OPRF</t>
  </si>
  <si>
    <t xml:space="preserve">CARTE X4419 08/02 U EXPRESS 810308801939647OPRF</t>
  </si>
  <si>
    <t xml:space="preserve">CARTE X4419 10/02 PHARMACIE MERCIER 330509400751349OPRF</t>
  </si>
  <si>
    <t xml:space="preserve">CARTE X4419 15/02 AU BON PANIER RINUN 730103302788872OPRF</t>
  </si>
  <si>
    <t xml:space="preserve">CARTE X4419 08/02 POINT VERT 465 490804103257496OPRF</t>
  </si>
  <si>
    <t xml:space="preserve">CARTE X4419 14/02 BIJOU. KORAVALET G. 540805408314055OPRF</t>
  </si>
  <si>
    <t xml:space="preserve">CARTE X4419 14/02 PHARMACIE MERCIER 980503500054837OPRF</t>
  </si>
  <si>
    <t xml:space="preserve">CARTE X4419 04/02 L IDEE CHOCOLAT 440802407287515OPRF</t>
  </si>
  <si>
    <t xml:space="preserve">CARTE X4419 04/02 SAS   EC SAINT VALMONT2 740304600618211OPRF</t>
  </si>
  <si>
    <t xml:space="preserve">CARTE X4419 29/01 ZIM 840207007542723OPRF</t>
  </si>
  <si>
    <t xml:space="preserve">CARTE X4419 04/02 E MARCADIS 790804209443546OPRF</t>
  </si>
  <si>
    <t xml:space="preserve">CARTE X4417 26/02 HELP.STREAMO.TV COMMERCE ELECTRONIQUE 490406309440176OPRF</t>
  </si>
  <si>
    <t xml:space="preserve">CARTE X4419 24/02 PAIN DES HAROU 510908509040076OPRF</t>
  </si>
  <si>
    <t xml:space="preserve">CARTE X4419 16/02 L'ATELIER GOURMAND 450102603862546OPRF</t>
  </si>
  <si>
    <t xml:space="preserve">CARTE X4419 09/02 L'ATELIER GOURMAND 580806106586598OPRF</t>
  </si>
  <si>
    <t xml:space="preserve">CARTE X4419 04/02 TY DELIS 340603109256874OPRF</t>
  </si>
  <si>
    <t xml:space="preserve">CARTE X4419 05/02 ZMD NANTUEL CHU 590507302371017OPRF</t>
  </si>
  <si>
    <t xml:space="preserve">CARTE X4419 22/02 L'ATELIER GOURMAND 240901600882393OPRF</t>
  </si>
  <si>
    <t xml:space="preserve">CARTE X4419 04/02 ZIM 770204609056068OPRF</t>
  </si>
  <si>
    <t xml:space="preserve">CARTE X4419 14/02 VIDAL SYLVE 670209100086563OPRF</t>
  </si>
  <si>
    <t xml:space="preserve">Prêt Zoe 1/2</t>
  </si>
  <si>
    <t xml:space="preserve">v671</t>
  </si>
  <si>
    <t xml:space="preserve">LEONARDO SA Frais DEGIRO de courtage et/ou de parties tierces</t>
  </si>
  <si>
    <t xml:space="preserve">t221</t>
  </si>
  <si>
    <t xml:space="preserve">LEONARDO SA Taxe sur les Transactions Financières (SALEL)</t>
  </si>
  <si>
    <t xml:space="preserve">LEONARDO SA Achat 40 Leonardo SA@50,75 EUR (CARIBALARCLOAY)</t>
  </si>
  <si>
    <t xml:space="preserve">Leonardo SA</t>
  </si>
  <si>
    <t xml:space="preserve">Bénéfice/Perte du rineldelux SPX500/USD</t>
  </si>
  <si>
    <t xml:space="preserve">t23</t>
  </si>
  <si>
    <t xml:space="preserve">Ajustement du prix de l’indice SPX500/USD</t>
  </si>
  <si>
    <t xml:space="preserve">Frais korisferet Quotidien</t>
  </si>
  <si>
    <t xml:space="preserve">Coupons Sanofi</t>
  </si>
  <si>
    <t xml:space="preserve">v673</t>
  </si>
  <si>
    <t xml:space="preserve">v675</t>
  </si>
  <si>
    <t xml:space="preserve">v640</t>
  </si>
  <si>
    <t xml:space="preserve">sgd4</t>
  </si>
  <si>
    <t xml:space="preserve">Airbus group SA</t>
  </si>
  <si>
    <t xml:space="preserve">t28</t>
  </si>
  <si>
    <t xml:space="preserve">AIRBUS GROUP SA Frais DEGIRO de courtage et/ou de parties tierces</t>
  </si>
  <si>
    <t xml:space="preserve">AIRBUS GROUP SA Taxe sur les Transactions Financières (SALEL)</t>
  </si>
  <si>
    <t xml:space="preserve">AIRBUS GROUP SA Achat 1 Airbus Group SA@63,14 EUR (LAMISZALONBRIIN)</t>
  </si>
  <si>
    <t xml:space="preserve">xmr126</t>
  </si>
  <si>
    <t xml:space="preserve">VIR FERAS RE 327981035512 DE: Julien MOREL DATE: 20/03/2025 16:11 MOTIF: Virement depuis Compte principal</t>
  </si>
  <si>
    <t xml:space="preserve">000006 VIR EUROPEEN EMIS   NETGEST POUR: GLX AG REF: 9105614260188 CHEZ: VLDNCHXX</t>
  </si>
  <si>
    <t xml:space="preserve">PRELEVEMENT EUROPEEN 1806819338 DE: Numericable SA ID: FR11ZZZ400876 MOTIF: Votre abonnement mobile: 06XXXXX212</t>
  </si>
  <si>
    <t xml:space="preserve">000006 VIR INSTANTANE EMIS NETGEST POUR: Wise 19 03 BQ VERIBALUN CPT 05 DATE: 19/03/2025 18:32</t>
  </si>
  <si>
    <t xml:space="preserve">VIR RECU    9698888380S DE: GENERALI I A R D GENERALI I A R D MOTIF: GENERALI 90240535823995268 REF: FRB5 490949004594906</t>
  </si>
  <si>
    <t xml:space="preserve">PRELEVEMENT EUROPEEN 8299965950 POUR CPTE DE:D.G.F.I.P. IMPOT 58032 ID: FR11ZZZ300127 MOTIF: 660660902897612930 111</t>
  </si>
  <si>
    <t xml:space="preserve">PRELEVEMENT EUROPEEN 6376060557 POUR CPTE DE:D.G.F.I.P. IMPOT 58032 ID: FR11ZZZ300127 MOTIF: 660660902897612930 111</t>
  </si>
  <si>
    <t xml:space="preserve">PRELEVEMENT EUROPEEN 3476092207 POUR CPTE DE:D.G.F.I.P. IMPOT 88042 ID: FR11ZZZ300127 MOTIF: 310140648846701094 111</t>
  </si>
  <si>
    <t xml:space="preserve">PRELEVEMENT EUROPEEN 3401016696 DE: GENERALI I A R D GENERALI I A R D ID: FR11ZZZ600698 MOTIF: 151ZALOFERELLAMAIS                PQ7</t>
  </si>
  <si>
    <t xml:space="preserve">PRELEVEMENT EUROPEEN 1095049187 POUR CPTE DE:D.G.F.I.P. IMPOT PAS ID: FR11ZZZ300127 MOTIF: PRELEVEMENT A LA SOURCE REVENUS 202</t>
  </si>
  <si>
    <t xml:space="preserve">PRELEVEMENT EUROPEEN 3800173495 DE: Numericable SA ID: FR11ZZZ400876 MOTIF: Votre abonnement fibre (facture: XX</t>
  </si>
  <si>
    <t xml:space="preserve">PRELEVEMENT EUROPEEN 6311779476 DE: ENGIE clients particuliers ID: FR11ZZZ200249 MOTIF: MOREL                JULIEN</t>
  </si>
  <si>
    <t xml:space="preserve">PRELEVEMENT EUROPEEN 4637812222 DE: MAAF CNO Production-mutualis ID: FR11ZZZ600341 MOTIF: -PRELEV 0480023051  00684407127</t>
  </si>
  <si>
    <t xml:space="preserve">PRELEVEMENT EUROPEEN 8807919762 DE: Numericable SA ID: FR11ZZZ400876 MOTIF: Votre abonnement mobile: 06XXXXX210</t>
  </si>
  <si>
    <t xml:space="preserve">REMISE CHEQUE       2004236 069 DE    2 RINOBRIOU 03109 2004236</t>
  </si>
  <si>
    <t xml:space="preserve">VIR RECU    2893970847S DE: CNAVTS MOTIF: ASSURANCE RETRAITE REF: 11836772      MOREL        0225</t>
  </si>
  <si>
    <t xml:space="preserve">VIR RECU    1273546144S DE: MUTUALITE SOCIALE AGRICOLE D'AUBE DE FR ANCE MOTIF: MERY/03           MTRFLKQPBNVXS</t>
  </si>
  <si>
    <t xml:space="preserve">VIR RECU 9309522988907 DE: MR OU MME JULIEN MOREL</t>
  </si>
  <si>
    <t xml:space="preserve">000006 VIR EUROPEEN EMIS   NETGEST POUR: M GAROUHARONBRIAS DUHAMEL 05 03 BQ 1091308475 CPT 00080929007 REF: 2701194107547</t>
  </si>
  <si>
    <t xml:space="preserve">v652</t>
  </si>
  <si>
    <t xml:space="preserve">000006 VIR EUROPEEN EMIS   NETGEST POUR: M GAROUHARONBRIAS DUHAMEL 05 03 BQ 1091308475 CPT 00080929007 REF: 6104235310594</t>
  </si>
  <si>
    <t xml:space="preserve">v653</t>
  </si>
  <si>
    <t xml:space="preserve">Prêt Zoe 2/2</t>
  </si>
  <si>
    <t xml:space="preserve">PRELEVEMENT EUROPEEN 7104014733 DE: GENERALI I A R D GENERALI I A R D ID: FR11ZZZ600698 MOTIF: 196JALEJALOUHARAC                PQ7</t>
  </si>
  <si>
    <t xml:space="preserve">PRELEVEMENT EUROPEEN 8401083654 DE: SCALEWAY SAS ID: FR11ZZZ800773 MOTIF: payment for order 522813757</t>
  </si>
  <si>
    <t xml:space="preserve">VIR RECU    5719677321S DE: MME OU M SANDRINE DUHAMEL MOTIF: REMBOURSEMENT PRET 70K REF: Remboursement pr t 70k</t>
  </si>
  <si>
    <t xml:space="preserve">v545</t>
  </si>
  <si>
    <t xml:space="preserve">#solde</t>
  </si>
  <si>
    <t xml:space="preserve">CLOENKOREC→SG</t>
  </si>
  <si>
    <t xml:space="preserve">v677</t>
  </si>
  <si>
    <t xml:space="preserve">PRELEVEMENT EUROPEEN 3107612314 DE: ENGIE clients particuliers ID: FR11ZZZ200249 MOTIF: MOREL                JULIEN</t>
  </si>
  <si>
    <t xml:space="preserve">PRELEVEMENT EUROPEEN 1401017878 DE: Numericable SA-NUMERICABLE ID: FR11ZZZ400876 MOTIF: Votre abonnement mobile: 06XXXXX211</t>
  </si>
  <si>
    <t xml:space="preserve">PRELEVEMENT EUROPEEN 5301453601 DE: SUEZ ID: FR11ZZZ700812 MOTIF: Y 111153334302 98 1172557152</t>
  </si>
  <si>
    <t xml:space="preserve">VIR FERAS RE 731431669866 DE: Julien MOREL DATE: 23/03/2025 11:37 MOTIF: Virement depuis Compte principal</t>
  </si>
  <si>
    <t xml:space="preserve">CARTE X4417 26/03 HELP.STREAMO.TV COMMERCE ELECTRONIQUE </t>
  </si>
  <si>
    <t xml:space="preserve">CARTE X4419 26/03 ZIM </t>
  </si>
  <si>
    <t xml:space="preserve">CARTE X4419 26/03 EUROPLAC </t>
  </si>
  <si>
    <t xml:space="preserve">CARTE X4419 25/03 PAIN DES HAROU </t>
  </si>
  <si>
    <t xml:space="preserve">CARTE X4419 22/03 EASY CASH NANTUEL </t>
  </si>
  <si>
    <t xml:space="preserve">CARTE X4419 22/03 E MARCADIS </t>
  </si>
  <si>
    <t xml:space="preserve">CARTE X4419 17/03 SOBRIS </t>
  </si>
  <si>
    <t xml:space="preserve">CARTE X4419 18/03 ZIM </t>
  </si>
  <si>
    <t xml:space="preserve">CARTE X4419 18/03 ZMD NANTUEL CHU </t>
  </si>
  <si>
    <t xml:space="preserve">CARTE X4417 14/03 VALY COMMERCE ELECTRONIQUE </t>
  </si>
  <si>
    <t xml:space="preserve">CARTE X4419 15/03 E MARCADIS </t>
  </si>
  <si>
    <t xml:space="preserve">CARTE X4419 13/03 NOROU RJ </t>
  </si>
  <si>
    <t xml:space="preserve">CARTE X4419 13/03 La Librairie 16 </t>
  </si>
  <si>
    <t xml:space="preserve">CARTE X4419 13/03 TARINCAREC DOUBLES </t>
  </si>
  <si>
    <t xml:space="preserve">CARTE X4419 13/03 MONOPRIX </t>
  </si>
  <si>
    <t xml:space="preserve">CARTE X4419 12/03 TARINCAREC DOUBLES </t>
  </si>
  <si>
    <t xml:space="preserve">CARTE X4419 12/03 NOROU RJ </t>
  </si>
  <si>
    <t xml:space="preserve">CARTE X4419 11/03 BALUN </t>
  </si>
  <si>
    <t xml:space="preserve">CARTE X4419 11/03 PRIMARC CITY </t>
  </si>
  <si>
    <t xml:space="preserve">CARTE X4419 11/03 ROSE GAROGARUX BALOBALY </t>
  </si>
  <si>
    <t xml:space="preserve">CARTE X4419 11/03 KB 10 RUE BRIOUGAREL </t>
  </si>
  <si>
    <t xml:space="preserve">CARTE X4419 11/03 NOROU RJ </t>
  </si>
  <si>
    <t xml:space="preserve">CARTE X4419 11/03 JALENPALARD BRIOC </t>
  </si>
  <si>
    <t xml:space="preserve">CARTE X4417 08/03 ORBILINK INTERNET 8,02 EUR COMMERCE ELECTRONIQUE </t>
  </si>
  <si>
    <t xml:space="preserve">CARTE X4419 07/03 PRIMARCMARKET 26,39 EUR </t>
  </si>
  <si>
    <t xml:space="preserve">CARTE X4419 06/03 5 CONTINENTS </t>
  </si>
  <si>
    <t xml:space="preserve">CARTE X4419 06/03 ZALELSALIS </t>
  </si>
  <si>
    <t xml:space="preserve">CARTE X4419 06/03 HARINTARIL DE JALOCLOOT </t>
  </si>
  <si>
    <t xml:space="preserve">CARTE X4419 06/03 FOURNIL CARARZALAIS </t>
  </si>
  <si>
    <t xml:space="preserve">CARTE X4419 05/03 CARAC LE JEU DE PAUME </t>
  </si>
  <si>
    <t xml:space="preserve">CARTE X4419 05/03 FLUTE ENCHANTEE </t>
  </si>
  <si>
    <t xml:space="preserve">CARTE X4419 05/03 PHARMACIE GARENVERIL </t>
  </si>
  <si>
    <t xml:space="preserve">CARTE X4417 04/03 VALY COMMERCE ELECTRONIQUE </t>
  </si>
  <si>
    <t xml:space="preserve">CARTE X4419 04/03 AU GLOBAL DU CHOC </t>
  </si>
  <si>
    <t xml:space="preserve">CARTE X4419 04/03 PHARMACIE RININHARUX </t>
  </si>
  <si>
    <t xml:space="preserve">CARTE X4419 03/03 E MARCADIS </t>
  </si>
  <si>
    <t xml:space="preserve">CARTE X4419 01/03 MARCHE AUX CARIN </t>
  </si>
  <si>
    <t xml:space="preserve">CARTE X4419 01/03 AU BON PANIER RINUN </t>
  </si>
  <si>
    <t xml:space="preserve">CARTE X4419 01/03 AFFAIRES ET NORINDELAS </t>
  </si>
  <si>
    <t xml:space="preserve">CARTE X4419 01/03 VIDAL SYLVE </t>
  </si>
  <si>
    <t xml:space="preserve">CARTE X4419 28/02 ZIM </t>
  </si>
  <si>
    <t xml:space="preserve">CARTE X4419 28/02 PHARMACIE MERCIER </t>
  </si>
  <si>
    <t xml:space="preserve">OR 750/1000 0,935G BRACELET OR</t>
  </si>
  <si>
    <t xml:space="preserve">orjo52</t>
  </si>
  <si>
    <t xml:space="preserve">OR 750/1000 0,269G PENDENTIF DT 6*0.1 + 1*0.02</t>
  </si>
  <si>
    <t xml:space="preserve">OR 750/1000 0.20 PENDENTIF CHAT + SAPHIR</t>
  </si>
  <si>
    <t xml:space="preserve">Boucle de ceinture Chanel Argent</t>
  </si>
  <si>
    <t xml:space="preserve">PRELEVEMENT EUROPEEN 0716272182 POUR CPTE DE:D.G.F.I.P. IMPOT 58032 ID: FR11ZZZ300127 MOTIF: 660660902897612930 111</t>
  </si>
  <si>
    <t xml:space="preserve">PRELEVEMENT EUROPEEN 0495882443 POUR CPTE DE:D.G.F.I.P. IMPOT 58032 ID: FR11ZZZ300127 MOTIF: 660660902897612930 111</t>
  </si>
  <si>
    <t xml:space="preserve">PRELEVEMENT EUROPEEN 0510509038 POUR CPTE DE:D.G.F.I.P. IMPOT 88042 ID: FR11ZZZ300127 MOTIF: 310140648846701094 111</t>
  </si>
  <si>
    <t xml:space="preserve">PRELEVEMENT EUROPEEN 2809089774 DE: GENERALI I A R D GENERALI I A R D ID: FR11ZZZ600698 MOTIF: 113CLOUMERELCARUN                PQ7</t>
  </si>
  <si>
    <t xml:space="preserve">PRELEVEMENT EUROPEEN 0355409778 POUR CPTE DE:D.G.F.I.P. IMPOT PAS ID: FR11ZZZ300127 MOTIF: PRELEVEMENT A LA SOURCE REVENUS 202</t>
  </si>
  <si>
    <t xml:space="preserve">PRELEVEMENT EUROPEEN 0273463462 DE: Numericable SA ID: FR11ZZZ400876 MOTIF: Votre abonnement fibre (facture: XX</t>
  </si>
  <si>
    <t xml:space="preserve">PRELEVEMENT EUROPEEN 0898147923 DE: MAAF CNO Production-mutualis ID: FR11ZZZ600341 MOTIF: -PRELEV 0890033051  00684407127</t>
  </si>
  <si>
    <t xml:space="preserve">VIR RECU    0193697133S DE: CNAVTS MOTIF: ASSURANCE RETRAITE REF: 11836772      MOREL        0325</t>
  </si>
  <si>
    <t xml:space="preserve">VIR RECU    0316940050S DE: MUTUALITE SOCIALE AGRICOLE D'AUBE DE FR ANCE MOTIF: CV22/04           MTRFLKQPBNVXS</t>
  </si>
  <si>
    <t xml:space="preserve">COMMISSION OFFRE ALYSEE Période du 01/01/2025 au 31/03/2025</t>
  </si>
  <si>
    <t xml:space="preserve">PRELEVEMENT EUROPEEN 0909861602 DE: GENERALI I A R D GENERALI I A R D ID: FR11ZZZ600698 MOTIF: 142SALUCARUKORAIS                PQ7</t>
  </si>
  <si>
    <t xml:space="preserve">PRELEVEMENT EUROPEEN 0155543199 DE: ENGIE clients particuliers ID: FR11ZZZ200249 MOTIF: MOREL                JULIEN</t>
  </si>
  <si>
    <t xml:space="preserve">PRELEVEMENT EUROPEEN 0788503467 DE: Numericable SA ID: FR11ZZZ400876 MOTIF: Votre abonnement mobile: 06XXXXX210</t>
  </si>
  <si>
    <t xml:space="preserve">VIR RECU    0897238814S DE: MME OU M SANDRINE DUHAMEL MOTIF: REMBOURSEMENT PRET 70K REF: Remboursement pr t 70k</t>
  </si>
  <si>
    <t xml:space="preserve">v546</t>
  </si>
  <si>
    <t xml:space="preserve">PRELEVEMENT EUROPEEN 0135809736 DE: SCALEWAY SAS ID: FR11ZZZ800773 MOTIF: payment for order 594352073</t>
  </si>
  <si>
    <t xml:space="preserve">VIR RECU    0423691625S DE: MME OU M SANDRINE DUHAMEL MOTIF: REMBOURSEMENT PR T REF: remboursement pr t</t>
  </si>
  <si>
    <t xml:space="preserve">v679</t>
  </si>
  <si>
    <t xml:space="preserve">VIR RECU    0673240995S DE: CA ASSURANCES RETRAITE DE: 991G MOTIF: UBE RETRAITE RENTE VIAGERE ARTICLE</t>
  </si>
  <si>
    <t xml:space="preserve">VIR RECU    0724268097S DE: ALPROagirc-arrco APICIL MOTIF: ALPROAGIRC-ARRCO APICIL REF : 14547 70200000007/771123654   NORAY/2025 M</t>
  </si>
  <si>
    <t xml:space="preserve">VIR RECU    6097059032S DE: KLESIA RETRAITE AGIRC ARRCO FT MOTIF: AUDIENS KLESIA AGIRC-ARRCO REF : 00000000000022474875/67080611 NORAY/</t>
  </si>
  <si>
    <t xml:space="preserve">VIR RECU    7087626909S DE: KLESIA RETRAITE AGIRC ARRCO FT MOTIF: AUDIENS KLESIA AGIRC-ARRCO REF : 00000000000022474875/67080611 NORAY/</t>
  </si>
  <si>
    <t xml:space="preserve">v34</t>
  </si>
  <si>
    <t xml:space="preserve">v35</t>
  </si>
  <si>
    <t xml:space="preserve">v682</t>
  </si>
  <si>
    <t xml:space="preserve">v685</t>
  </si>
  <si>
    <t xml:space="preserve">OR 750/1000 0,869 G CHAINE</t>
  </si>
  <si>
    <t xml:space="preserve">orjo81</t>
  </si>
  <si>
    <t xml:space="preserve">OR 750/1000 0,79  G BAGUE DIAMANTS ET PIERRE BLEUE</t>
  </si>
  <si>
    <t xml:space="preserve">Bijoux Or BRASSARD VALINBRIIS BALINMEROC ZALELDELET DORURE &amp; EMAUX</t>
  </si>
  <si>
    <t xml:space="preserve">OR 999/1000 0,255 G PENDENTIF PEPITE</t>
  </si>
  <si>
    <t xml:space="preserve">COUPONS KORALAMIN</t>
  </si>
  <si>
    <t xml:space="preserve">Collier sautoir OR 18K (750/1000) Pr 19gr Maille palelnoray alterné de boules merentarot</t>
  </si>
  <si>
    <t xml:space="preserve">orjo61</t>
  </si>
  <si>
    <t xml:space="preserve">chaîne or 18 k 3saleferais</t>
  </si>
  <si>
    <t xml:space="preserve">orjo94</t>
  </si>
  <si>
    <t xml:space="preserve">VIR RECU    1688919427S DE: CREDIT AGRICOLE ASSURANCES RETRAITE DE: 991G MOTIF: UBE RETRAITE RENTE VIAGERE ARTICLE</t>
  </si>
  <si>
    <t xml:space="preserve">VIR RECU    5227983017S DE: ALPROagirc-arrco APICIL MOTIF: ALPROAGIRC-ARRCO APICIL REF : 14547 70200000007/944103835   RINET/2025 M</t>
  </si>
  <si>
    <t xml:space="preserve">VIR RECU    9012746582S DE: KLESIA RETRAITE AGIRC ARRCO FT MOTIF: AUDIENS KLESIA AGIRC-ARRCO REF : 00000000000022474875/93070711 RINET/</t>
  </si>
  <si>
    <t xml:space="preserve">VIR RECU    2042941045S DE: KLESIA RETRAITE AGIRC ARRCO FT MOTIF: AUDIENS KLESIA AGIRC-ARRCO REF : 00000000000022474875/93070711 RINET/</t>
  </si>
  <si>
    <t xml:space="preserve">CARTE X4419 08/04 SAS   EC SAINT VALMONT2 670702900666404OPRF</t>
  </si>
  <si>
    <t xml:space="preserve">CARTE X4419 18/04 LAMELGAROT AUTOMOBILES 560440302907084OPRF</t>
  </si>
  <si>
    <t xml:space="preserve">CARTE X4419 01/04 E MARCADIS 750308301695585OPRF</t>
  </si>
  <si>
    <t xml:space="preserve">CARTE X4419 17/04 E MARCADIS 380780509692058OPRF</t>
  </si>
  <si>
    <t xml:space="preserve">CARTE X4419 04/04 E MARCADIS 910304106104743OPRF</t>
  </si>
  <si>
    <t xml:space="preserve">CARTE X4419 08/04 SA VALMONTAISE DE DIS 670101400629442OPRF</t>
  </si>
  <si>
    <t xml:space="preserve">CARTE X4419 12/04 E MARCADIS 520210700731161OPRF</t>
  </si>
  <si>
    <t xml:space="preserve">CARTE X4419 04/04 LE TARIBALON 180902700980776OPRF</t>
  </si>
  <si>
    <t xml:space="preserve">CARTE X4419 14/04 SOBRIS 980140705490764OPRF</t>
  </si>
  <si>
    <t xml:space="preserve">CARTE X4417 08/04 ORBILINK INTERNET 8,02 EUR IRLANDE COMMERCE ELECTRONIQUE 690501207458542OPRF</t>
  </si>
  <si>
    <t xml:space="preserve">CARTE X4419 17/04 E MARCADIS 170510803385093OPRF</t>
  </si>
  <si>
    <t xml:space="preserve">CARTE X4419 12/04 MAISON COTIERE 170840102499586OPRF</t>
  </si>
  <si>
    <t xml:space="preserve">CARTE X4419 08/04 DURANT LE KORONJALUN 380309607861795OPRF</t>
  </si>
  <si>
    <t xml:space="preserve">CARTE X4419 22/04 SOBRIS 240621204163692OPRF</t>
  </si>
  <si>
    <t xml:space="preserve">CARTE X4419 17/04 E MARCADIS 420890403417057OPRF</t>
  </si>
  <si>
    <t xml:space="preserve">CARTE X4419 27/03 CHEZ CARARZALARD 160209400728373OPRF</t>
  </si>
  <si>
    <t xml:space="preserve">CARTE X4419 05/04 OFFICE TOURISME 150904109831030OPRF</t>
  </si>
  <si>
    <t xml:space="preserve">CARTE X4419 27/03 HARINLAMIS STORES 660608500535592OPRF</t>
  </si>
  <si>
    <t xml:space="preserve">CARTE X4419 11/04 PHARMACIE MERCIER 390590100734220OPRF</t>
  </si>
  <si>
    <t xml:space="preserve">CARTE X4419 18/04 E MARCADIS 940250206302063OPRF</t>
  </si>
  <si>
    <t xml:space="preserve">CARTE X4419 29/03 BOUCHERIE 401907560135870OPRF</t>
  </si>
  <si>
    <t xml:space="preserve">CARTE X4419 17/04 E MARCADIS 510840209914051OPRF</t>
  </si>
  <si>
    <t xml:space="preserve">CARTE X4419 05/04 MAISON DU ELECTRIS 390605503432058OPRF</t>
  </si>
  <si>
    <t xml:space="preserve">CARTE X4419 27/03 ONYA 790709505370750OPRF</t>
  </si>
  <si>
    <t xml:space="preserve">CARTE X4419 28/03 ONYA 560705500854929OPRF</t>
  </si>
  <si>
    <t xml:space="preserve">CARTE X4419 11/04 ZIM 110750507402992OPRF</t>
  </si>
  <si>
    <t xml:space="preserve">CARTE X4419 28/03 ZIM 550707200530055OPRF</t>
  </si>
  <si>
    <t xml:space="preserve">CARTE X4419 19/04 L'ATELIER GOURMAND 160967802478511OPRF</t>
  </si>
  <si>
    <t xml:space="preserve">CARTE X4419 04/04 ZIM 970402407520580OPRF</t>
  </si>
  <si>
    <t xml:space="preserve">CARTE X4419 15/04 PARK NANTUEL CHU 360490507400894OPRF</t>
  </si>
  <si>
    <t xml:space="preserve">CARTE X4419 02/04 PARK NANTUEL CHU 320203500559605OPRF</t>
  </si>
  <si>
    <t xml:space="preserve">CARTE X4419 27/03 ZMD NANTUEL CHU 720403900680326OPRF</t>
  </si>
  <si>
    <t xml:space="preserve">CARTE X4417 27/03 RINOJALIL OUEST 890406206262457OPRF</t>
  </si>
  <si>
    <t xml:space="preserve">PRELEVEMENT EUROPEEN 1394663820 DE: ENGIE clients particuliers ID: FR11ZZZ200249 MOTIF: MOREL                JULIEN</t>
  </si>
  <si>
    <t xml:space="preserve">PRELEVEMENT EUROPEEN 8203722091 DE: NUMERICABLE SA-NUMERICABLE ID: FR11ZZZ400876 MOTIF: Votre abonnement mobile: 06XXXXX211</t>
  </si>
  <si>
    <t xml:space="preserve">PRELEVEMENT EUROPEEN 6204319904 DE: SUEZ ID: FR11ZZZ700812 MOTIF: Y 274973987492 98 1172557152</t>
  </si>
  <si>
    <t xml:space="preserve">PRELEVEMENT EUROPEEN 4803028163 DE: NUMERICABLE SA ID: FR11ZZZ400876 MOTIF: Votre abonnement mobile: 06XXXXX212</t>
  </si>
  <si>
    <t xml:space="preserve">000006 VIR EUROPEEN EMIS   NETGEST POUR: HARACARARD les  patios du Delaune 17 04 BQ 7000109033 CPT 00004255219 REF: 5480899951418</t>
  </si>
  <si>
    <t xml:space="preserve">Position ouverte KWEB/USD</t>
  </si>
  <si>
    <t xml:space="preserve">CHEQUE    1979</t>
  </si>
  <si>
    <t xml:space="preserve">PRELEVEMENT EUROPEEN 8202458234 DE: NUMERICABLE SA ID: FR11ZZZ400876 MOTIF: Votre abonnement mobile: 06XXXXX212</t>
  </si>
  <si>
    <t xml:space="preserve">PRELEVEMENT EUROPEEN 8816979293 POUR CPTE DE:D.G.F.I.P. IMPOT 58032 ID: FR11ZZZ300127 MOTIF: 660660902897612930 111</t>
  </si>
  <si>
    <t xml:space="preserve">PRELEVEMENT EUROPEEN 7635271242 POUR CPTE DE:D.G.F.I.P. IMPOT 58032 ID: FR11ZZZ300127 MOTIF: 660660902897612930 111</t>
  </si>
  <si>
    <t xml:space="preserve">PRELEVEMENT EUROPEEN 6207955010 DE: NUMERICABLE SA ID: FR11ZZZ400876 MOTIF: Votre abonnement fibre (facture: XX</t>
  </si>
  <si>
    <t xml:space="preserve">PRELEVEMENT EUROPEEN 5167398524 POUR CPTE DE:D.G.F.I.P. IMPOT 88042 ID: FR11ZZZ300127 MOTIF: 310140648846701094 111</t>
  </si>
  <si>
    <t xml:space="preserve">PRELEVEMENT EUROPEEN 4706988272 DE: GENERALI I A R D GENERALI I A R D ID: FR11ZZZ600698 MOTIF: 133BALABRIARMEREL                PQ7</t>
  </si>
  <si>
    <t xml:space="preserve">PRELEVEMENT EUROPEEN 6437849945 POUR CPTE DE:D.G.F.I.P. IMPOT PAS ID: FR11ZZZ300127 MOTIF: PRELEVEMENT A LA SOURCE REVENUS 202</t>
  </si>
  <si>
    <t xml:space="preserve">PRELEVEMENT EUROPEEN 1791469757 DE: MAAF CNO Production-mutualis ID: FR11ZZZ600341 MOTIF: -PRELEV 0297043051  00684407127</t>
  </si>
  <si>
    <t xml:space="preserve">VIR RECU    6368934312S DE: CPAM DES VALMONT MOTIF: 144270002799040979460 01 REF: 144270002799040979460 01</t>
  </si>
  <si>
    <t xml:space="preserve">PRELEVEMENT EUROPEEN 7408418463 DE: NUMERICABLE SA ID: FR11ZZZ400876 MOTIF: Votre abonnement mobile: 06XXXXX210</t>
  </si>
  <si>
    <t xml:space="preserve">VIR RECU    7447576872S DE: CNAVTS MOTIF: ASSURANCE RETRAITE REF: 11836772      MOREL        0425</t>
  </si>
  <si>
    <t xml:space="preserve">VIR RECU    2879211723S DE: MUTUALITE SOCIALE AGRICOLE D'AUBE DE FR ANCE MOTIF: CV22/05           MTRFLKQPBNVXS</t>
  </si>
  <si>
    <t xml:space="preserve">PRELEVEMENT EUROPEEN 2313388204 DE: ENGIE clients particuliers ID: FR11ZZZ200249 MOTIF: MOREL                JULIEN</t>
  </si>
  <si>
    <t xml:space="preserve">PRELEVEMENT EUROPEEN 3661236335 DE: SCALEWAY SAS ID: FR11ZZZ800773 MOTIF: payment for order 392756056</t>
  </si>
  <si>
    <t xml:space="preserve">CHEQUE    1901</t>
  </si>
  <si>
    <t xml:space="preserve">PRELEVEMENT EUROPEEN 8802357751 DE: GENERALI I A R D GENERALI I A R D ID: FR11ZZZ600698 MOTIF: 171FERISSALUBALEC                PQ7</t>
  </si>
  <si>
    <t xml:space="preserve">VIR RECU    5813459594S DE: MME OU M SANDRINE DUHAMEL MOTIF: REMBOURSEMENT PR T REF: remboursement pr t</t>
  </si>
  <si>
    <t xml:space="preserve">v547</t>
  </si>
  <si>
    <t xml:space="preserve">VIR RECU    2572614277S DE: MME OU M SANDRINE DUHAMEL MOTIF: REMBOURSEMENT PRET 70K REF: Remboursement pr t 70k</t>
  </si>
  <si>
    <t xml:space="preserve">v548</t>
  </si>
  <si>
    <t xml:space="preserve">OR 750/1000 1,951 G COLLIER</t>
  </si>
  <si>
    <t xml:space="preserve">orjo69</t>
  </si>
  <si>
    <t xml:space="preserve">Dividende AI.PA/EUR</t>
  </si>
  <si>
    <t xml:space="preserve">PRELEVEMENT EUROPEEN 9007162252 DE: NUMERICABLE SA-NUMERICABLE ID: FR11ZZZ400876 MOTIF: Votre abonnement mobile: 06XXXXX211</t>
  </si>
  <si>
    <t xml:space="preserve">VIR RECU    6065044566S DE: GENERALI I A R D GENERALI I A R D MOTIF: GENERALI 10190997823995268 REF: FRB5 850346006632106</t>
  </si>
  <si>
    <t xml:space="preserve">PRELEVEMENT EUROPEEN 5408931909 DE: ENGIE clients particuliers ID: FR11ZZZ200249 MOTIF: MOREL                JULIEN</t>
  </si>
  <si>
    <t xml:space="preserve">PRELEVEMENT EUROPEEN 4708664668 DE: SUEZ ID: FR11ZZZ700812 MOTIF: Y 344589573176 98 1172557152</t>
  </si>
  <si>
    <t xml:space="preserve">CHEQUE    1921</t>
  </si>
  <si>
    <t xml:space="preserve">BAYER</t>
  </si>
  <si>
    <t xml:space="preserve">L’COTY</t>
  </si>
  <si>
    <t xml:space="preserve">HEINEKEN</t>
  </si>
  <si>
    <t xml:space="preserve">LEGRAND</t>
  </si>
  <si>
    <t xml:space="preserve">DAIMLER</t>
  </si>
  <si>
    <t xml:space="preserve">Veolia Environnement</t>
  </si>
  <si>
    <t xml:space="preserve">CAP HARELZALEC</t>
  </si>
  <si>
    <t xml:space="preserve">000006 VIR EUROPEEN EMIS   NETGEST POUR: M RINUZALON MERAMERIS 02 06 BQ 4340500028 CPT 98673828274 REF: 1628275414230 </t>
  </si>
  <si>
    <t xml:space="preserve">VIR RECU    7425446565S DE: CA ASSURANCES RETRAITE DE: 991G MOTIF: UBE RETRAITE RENTE VIAGERE ARTICLE </t>
  </si>
  <si>
    <t xml:space="preserve">000006 VIR PERM POUR: Anne BARDET RENAUD REF: 274082851723 MOTIF: EHPAD Mer Aurelle </t>
  </si>
  <si>
    <t xml:space="preserve">VIR RECU    7613084469S DE: ALPROagirc-arrco APICIL MOTIF: ALPROAGIRC-ARRCO APICIL REF : 14547 70200000007/469049052   LAMEL/2025 M </t>
  </si>
  <si>
    <t xml:space="preserve">VIR RECU    6027336809S DE: KLESIA RETRAITE AGIRC ARRCO FT MOTIF: AUDIENS KLESIA AGIRC-ARRCO REF : 00000000000022474875/77080711 LAMEL/ </t>
  </si>
  <si>
    <t xml:space="preserve">VIR RECU    8091490555S DE: KLESIA RETRAITE AGIRC ARRCO FT MOTIF: AUDIENS KLESIA AGIRC-ARRCO REF : 00000000000022474875/77080711 LAMEL/ </t>
  </si>
  <si>
    <t xml:space="preserve">CARTE X4419 24/04 EASY CASH NANTUEL 620498101969329OPRF   </t>
  </si>
  <si>
    <t xml:space="preserve">CARTE X4419 06/05 9 PL ST LOUIS 420636100982064OPRF   </t>
  </si>
  <si>
    <t xml:space="preserve">CARTE X4419 07/05 PRIMARCMARKET 880393706980171OPRF   </t>
  </si>
  <si>
    <t xml:space="preserve">CARTE X4419 13/05 E MARCADIS 620218907233527OPRF   </t>
  </si>
  <si>
    <t xml:space="preserve">CARTE X4419 22/05 E MARCADIS 520823402426598OPRF   </t>
  </si>
  <si>
    <t xml:space="preserve">CARTE X4419 24/05 E MARCADIS 220772302317217OPRF   </t>
  </si>
  <si>
    <t xml:space="preserve">CARTE X4419 24/04 E MARCADIS 240712606974387OPRF   </t>
  </si>
  <si>
    <t xml:space="preserve">CARTE X4419 30/04 E MARCADIS 710515307145163OPRF   </t>
  </si>
  <si>
    <t xml:space="preserve">CARTE X4419 19/05 SOBRIS 720596009442268OPRF   </t>
  </si>
  <si>
    <t xml:space="preserve">CARTE X4419 16/05 SOBRIS 550856604262097OPRF   </t>
  </si>
  <si>
    <t xml:space="preserve">CARTE X4417 23/05 WEB KORENDELIN COMMERCE ELECTRONIQUE 670786601191555OPRF  </t>
  </si>
  <si>
    <t xml:space="preserve">CARTE X4419 17/05 POINT VERT 465 120727406024657OPRF   </t>
  </si>
  <si>
    <t xml:space="preserve">CARTE X4417 08/05 ORBILINK INTERNET 8,02 EUR IRLANDE COMMERCE ELECTRONIQUE 640578100250619OPRF </t>
  </si>
  <si>
    <t xml:space="preserve">CARTE X4419 24/05 E MARCADIS 580136808436111OPRF   </t>
  </si>
  <si>
    <t xml:space="preserve">CARTE X4419 24/05 E MARCADIS 130421508123872OPRF   </t>
  </si>
  <si>
    <t xml:space="preserve">CARTE X4419 14/05 EASY CASH 550636601461675OPRF   </t>
  </si>
  <si>
    <t xml:space="preserve">CARTE X4419 11/05 AUTOROUTIS, 2 paiements d 930158203586897OPRF   </t>
  </si>
  <si>
    <t xml:space="preserve">CARTE X4417 05/05 VALY COMMERCE ELECTRONIQUE 820987206867413OPRF  </t>
  </si>
  <si>
    <t xml:space="preserve">CARTE X4419 20/05 PHARMACIE MERCIER 660833100992795OPRF   </t>
  </si>
  <si>
    <t xml:space="preserve">CARTE X4419 22/05 PRESSING PALOCLOAC 350513502873102OPRF   </t>
  </si>
  <si>
    <t xml:space="preserve">CARTE X4419 11/05 RINISVALAIS 750254304595423OPRF   </t>
  </si>
  <si>
    <t xml:space="preserve">CARTE X4419 11/05 AUTOROUTIS SALEZALY BARRIE 380421603694678OPRF   </t>
  </si>
  <si>
    <t xml:space="preserve">CARTE X4419 02/05 PHARMACIE MERCIER 530756900862924OPRF   </t>
  </si>
  <si>
    <t xml:space="preserve">CARTE X4419 15/05 REVEILLE 930219900641836OPRF   </t>
  </si>
  <si>
    <t xml:space="preserve">CARTE X4419 20/05 VEROU BALIL 105114026339720OPRF   </t>
  </si>
  <si>
    <t xml:space="preserve">CARTE X4419 06/05 VERISSALAY SALILAMUN 880893404544159OPRF   </t>
  </si>
  <si>
    <t xml:space="preserve">CARTE X4419 28/04 VIDAL SYLVE 480597300203348OPRF   </t>
  </si>
  <si>
    <t xml:space="preserve">CARTE X4419 30/04 ZIM 890428900628309OPRF   </t>
  </si>
  <si>
    <t xml:space="preserve">CARTE X4419 11/05 BOULANGERIE PATISSE 780425608420866OPRF   </t>
  </si>
  <si>
    <t xml:space="preserve">CARTE X4419 05/05 PRIMARC CITY 170768308719047OPRF   </t>
  </si>
  <si>
    <t xml:space="preserve">CARTE X4417 26/05 HELP.STREAMO.TV COMMERCE ELECTRONIQUE 410132203826415OPRF  </t>
  </si>
  <si>
    <t xml:space="preserve">CARTE X4417 26/04 HELP.STREAMO.TV COMMERCE ELECTRONIQUE 280751508168783OPRF  </t>
  </si>
  <si>
    <t xml:space="preserve">CARTE X4419 25/05 L'ATELIER GOURMAND 630436804064703OPRF   </t>
  </si>
  <si>
    <t xml:space="preserve">CARTE X4419 02/05 ZIM 580834703891260OPRF   </t>
  </si>
  <si>
    <t xml:space="preserve">CARTE X4419 11/05 ZETTLE  *NORAPALIS 760197300977594OPRF   </t>
  </si>
  <si>
    <t xml:space="preserve">LEONARDO SA Dividende</t>
  </si>
  <si>
    <t xml:space="preserve">LEONARDO SA Impôts sur dividende</t>
  </si>
  <si>
    <t xml:space="preserve">AIRBUS GROUP SA Dividende</t>
  </si>
  <si>
    <t xml:space="preserve">AIRBUS GROUP SA Impôts sur dividende</t>
  </si>
  <si>
    <t xml:space="preserve">Frais de connexion aux places boursières 2025 (Jalacaran AG - BRIOLAMOT)</t>
  </si>
  <si>
    <t xml:space="preserve">VIR EMIS   NETGEST</t>
  </si>
  <si>
    <t xml:space="preserve">v689</t>
  </si>
  <si>
    <t xml:space="preserve">xmr127</t>
  </si>
  <si>
    <t xml:space="preserve">CHEQUE 1922</t>
  </si>
  <si>
    <t xml:space="preserve">000006 VIR EUROPEEN EMIS NETGEST POUR: GLX AG REF: 6861468548184 CHEZ: VLDNCHXX</t>
  </si>
  <si>
    <t xml:space="preserve">000006 VIR EUROPEEN EMIS NETGEST POUR: VEROZALAIS PARIS 18 06 BQ 3007300006 CPT 0000185719V REF: 3533467973801</t>
  </si>
  <si>
    <t xml:space="preserve">VIR RECU 9853489100967 DE: MR OU MME JULIEN MOREL</t>
  </si>
  <si>
    <t xml:space="preserve">PRELEVEMENT EUROPEEN 9263349423 POUR CPTE DE:D.G.F.I.P. IMPOT 58032 ID: FR11ZZZ300127 MOTIF: 660660902897612930 111</t>
  </si>
  <si>
    <t xml:space="preserve">PRELEVEMENT EUROPEEN 5469941862 POUR CPTE DE:D.G.F.I.P. IMPOT 58032 ID: FR11ZZZ300127 MOTIF: 660660902897612930 111</t>
  </si>
  <si>
    <t xml:space="preserve">CHEQUE 1975</t>
  </si>
  <si>
    <t xml:space="preserve">PRELEVEMENT EUROPEEN 3405205228 POUR CPTE DE:D.G.F.I.P. IMPOT 88042 ID: FR11ZZZ300127 MOTIF: 310140648846701094 111</t>
  </si>
  <si>
    <t xml:space="preserve">PRELEVEMENT EUROPEEN 8605472876 DE: GENERALI I A R D GENERALI I A R D ID: FR11ZZZ600698 MOTIF: 131VERELCARISNORIN PQ7</t>
  </si>
  <si>
    <t xml:space="preserve">PRELEVEMENT EUROPEEN 4882628582 POUR CPTE DE:D.G.F.I.P. IMPOT PAS ID: FR11ZZZ300127 MOTIF: PRELEVEMENT A LA SOURCE REVENUS 202</t>
  </si>
  <si>
    <t xml:space="preserve">PRELEVEMENT EUROPEEN 1305667950 DE: NUMERICABLE SA ID: FR11ZZZ400876 MOTIF: Votre abonnement fibre (facture: XX</t>
  </si>
  <si>
    <t xml:space="preserve">000006 VIR EUROPEEN EMIS NETGEST POUR: DUO DES CIMES 13 06 BQ 9860200024 CPT 00414077395 REF: 2331537009134</t>
  </si>
  <si>
    <t xml:space="preserve">PRELEVEMENT EUROPEEN 7328815256 DE: MAAF CNO Production-mutualis ID: FR11ZZZ600341 MOTIF: -PRELEV 0690053051 00684407127</t>
  </si>
  <si>
    <t xml:space="preserve">CARTE X4417 RETRAIT DAB SG 06/06 17BALADELAIS NANTUEL 00635091 790217807278860OPRF</t>
  </si>
  <si>
    <t xml:space="preserve">v619</t>
  </si>
  <si>
    <t xml:space="preserve">PRELEVEMENT EUROPEEN 9507073773 DE: NUMERICABLE SA ID: FR11ZZZ400876 MOTIF: Votre abonnement mobile: 06XXXXX210</t>
  </si>
  <si>
    <t xml:space="preserve">PRELEVEMENT EUROPEEN 9769413984 DE: SCALEWAY SAS ID: FR11ZZZ800773 MOTIF: payment for order 165580352</t>
  </si>
  <si>
    <t xml:space="preserve">VIR RECU 9967637555S DE: CNAVTS MOTIF: ASSURANCE RETRAITE REF: 11836772 MOREL 0525</t>
  </si>
  <si>
    <t xml:space="preserve">VIR RECU 6442226760S DE: MUTUALITE SOCIALE AGRICOLE D'AUBE DE FR ANCE MOTIF: ZALINMERAC/06 MTRFLKQPBNVXS</t>
  </si>
  <si>
    <t xml:space="preserve">PRELEVEMENT EUROPEEN 5600442765 DE: GENERALI I A R D GENERALI I A R D ID: FR11ZZZ600698 MOTIF: 171SALEPALISCAROU PQ7</t>
  </si>
  <si>
    <t xml:space="preserve">PRELEVEMENT EUROPEEN 8340931099 DE: ENGIE clients particuliers ID: FR11ZZZ200249 MOTIF: MOREL JULIEN</t>
  </si>
  <si>
    <t xml:space="preserve">VIR RECU 1490903172S DE: MME OU M SANDRINE DUHAMEL MOTIF: REMBOURSEMENT PRET 70K REF: Remboursement pr t 70k</t>
  </si>
  <si>
    <t xml:space="preserve">v549</t>
  </si>
  <si>
    <t xml:space="preserve">VIR RECU 6264439204S DE: MME OU M SANDRINE DUHAMEL MOTIF: REMBOURSEMENT PR T REF: remboursement pr t</t>
  </si>
  <si>
    <t xml:space="preserve">v550</t>
  </si>
  <si>
    <t xml:space="preserve">VALET NORIER</t>
  </si>
  <si>
    <t xml:space="preserve">v691</t>
  </si>
  <si>
    <t xml:space="preserve">VIR RECU 0316915909S DE: CA ASSURANCES RETRAITE DE: 991G MOTIF: UBE RETRAITE RENTE VIAGERE ARTICLE</t>
  </si>
  <si>
    <t xml:space="preserve">VIR RECU 0781216628S DE: ALLIANCE PRO. AGIRC-ARRCO APICIL MOTIF: ALLIANCE PRO. AGIRC-ARRCO APICIL RE F : 7985870200000007/340201817000 M</t>
  </si>
  <si>
    <t xml:space="preserve">VIR RECU 2868595438S DE: KLESIA RETRAITE AGIRC ARRCO FT MOTIF: AUDIENS KLESIA AGIRC-ARRCO REF : 00000000000022474875/19020611 RINODELIN/</t>
  </si>
  <si>
    <t xml:space="preserve">VIR RECU 5453723529S DE: KLESIA RETRAITE AGIRC ARRCO FT MOTIF: AUDIENS KLESIA AGIRC-ARRCO REF : 00000000000022474875/19020611 RINODELIN/</t>
  </si>
  <si>
    <t xml:space="preserve">CARTE X4419 30/05 SAS EC SAINT VALMONT2 270599800673651OPRF</t>
  </si>
  <si>
    <t xml:space="preserve">CARTE X4419 04/06 E MARCADIS 750761808767986OPRF</t>
  </si>
  <si>
    <t xml:space="preserve">CARTE X4419 17/06 PRIMARCMARKET 360576301836000OPRF</t>
  </si>
  <si>
    <t xml:space="preserve">CARTE X4419 05/06 EASY CASH 330767103351152OPRF</t>
  </si>
  <si>
    <t xml:space="preserve">CARTE X4419 25/06 E MARCADIS 470491701866911OPRF</t>
  </si>
  <si>
    <t xml:space="preserve">CARTE X4419 30/05 SA VALMONTAISE DE DIS 520347600711179OPRF</t>
  </si>
  <si>
    <t xml:space="preserve">CARTE X4419 28/05 SOBRIS 110555907204248OPRF</t>
  </si>
  <si>
    <t xml:space="preserve">CARTE X4419 13/06 E MARCADIS 120452808242438OPRF</t>
  </si>
  <si>
    <t xml:space="preserve">CARTE X4419 06/06 MARCADIS KORARVERAIS 580754700266134OPRF</t>
  </si>
  <si>
    <t xml:space="preserve">CARTE X4419 07/06 BRIOJALOC ZALUBALAN 120793006842921OPRF</t>
  </si>
  <si>
    <t xml:space="preserve">CARTE X4417 08/06 ORBILINK INTERNET 8,02 EUR IRLANDE COMMERCE ELECTRONIQUE 910696000745261OPRF</t>
  </si>
  <si>
    <t xml:space="preserve">CARTE X4419 04/06 L INSTITUT 110346305807349OPRF</t>
  </si>
  <si>
    <t xml:space="preserve">CARTE X4419 12/06 LA HARENGAROU 44 805162273403460OPRF</t>
  </si>
  <si>
    <t xml:space="preserve">CARTE X4419 21/06 PRIMARC CITY 740824600730801OPRF</t>
  </si>
  <si>
    <t xml:space="preserve">CARTE X4419 25/06 E MARCADIS 370593706432571OPRF</t>
  </si>
  <si>
    <t xml:space="preserve">CARTE X4419 17/06 AUTOROUTIS LA RINENSALOU/PAR 430957306475544OPRF</t>
  </si>
  <si>
    <t xml:space="preserve">CARTE X4419 06/06 MAISON BRIISSALUN JALINDELIER 510719100110434OPRF</t>
  </si>
  <si>
    <t xml:space="preserve">CARTE X4417 24/06 VALY COMMERCE ELECTRONIQUE 510273806995553OPRF</t>
  </si>
  <si>
    <t xml:space="preserve">CARTE X4419 14/06 LA MIE CALINE 990813906936015OPRF</t>
  </si>
  <si>
    <t xml:space="preserve">CARTE X4419 06/06 MARCADIS KORARVERAIS 250695600292516OPRF</t>
  </si>
  <si>
    <t xml:space="preserve">CARTE X4419 06/06 PHARMACIE MERCIER 560885400519594OPRF</t>
  </si>
  <si>
    <t xml:space="preserve">CARTE X4419 09/06 L'ATELIER GOURMAND 630187706169850OPRF</t>
  </si>
  <si>
    <t xml:space="preserve">CARTE X4419 05/06 CLOASALOC 950285609472793OPRF</t>
  </si>
  <si>
    <t xml:space="preserve">CARTE X4419 30/05 ZIM 130828605301374OPRF</t>
  </si>
  <si>
    <t xml:space="preserve">CARTE X4419 21/06 BELLE EPOQUE 160514508716940OPRF</t>
  </si>
  <si>
    <t xml:space="preserve">CARTE X4419 10/06 ZIM 940698402790542OPRF</t>
  </si>
  <si>
    <t xml:space="preserve">CARTE X4419 22/06 BELLE EPOQUE 570275306459399OPRF</t>
  </si>
  <si>
    <t xml:space="preserve">CARTE X4419 06/06 ZIM 240159304165878OPRF</t>
  </si>
  <si>
    <t xml:space="preserve">CARTE X4419 03/06 ZIM 670972204333378OPRF</t>
  </si>
  <si>
    <t xml:space="preserve">CARTE X4419 07/06 PRIMARC CITY 990673003707631OPRF</t>
  </si>
  <si>
    <t xml:space="preserve">CARTE X4419 07/06 Palisalun SARL COMMERCE ELECTRONIQUE 770347006094713OPRF</t>
  </si>
  <si>
    <t xml:space="preserve">CARTE X4419 08/06 Palisalun SARL COMMERCE ELECTRONIQUE 720611007085873OPRF</t>
  </si>
  <si>
    <t xml:space="preserve">CARTE X4417 13/06 Palisalun SARL COMMERCE ELECTRONIQUE 990946400462162OPRF</t>
  </si>
  <si>
    <t xml:space="preserve">CARTE X4419 24/06 ZIM 130362902109285OPRF</t>
  </si>
  <si>
    <t xml:space="preserve">CARTE X4419 06/06 HORODATEUR 460152005049158OPRF</t>
  </si>
  <si>
    <t xml:space="preserve">CARTE X4419 12/06 LA MIE CALINE 330118100859411OPRF</t>
  </si>
  <si>
    <t xml:space="preserve">COTISATION ANNUELLE CARTE Visa X4417</t>
  </si>
  <si>
    <t xml:space="preserve">PRELEVEMENT EUROPEEN 4556796871 DE: ENGIE clients particuliers ID: FR11ZZZ200249 MOTIF: MOREL JULIEN</t>
  </si>
  <si>
    <t xml:space="preserve">PRELEVEMENT EUROPEEN 7604393570 DE: NUMERICABLE SA-NUMERICABLE ID: FR11ZZZ400876 MOTIF: Votre abonnement mobile: 06XXXXX211</t>
  </si>
  <si>
    <t xml:space="preserve">PRELEVEMENT EUROPEEN 7903155959 DE: SUEZ ID: FR11ZZZ700812 MOTIF: Y 788397580906 98 1172557152</t>
  </si>
  <si>
    <t xml:space="preserve">000006 VIR EUROPEEN EMIS NETGEST POUR: VALISGARY Assurance maladie 23 06 BQ 5010500124 CPT 00033468263 REF: 3883895603603</t>
  </si>
  <si>
    <t xml:space="preserve">PRELEVEMENT EUROPEEN 9300447751 DE: NUMERICABLE SA ID: FR11ZZZ400876 MOTIF: Votre abonnement mobile: 06XXXXX212</t>
  </si>
  <si>
    <t xml:space="preserve">Honda 31/03</t>
  </si>
  <si>
    <t xml:space="preserve">Edenred 02/06</t>
  </si>
  <si>
    <t xml:space="preserve">Nvidia 5/6</t>
  </si>
  <si>
    <t xml:space="preserve">OK</t>
  </si>
  <si>
    <t xml:space="preserve">#Balance</t>
  </si>
  <si>
    <t xml:space="preserve">000006 VIR EUROPEEN EMIS NETGEST POUR: ZALY Montvallon 31 07 BQ 5000800124 CPT JALEMERIS REF: 6234932374550</t>
  </si>
  <si>
    <t xml:space="preserve">CARTE X4419 14/07 L AGORA PISCINES 880499600660258OPRF</t>
  </si>
  <si>
    <t xml:space="preserve">CARTE X4419 27/06 EASY CASH 180968906677046OPRF</t>
  </si>
  <si>
    <t xml:space="preserve">CARTE X4419 04/07 SAS EC SAINT VALMONT2 520245700402343OPRF</t>
  </si>
  <si>
    <t xml:space="preserve">CARTE X4419 22/07 E MARCADIS 880110608799239OPRF</t>
  </si>
  <si>
    <t xml:space="preserve">CARTE X4419 19/07 E MARCADIS 990980900508265OPRF</t>
  </si>
  <si>
    <t xml:space="preserve">CARTE X4419 15/07 E MARCADIS 990466808893942OPRF</t>
  </si>
  <si>
    <t xml:space="preserve">CARTE X4419 09/07 SALEC 950914705725285OPRF</t>
  </si>
  <si>
    <t xml:space="preserve">CARTE X4419 01/07 E MARCADIS 910419309567286OPRF</t>
  </si>
  <si>
    <t xml:space="preserve">CARTE X4419 12/07 E MARCADIS 150475200934546OPRF</t>
  </si>
  <si>
    <t xml:space="preserve">CARTE X4419 07/07 E MARCADIS 790388806510713OPRF</t>
  </si>
  <si>
    <t xml:space="preserve">CARTE X4419 09/07 EUROPLAC 860353506572589OPRF</t>
  </si>
  <si>
    <t xml:space="preserve">CARTE X4419 14/07 MAISON DU ELECTRIS 190951100584748OPRF</t>
  </si>
  <si>
    <t xml:space="preserve">CARTE X4419 05/07 SOBRIS 240819900297848OPRF</t>
  </si>
  <si>
    <t xml:space="preserve">CARTE X4417 05/07 HARARVALEC -MEROU COMMERCE ELECTRONIQUE 990874809965639OPRF</t>
  </si>
  <si>
    <t xml:space="preserve">CARTE X4419 20/07 VIDAL SYLVE 430120601602028OPRF</t>
  </si>
  <si>
    <t xml:space="preserve">CARTE X4419 28/06 E MARCADIS 880326508301875OPRF</t>
  </si>
  <si>
    <t xml:space="preserve">CARTE X4417 08/07 ORBILINK INTERNET 8,02 EUR IRLANDE COMMERCE ELECTRONIQUE 740718000649145OPRF</t>
  </si>
  <si>
    <t xml:space="preserve">CARTE X4419 04/07 SALACAROU LUX 670816208776154OPRF</t>
  </si>
  <si>
    <t xml:space="preserve">CARTE X4419 22/07 MAISON DU ELECTRIS 410720706246148OPRF</t>
  </si>
  <si>
    <t xml:space="preserve">CARTE X4419 07/07 E MARCADIS 910556905170824OPRF</t>
  </si>
  <si>
    <t xml:space="preserve">CARTE X4419 18/07 MAISON DU ELECTRIS 680650500014258OPRF</t>
  </si>
  <si>
    <t xml:space="preserve">CARTE X4419 18/07 MARCADIS 410110001291676OPRF</t>
  </si>
  <si>
    <t xml:space="preserve">CARTE X4419 16/07 MAISON DU ELECTRIS 130161408097019OPRF</t>
  </si>
  <si>
    <t xml:space="preserve">CARTE X4419 04/07 Action 4542 770725709153945OPRF</t>
  </si>
  <si>
    <t xml:space="preserve">CARTE X4419 27/06 PHARMACIE MERCIER 850195400776248OPRF</t>
  </si>
  <si>
    <t xml:space="preserve">CARTE X4417 19/07 CANAL PLUS FR COMMERCE ELECTRONIQUE 210830202165741OPRF</t>
  </si>
  <si>
    <t xml:space="preserve">CARTE X4419 27/06 EASY CASH 620165805460845OPRF</t>
  </si>
  <si>
    <t xml:space="preserve">CARTE X4419 22/07 BOUCHERIE DELUZALAN 360890800773842OPRF</t>
  </si>
  <si>
    <t xml:space="preserve">CARTE X4417 15/07 CANAL PLUS FR COMMERCE ELECTRONIQUE 760929906524008OPRF</t>
  </si>
  <si>
    <t xml:space="preserve">CARTE X4417 12/07 CANAL PLUS FR COMMERCE ELECTRONIQUE 850798100475512OPRF</t>
  </si>
  <si>
    <t xml:space="preserve">CARTE X4419 15/07 TY DELIS 430775207766661OPRF</t>
  </si>
  <si>
    <t xml:space="preserve">CARTE X4417 26/06 HELP.STREAMO.TV COMMERCE ELECTRONIQUE 910437507201580OPRF</t>
  </si>
  <si>
    <t xml:space="preserve">CARTE X4419 11/07 BORNES SORTIES 360857108325313OPRF</t>
  </si>
  <si>
    <t xml:space="preserve">CARTE X4419 01/07 E MARCADIS 120722604367403OPRF</t>
  </si>
  <si>
    <t xml:space="preserve">CARTE X4417 08/07 PARK NANTUEL CHU 320952005851165OPRF</t>
  </si>
  <si>
    <t xml:space="preserve">CARTE X4419 09/07 ZMD NANTUEL CHU 860554100055475OPRF</t>
  </si>
  <si>
    <t xml:space="preserve">CARTE X4419 05/07 MARCHE AUX CARIN 430583202450512OPRF</t>
  </si>
  <si>
    <t xml:space="preserve">PRELEVEMENT EUROPEEN 6636579520 DE: ENGIE clients particuliers ID: FR11ZZZ200249 MOTIF: MOREL JULIEN</t>
  </si>
  <si>
    <t xml:space="preserve">PRELEVEMENT EUROPEEN 5507168706 DE: NUMERICABLE SA-NUMERICABLE ID: FR11ZZZ400876 MOTIF: Votre abonnement mobile: 06XXXXX211</t>
  </si>
  <si>
    <t xml:space="preserve">PRELEVEMENT EUROPEEN 7907183370 DE: SUEZ ID: FR11ZZZ700812 MOTIF: Y 961366438231 98 1172557152</t>
  </si>
  <si>
    <t xml:space="preserve">PRELEVEMENT EUROPEEN 2704555768 DE: NUMERICABLE SA ID: FR11ZZZ400876 MOTIF: Votre abonnement mobile: 06XXXXX212</t>
  </si>
  <si>
    <t xml:space="preserve">PRELEVEMENT EUROPEEN 0884756770 POUR CPTE DE:D.G.F.I.P. IMPOT 58032 ID: FR11ZZZ300127 MOTIF: 660660902897612930 111</t>
  </si>
  <si>
    <t xml:space="preserve">PRELEVEMENT EUROPEEN 0164129415 POUR CPTE DE:D.G.F.I.P. IMPOT 58032 ID: FR11ZZZ300127 MOTIF: 660660902897612930 111</t>
  </si>
  <si>
    <t xml:space="preserve">PRELEVEMENT EUROPEEN 0207941289 POUR CPTE DE:D.G.F.I.P. IMPOT 88042 ID: FR11ZZZ300127 MOTIF: 310140648846701094 111</t>
  </si>
  <si>
    <t xml:space="preserve">PRELEVEMENT EUROPEEN 6588911827 DE: GENERALI I A R D GENERALI I A R D ID: FR11ZZZ600698 MOTIF: 133SALISDELENLAMAN PQ7</t>
  </si>
  <si>
    <t xml:space="preserve">PRELEVEMENT EUROPEEN 0152425923 POUR CPTE DE:D.G.F.I.P. IMPOT PAS ID: FR11ZZZ300127 MOTIF: PRELEVEMENT A LA SOURCE REVENUS 202</t>
  </si>
  <si>
    <t xml:space="preserve">PRELEVEMENT EUROPEEN 0905916284 DE: NUMERICABLE SA ID: FR11ZZZ400876 MOTIF: Votre abonnement fibre (facture: XX</t>
  </si>
  <si>
    <t xml:space="preserve">PRELEVEMENT EUROPEEN 0897716661 DE: SCALEWAY SAS ID: FR11ZZZ800773 MOTIF: payment for order 894540405</t>
  </si>
  <si>
    <t xml:space="preserve">PRELEVEMENT EUROPEEN 0204111363 DE: MAAF CNO Production-mutualis ID: FR11ZZZ600341 MOTIF: -PRELEV 0820063051 00684407127</t>
  </si>
  <si>
    <t xml:space="preserve">VIR RECU 0675443772S DE: MUTUALITE SOCIALE AGRICOLE D'AUBE DE FR ANCE MOTIF: CV22/07 MTRFLKQPBNVXS</t>
  </si>
  <si>
    <t xml:space="preserve">VIR RECU 0958997481S DE: CNAVTS MOTIF: ASSURANCE RETRAITE REF: 11836772 MOREL 0625</t>
  </si>
  <si>
    <t xml:space="preserve">PRELEVEMENT EUROPEEN 0613442754 DE: GENERALI I A R D GENERALI I A R D ID: FR11ZZZ600698 MOTIF: 140ZALISALENVALON PQ7</t>
  </si>
  <si>
    <t xml:space="preserve">PRELEVEMENT EUROPEEN 0468874655 DE: ENGIE clients particuliers ID: FR11ZZZ200249 MOTIF: MOREL JULIEN</t>
  </si>
  <si>
    <t xml:space="preserve">PRELEVEMENT EUROPEEN 0461724592 DE: NUMERICABLE SA ID: FR11ZZZ400876 MOTIF: Votre abonnement mobile: 06XXXXX210</t>
  </si>
  <si>
    <t xml:space="preserve">REGULARISATION DE COMMISSION COTISATION ANNUELLE CARTE</t>
  </si>
  <si>
    <t xml:space="preserve">000006 VIR EUROPEEN EMIS NETGEST POUR: ZALY Montvallon 07 07 BQ 5000800124 CPT JALEMERIS REF: 9511206472527</t>
  </si>
  <si>
    <t xml:space="preserve">VIR RECU 0852496882S DE: MME OU M SANDRINE DUHAMEL MOTIF: REMBOURSEMENT PRET 70K REF: Remboursement pr t 70k</t>
  </si>
  <si>
    <t xml:space="preserve">v551</t>
  </si>
  <si>
    <t xml:space="preserve">VIR RECU 0983486516S DE: MME OU M SANDRINE DUHAMEL MOTIF: REMBOURSEMENT PR T REF: remboursement pr t</t>
  </si>
  <si>
    <t xml:space="preserve">v552</t>
  </si>
  <si>
    <t xml:space="preserve">COMMISSION OFFRE ALYSEE Période du 01/04/2025 au 30/06/2025</t>
  </si>
  <si>
    <t xml:space="preserve">Ericsson</t>
  </si>
  <si>
    <t xml:space="preserve">COUPONS REMY COINTREAU</t>
  </si>
  <si>
    <t xml:space="preserve">VIR RECU 4952479955S DE: CA ASSURANCES RETRAITE DE: 991G MOTIF: UBE RETRAITE RENTE VIAGERE ARTICLE</t>
  </si>
  <si>
    <t xml:space="preserve">VIR RECU 2314802654S DE: ALLIANCE PRO. AGIRC-ARRCO APICIL MOTIF: ALLIANCE PRO. AGIRC-ARRCO APICIL RE F : 7985870200000007/490301817000 M</t>
  </si>
  <si>
    <t xml:space="preserve">VIR RECU 8628595931S DE: KLESIA RETRAITE AGIRC ARRCO FT MOTIF: AUDIENS KLESIA AGIRC-ARRCO REF : 00000000000022474875/48030611 BALOUBALARD/</t>
  </si>
  <si>
    <t xml:space="preserve">VIR RECU 6834002995S DE: KLESIA RETRAITE AGIRC ARRCO FT MOTIF: AUDIENS KLESIA AGIRC-ARRCO REF : 00000000000022474875/48030611 BALOUBALARD/</t>
  </si>
  <si>
    <t xml:space="preserve">PRELEVEMENT EUROPEEN 1301343990 DE: NUMERICABLE SA ID: FR11ZZZ400876 MOTIF: Votre abonnement fibre (facture: XX</t>
  </si>
  <si>
    <t xml:space="preserve">VIR RECU 6692046718S DE: CPAM DES VALMONT MOTIF: 218220009410040979460 01 REF: 218220009410040979460 01</t>
  </si>
  <si>
    <t xml:space="preserve">PRELEVEMENT EUROPEEN 2203034822 DE: MAAF CNO Production-mutualis ID: FR11ZZZ600341 MOTIF: -PRELEV 0155073051 00684407127</t>
  </si>
  <si>
    <t xml:space="preserve">VIR RECU 3338391155S DE: CNAVTS MOTIF: ASSURANCE RETRAITE REF: 11836772 MOREL 0725</t>
  </si>
  <si>
    <t xml:space="preserve">VIR RECU 3332893152S DE: MUTUALITE SOCIALE AGRICOLE D'AUBE DE FR ANCE MOTIF: CLOEKORUX/08 MTRFLKQPBNVXS</t>
  </si>
  <si>
    <t xml:space="preserve">PRELEVEMENT EUROPEEN 6421731036 DE: SCALEWAY SAS ID: FR11ZZZ800773 MOTIF: payment for order 834763423</t>
  </si>
  <si>
    <t xml:space="preserve">PRELEVEMENT EUROPEEN 6806588136 DE: NUMERICABLE SA ID: FR11ZZZ400876 MOTIF: Votre abonnement mobile: 06XXXXX210</t>
  </si>
  <si>
    <t xml:space="preserve">PRELEVEMENT EUROPEEN 8446267051 DE: GENERALI I A R D GENERALI I A R D ID: FR11ZZZ600698 MOTIF: 192TAREJALOVALIL PQ7</t>
  </si>
  <si>
    <t xml:space="preserve">PRELEVEMENT EUROPEEN 5746469276 DE: ENGIE clients particuliers ID: FR11ZZZ200249 MOTIF: MOREL JULIEN</t>
  </si>
  <si>
    <t xml:space="preserve">VIR RECU 6749874235S DE: MME OU M SANDRINE DUHAMEL MOTIF: REMBOURSEMENT PRET 70K REF: Remboursement pr t 70k</t>
  </si>
  <si>
    <t xml:space="preserve">v553</t>
  </si>
  <si>
    <t xml:space="preserve">VIR RECU 8926081817S DE: MME OU M SANDRINE DUHAMEL MOTIF: REMBOURSEMENT PR T REF: remboursement pr t</t>
  </si>
  <si>
    <t xml:space="preserve">v554</t>
  </si>
  <si>
    <t xml:space="preserve">000006 VIR INSTANTANE EMIS NETGEST POUR: DelelBalard 01 09 BQ DELINHARON CPT 00060867485 DATE: 01/09/2025 17:26 </t>
  </si>
  <si>
    <t xml:space="preserve">VIR RECU    7921843461S DE: ALLIANCE PRO. AGIRC-ARRCO APICIL MOTIF: ALLIANCE PRO. AGIRC-ARRCO APICIL RE F : 7985870200000007/740404178697 M </t>
  </si>
  <si>
    <t xml:space="preserve">VIR RECU    7054042562S DE: KLESIA RETRAITE AGIRC ARRCO FT MOTIF: AUDIENS KLESIA AGIRC-ARRCO REF : 00000000000022474875/97080398 CARENZALOT/ </t>
  </si>
  <si>
    <t xml:space="preserve">VIR RECU    9019304682S DE: KLESIA RETRAITE AGIRC ARRCO FT MOTIF: AUDIENS KLESIA AGIRC-ARRCO REF : 00000000000022474875/97080398 CARENZALOT/ </t>
  </si>
  <si>
    <t xml:space="preserve">CARTE X4419 25/08 PALAC MONT PONEY 830481504787845OPRF   </t>
  </si>
  <si>
    <t xml:space="preserve">CARTE X4419 23/08 PRIMARCMARKET 730615609625457OPRF   </t>
  </si>
  <si>
    <t xml:space="preserve">CARTE X4419 26/07 E MARCADIS 210160304082675OPRF   </t>
  </si>
  <si>
    <t xml:space="preserve">CARTE X4419 02/08 EASY CASH NANTUEL 930274105687009OPRF   </t>
  </si>
  <si>
    <t xml:space="preserve">CARTE X4419 29/07 E MARCADIS 560686207903809OPRF   </t>
  </si>
  <si>
    <t xml:space="preserve">CARTE X4419 13/08 E MARCADIS 680887508716587OPRF   </t>
  </si>
  <si>
    <t xml:space="preserve">CARTE X4419 25/08 DECATHLON 0818 702465597034990OPRF   </t>
  </si>
  <si>
    <t xml:space="preserve">CARTE X4419 05/08 E MARCADIS 440451502408346OPRF   </t>
  </si>
  <si>
    <t xml:space="preserve">CARTE X4419 16/08 SOBRIS 280643000125979OPRF   </t>
  </si>
  <si>
    <t xml:space="preserve">CARTE X4419 01/08 SOBRIS 420779204634795OPRF   </t>
  </si>
  <si>
    <t xml:space="preserve">CARTE X4419 18/08 E MARCADIS 230912401921812OPRF   </t>
  </si>
  <si>
    <t xml:space="preserve">CARTE X4417 08/08 ORBILINK INTERNET 8,02 EUR IRLANDE COMMERCE ELECTRONIQUE 890537800541460OPRF </t>
  </si>
  <si>
    <t xml:space="preserve">CARTE X4419 06/08 E MARCADIS 770213104769060OPRF   </t>
  </si>
  <si>
    <t xml:space="preserve">CARTE X4419 27/07 AU BON PANIER RINUN 790850106403086OPRF   </t>
  </si>
  <si>
    <t xml:space="preserve">CARTE X4419 29/07 L IDEE CHOCOLAT 130513805125423OPRF   </t>
  </si>
  <si>
    <t xml:space="preserve">CARTE X4419 27/07 VIDAL SYLVE 860410601228135OPRF   </t>
  </si>
  <si>
    <t xml:space="preserve">CARTE X4419 26/08 PALAC MONT PONEY 160639404092139OPRF   </t>
  </si>
  <si>
    <t xml:space="preserve">CARTE X4417 21/08 VALY COMMERCE ELECTRONIQUE 990449603385087OPRF  </t>
  </si>
  <si>
    <t xml:space="preserve">CARTE X4419 05/08 E MARCADIS 990416707806261OPRF   </t>
  </si>
  <si>
    <t xml:space="preserve">CARTE X4417 14/08 AMAZON MEDIA EU COMMERCE ELECTRONIQUE 580668101171389OPRF  </t>
  </si>
  <si>
    <t xml:space="preserve">CARTE X4419 29/07 ZETTLE  *DELACARAN DE HARONLAMIL 410392200386657OPRF   </t>
  </si>
  <si>
    <t xml:space="preserve">CARTE X4419 29/07 ZETTLE  *DELACARAN DE HARONLAMIL 860338800774112OPRF   </t>
  </si>
  <si>
    <t xml:space="preserve">CARTE X4419 29/07 ZETTLE  *AU COEUR DES EPI 340986300474160OPRF   </t>
  </si>
  <si>
    <t xml:space="preserve">CARTE X4419 12/08 SARL VALENRINOU 710429107422250OPRF   </t>
  </si>
  <si>
    <t xml:space="preserve">CARTE X4419 29/07 BERGERIE HAROU 250317508908714OPRF   </t>
  </si>
  <si>
    <t xml:space="preserve">CARTE X4419 08/08 VEROU BALIL 704481028966170OPRF   </t>
  </si>
  <si>
    <t xml:space="preserve">CARTE X4419 29/07 M ZALISCARIN 330413909834660OPRF   </t>
  </si>
  <si>
    <t xml:space="preserve">CARTE X4419 26/08 PHARMACIE DELAUNE 450147200210821OPRF   </t>
  </si>
  <si>
    <t xml:space="preserve">CARTE X4417 26/08 HELP.STREAMO.TV COMMERCE ELECTRONIQUE 160953908563520OPRF  </t>
  </si>
  <si>
    <t xml:space="preserve">CARTE X4417 26/07 HELP.STREAMO.TV COMMERCE ELECTRONIQUE 870950407834782OPRF  </t>
  </si>
  <si>
    <t xml:space="preserve">CARTE X4419 01/08 PHARMACIE MERCIER 860444600511832OPRF   </t>
  </si>
  <si>
    <t xml:space="preserve">CARTE X4419 08/08 ZIM 990766700405882OPRF   </t>
  </si>
  <si>
    <t xml:space="preserve">CARTE X4417 14/08 AMAZON MEDIA EU COMMERCE ELECTRONIQUE 390649902696281OPRF  </t>
  </si>
  <si>
    <t xml:space="preserve">CARTE X4419 02/08 ZIM 490548103954701OPRF   </t>
  </si>
  <si>
    <t xml:space="preserve">CARTE X4419 12/08 RINUHAROT 710738704964757OPRF   </t>
  </si>
  <si>
    <t xml:space="preserve">CARTE X4419 05/08 BOULANGERIE RININVEREL 510611707253367OPRF   </t>
  </si>
  <si>
    <t xml:space="preserve">PRELEVEMENT EUROPEEN 3307687399 DE: NUMERICABLE SA-NUMERICABLE ID: FR11ZZZ400876 MOTIF: Votre abonnement mobile: 06XXXXX211 </t>
  </si>
  <si>
    <t xml:space="preserve">PRELEVEMENT EUROPEEN 6107941979 DE: ENGIE clients particuliers ID: FR11ZZZ200249 MOTIF: MOREL                JULIEN </t>
  </si>
  <si>
    <t xml:space="preserve">PRELEVEMENT EUROPEEN 4905958150 DE: SUEZ ID: FR11ZZZ700812 MOTIF: Y 918133117107 98 1172557152 </t>
  </si>
  <si>
    <t xml:space="preserve">VIR RECU    3180524126S DE: GENERALI I A R D GENERALI I A R D MOTIF: GENERALI 10590889823995268 REF: FRB5 360824008366806 </t>
  </si>
  <si>
    <t xml:space="preserve">PRELEVEMENT EUROPEEN 3210379894 POUR CPTE DE:D.G.F.I.P. IMPOT 58032 ID: FR11ZZZ300127 MOTIF: 660660902897612930 111 </t>
  </si>
  <si>
    <t xml:space="preserve">PRELEVEMENT EUROPEEN 4840344803 POUR CPTE DE:D.G.F.I.P. IMPOT 58032 ID: FR11ZZZ300127 MOTIF: 660660902897612930 111 </t>
  </si>
  <si>
    <t xml:space="preserve">PRELEVEMENT EUROPEEN 1502326358 POUR CPTE DE:D.G.F.I.P. IMPOT 88042 ID: FR11ZZZ300127 MOTIF: 310140648846701094 111 </t>
  </si>
  <si>
    <t xml:space="preserve">PRELEVEMENT EUROPEEN 3106118683 DE: GENERALI I A R D GENERALI I A R D ID: FR11ZZZ600698 MOTIF: 167GAREHARAVALET                PQ7 </t>
  </si>
  <si>
    <t xml:space="preserve">PRELEVEMENT EUROPEEN 2304789025 POUR CPTE DE:D.G.F.I.P. IMPOT PAS ID: FR11ZZZ300127 MOTIF: PRELEVEMENT A LA SOURCE REVENUS 202 </t>
  </si>
  <si>
    <t xml:space="preserve">PRELEVEMENT EUROPEEN 5802510007 DE: NUMERICABLE SA ID: FR11ZZZ400876 MOTIF: Votre abonnement mobile: 06XXXXX212 </t>
  </si>
  <si>
    <t xml:space="preserve">v641</t>
  </si>
  <si>
    <t xml:space="preserve">xmr128</t>
  </si>
  <si>
    <t xml:space="preserve">PRELEVEMENT EUROPEEN 2002684783 DE: NUMERICABLE SA ID: FR11ZZZ400876 MOTIF: Votre abonnement fibre (facture: XX</t>
  </si>
  <si>
    <t xml:space="preserve">PRELEVEMENT EUROPEEN 9808823871 DE: MAAF CNO Production-mutualis ID: FR11ZZZ600341 MOTIF: -PRELEV 0710083051 00684407127</t>
  </si>
  <si>
    <t xml:space="preserve">VIR RECU 2218859100S DE: CNAVTS MOTIF: ASSURANCE RETRAITE REF: 11836772 MOREL 0825</t>
  </si>
  <si>
    <t xml:space="preserve">VIR RECU 8025890139S DE: MUTUALITE SOCIALE AGRICOLE D'AUBE DE FR ANCE MOTIF: CV22/09 MTRFLKQPBNVXS</t>
  </si>
  <si>
    <t xml:space="preserve">PRELEVEMENT EUROPEEN 2504093129 DE: SCALEWAY SAS ID: FR11ZZZ800773 MOTIF: payment for order 334378911</t>
  </si>
  <si>
    <t xml:space="preserve">PRELEVEMENT EUROPEEN 8134875041 DE: GENERALI I A R D GENERALI I A R D ID: FR11ZZZ600698 MOTIF: 103CLOARTARARJALAN PQ7</t>
  </si>
  <si>
    <t xml:space="preserve">PRELEVEMENT EUROPEEN 7456086510 DE: ENGIE clients particuliers ID: FR11ZZZ200249 MOTIF: MOREL JULIEN</t>
  </si>
  <si>
    <t xml:space="preserve">PRELEVEMENT EUROPEEN 7960438074 DE: NUMERICABLE SA ID: FR11ZZZ400876 MOTIF: Votre abonnement mobile: 06XXXXX210</t>
  </si>
  <si>
    <t xml:space="preserve">VIR RECU 4391355420S DE: MME OU M SANDRINE DUHAMEL MOTIF: REMBOURSEMENT PRET 70K REF: Remboursement pr t 70k</t>
  </si>
  <si>
    <t xml:space="preserve">v555</t>
  </si>
  <si>
    <t xml:space="preserve">000006 VIR EUROPEEN EMIS NETGEST POUR: Kraken REF: 7975920145651 CHEZ: DELOUDELIER</t>
  </si>
  <si>
    <t xml:space="preserve">v649</t>
  </si>
  <si>
    <t xml:space="preserve">VIR RECU 7316079219S DE: MME OU M SANDRINE DUHAMEL MOTIF: REMBOURSEMENT PR T REF: remboursement pr t</t>
  </si>
  <si>
    <t xml:space="preserve">v556</t>
  </si>
  <si>
    <t xml:space="preserve">000006 VIR EUROPEEN EMIS NETGEST POUR: Wise REF: 9897456807376 CHEZ: TARINVALAN</t>
  </si>
  <si>
    <t xml:space="preserve">000006 VIR EUROPEEN EMIS NETGEST POUR: GLX AG REF: 7168178309809 CHEZ: VLDNCHXX</t>
  </si>
  <si>
    <t xml:space="preserve">VIR RECU 4444038550S DE: CA ASSURANCES RETRAITE DE: 991H MOTIF: UBE RETRAITE RENTE VIAGERE ARTICLE</t>
  </si>
  <si>
    <t xml:space="preserve">Dépôt EUR</t>
  </si>
  <si>
    <t xml:space="preserve">PRELEVEMENT EUROPEEN 2705499117 DE: NUMERICABLE SA ID: FR11ZZZ400876 MOTIF: Votre abonnement mobile: 06XXXXX212</t>
  </si>
  <si>
    <t xml:space="preserve">COTISATION ANNUELLE CARTE Visa X4419</t>
  </si>
  <si>
    <t xml:space="preserve">PRELEVEMENT EUROPEEN 6043054216 POUR CPTE DE:D.G.F.I.P. IMPOT 58032 ID: FR11ZZZ300127 MOTIF: 660660902897612930 111</t>
  </si>
  <si>
    <t xml:space="preserve">PRELEVEMENT EUROPEEN 1014097260 POUR CPTE DE:D.G.F.I.P. IMPOT 58032 ID: FR11ZZZ300127 MOTIF: 660660902897612930 111</t>
  </si>
  <si>
    <t xml:space="preserve">PRELEVEMENT EUROPEEN 9893172011 POUR CPTE DE:D.G.F.I.P. IMPOT PAS ID: FR11ZZZ300127 MOTIF: PRELEVEMENT A LA SOURCE REVENUS 202</t>
  </si>
  <si>
    <t xml:space="preserve">PRELEVEMENT EUROPEEN 2005276814 POUR CPTE DE:D.G.F.I.P. IMPOT 88042 ID: FR11ZZZ300127 MOTIF: 310140648846701094 111</t>
  </si>
  <si>
    <t xml:space="preserve">PRELEVEMENT EUROPEEN 6405224100 DE: GENERALI I A R D GENERALI I A R D ID: FR11ZZZ600698 MOTIF: 131BRIENMEROUBALIL PQ7</t>
  </si>
  <si>
    <t xml:space="preserve">Or 750/1000 0.214 G PENDENTIF TRIANGLE + OZ</t>
  </si>
  <si>
    <t xml:space="preserve">orjo10</t>
  </si>
  <si>
    <t xml:space="preserve">OR 750/1000 0.203 G BAGUE PIERRE BLEU</t>
  </si>
  <si>
    <t xml:space="preserve">0.191 GR BAGUE POISSON PLAQUE OR</t>
  </si>
  <si>
    <t xml:space="preserve">OR 750/1000 1,321 G BRACELET AVEC HARELZALAY MAILLE 750/1000</t>
  </si>
  <si>
    <t xml:space="preserve">v650</t>
  </si>
  <si>
    <t xml:space="preserve">Achat BTC</t>
  </si>
  <si>
    <t xml:space="preserve">btc38</t>
  </si>
  <si>
    <t xml:space="preserve">MR OU MME JULIEN MOREL</t>
  </si>
  <si>
    <t xml:space="preserve">v660</t>
  </si>
  <si>
    <t xml:space="preserve">v661</t>
  </si>
  <si>
    <t xml:space="preserve">usd5</t>
  </si>
  <si>
    <t xml:space="preserve">Dépôt 180.12 EUR balokoroc</t>
  </si>
  <si>
    <t xml:space="preserve">Frais de conversion de dépôt -</t>
  </si>
  <si>
    <t xml:space="preserve">Position ouverte BTC/USD</t>
  </si>
  <si>
    <t xml:space="preserve">t13</t>
  </si>
  <si>
    <t xml:space="preserve">Commission À l'ouverture</t>
  </si>
  <si>
    <t xml:space="preserve">PRELEVEMENT EUROPEEN 3001747000 POUR CPTE DE:VALIER IMPOT 088042 ID: FR11ZZZ300127 MOTIF: SOLDE IMPOT REVENUS 2024 N DE KORUX</t>
  </si>
  <si>
    <t xml:space="preserve">000006 VIR INSTANTANE EMIS NETGEST POUR: eToro 24 09 BQ JALONCARAS CPT 00000078372 DATE: 24/09/2025 12:16</t>
  </si>
  <si>
    <t xml:space="preserve">000006 VIR INSTANTANE EMIS NETGEST POUR: eToro 24 09 BQ JALONCARAS CPT 00000078372 DATE: 24/09/2025 12:14</t>
  </si>
  <si>
    <t xml:space="preserve">VIR RECU 1334940901S DE: GLX AG (ct) MOTIF: Tarard Tarinpalard 33432 Merisbalard garismerot n tarejalais delekoroc verendelac Norarcarot In</t>
  </si>
  <si>
    <t xml:space="preserve">xmr121</t>
  </si>
  <si>
    <t xml:space="preserve">Frais GLX cloarbalil</t>
  </si>
  <si>
    <t xml:space="preserve">000006 VIR EUROPEEN EMIS NETGEST POUR: GLX AG REF: 8178261060216 CHEZ: VLDNCHXX</t>
  </si>
  <si>
    <t xml:space="preserve">000006 VIR EUROPEEN EMIS NETGEST POUR: Kraken REF: 3392154019903 MOTIF: Vir Kraken KORONKORIS GARARBALAY ZALONVALOT JALISRINOC</t>
  </si>
  <si>
    <t xml:space="preserve">VIR RECU 0875075639S DE: CA ASSURANCES RETRAITE DE: 991G MOTIF: UBE RETRAITE RENTE VIAGERE ARTICLE</t>
  </si>
  <si>
    <t xml:space="preserve">CARTE X4419 18/09 EASY CASH 510167900387316OPRF</t>
  </si>
  <si>
    <t xml:space="preserve">CARTE X4419 06/09 9 PL ST LOUIS 330939700619383OPRF</t>
  </si>
  <si>
    <t xml:space="preserve">CARTE X4419 04/09 JALENPALARD BRIOC 890127900097307OPRF</t>
  </si>
  <si>
    <t xml:space="preserve">CARTE X4419 04/09 Lamenmeray 270323905417431OPRF</t>
  </si>
  <si>
    <t xml:space="preserve">CARTE X4419 09/09 E MARCADIS 280926509677592OPRF</t>
  </si>
  <si>
    <t xml:space="preserve">CARTE X4419 20/09 E MARCADIS 590382800543548OPRF</t>
  </si>
  <si>
    <t xml:space="preserve">CARTE X4419 30/08 PRIMARCMARKET 520746307535563OPRF</t>
  </si>
  <si>
    <t xml:space="preserve">CARTE X4419 18/09 SA VALMONTAISE DE DIS 910757200859892OPRF</t>
  </si>
  <si>
    <t xml:space="preserve">CARTE X4419 22/09 E MARCADIS 420267208373658OPRF</t>
  </si>
  <si>
    <t xml:space="preserve">CARTE X4419 12/09 SOBRIS 920713250700198OPRF</t>
  </si>
  <si>
    <t xml:space="preserve">CARTE X4417 08/09 ORBILINK INTERNET 8,02 EUR IRLANDE COMMERCE ELECTRONIQUE 620551400206138OPRF</t>
  </si>
  <si>
    <t xml:space="preserve">CARTE X4419 20/09 E MARCADIS 240917500814160OPRF</t>
  </si>
  <si>
    <t xml:space="preserve">CARTE X4419 20/09 E MARCADIS 110911900934951OPRF</t>
  </si>
  <si>
    <t xml:space="preserve">CARTE X4419 27/08 TARISVALIER DELAUNE 980225002860115OPRF</t>
  </si>
  <si>
    <t xml:space="preserve">CARTE X4419 05/09 PRIMARC CITY 260525408803335OPRF</t>
  </si>
  <si>
    <t xml:space="preserve">CARTE X4419 15/09 SALEC 210428106466013OPRF</t>
  </si>
  <si>
    <t xml:space="preserve">CARTE X4419 27/08 PRIMARC CITY 190815008124408OPRF</t>
  </si>
  <si>
    <t xml:space="preserve">CARTE X4417 08/09 VALY COMMERCE ELECTRONIQUE 640868609523067OPRF</t>
  </si>
  <si>
    <t xml:space="preserve">CARTE X4419 07/09 PRIMARC CITY 570812608038029OPRF</t>
  </si>
  <si>
    <t xml:space="preserve">CARTE X4419 20/09 VEOLIA MERUX 059743987088 COMMERCE ELECTRONIQUE 270931603813805OPRF</t>
  </si>
  <si>
    <t xml:space="preserve">CARTE X4419 20/09 VEOLIA MERUX 059743987088 COMMERCE ELECTRONIQUE 570484309245104OPRF</t>
  </si>
  <si>
    <t xml:space="preserve">CARTE X4417 06/09 ZALOBALINZALEGARAIS COMMERCE ELECTRONIQUE 840618406902710OPRF</t>
  </si>
  <si>
    <t xml:space="preserve">CARTE X4419 03/09 RINARRINORINOT 280819709624999OPRF</t>
  </si>
  <si>
    <t xml:space="preserve">CARTE X4419 03/09 RINARRINORINOT 880131701422558OPRF</t>
  </si>
  <si>
    <t xml:space="preserve">CARTE X4419 15/09 EASY CASH NANTUEL 460872404219076OPRF</t>
  </si>
  <si>
    <t xml:space="preserve">CARTE X4419 29/08 PRIMARC CITY 980255608275548OPRF</t>
  </si>
  <si>
    <t xml:space="preserve">CARTE X4419 27/08 PHARMACIE DELAUNE 390653000053996OPRF</t>
  </si>
  <si>
    <t xml:space="preserve">CARTE X4419 29/08 BELLE EPOQUE 460747401244301OPRF</t>
  </si>
  <si>
    <t xml:space="preserve">CARTE X4419 20/09 VEOLIA MERUX 061372294414 COMMERCE ELECTRONIQUE 830679701571876OPRF</t>
  </si>
  <si>
    <t xml:space="preserve">CARTE X4419 20/09 VEOLIA MERUX 061372294414 COMMERCE ELECTRONIQUE 760126901615920OPRF</t>
  </si>
  <si>
    <t xml:space="preserve">CARTE X4419 02/09 FLUTE ENCHANTEE 402962945916880OPRF</t>
  </si>
  <si>
    <t xml:space="preserve">CARTE X4419 02/09 BALUN 490945203242607OPRF</t>
  </si>
  <si>
    <t xml:space="preserve">CARTE X4419 27/08 BELLE EPOQUE 540334000242910OPRF</t>
  </si>
  <si>
    <t xml:space="preserve">CARTE X4419 05/09 BELLE EPOQUE 720224908187441OPRF</t>
  </si>
  <si>
    <t xml:space="preserve">CARTE X4417 06/09 BALOUMERIN BALUFERAIS COMMERCE ELECTRONIQUE 420215505158577OPRF</t>
  </si>
  <si>
    <t xml:space="preserve">CARTE X4419 17/09 ZIM 130194605723130OPRF</t>
  </si>
  <si>
    <t xml:space="preserve">CARTE X4419 07/09 BELLE EPOQUE 770911403604138OPRF</t>
  </si>
  <si>
    <t xml:space="preserve">CARTE X4417 27/08 SCALEWAY SAS COMMERCE ELECTRONIQUE 350788004067166OPRF</t>
  </si>
  <si>
    <t xml:space="preserve">VIR RECU 0277364291S DE: ALLIANCE PRO. AGIRC-ARRCO APICIL MOTIF: ALLIANCE PRO. AGIRC-ARRCO APICIL RE F : 7985870200000007/482004178697 M</t>
  </si>
  <si>
    <t xml:space="preserve">VIR RECU 9587110656S DE: KLESIA RETRAITE AGIRC ARRCO FT MOTIF: AUDIENS KLESIA AGIRC-ARRCO REF : 00000000000022474875/33100398 GARUKOREC/</t>
  </si>
  <si>
    <t xml:space="preserve">VIR RECU 3179243385S DE: KLESIA RETRAITE AGIRC ARRCO FT MOTIF: AUDIENS KLESIA AGIRC-ARRCO REF : 00000000000022474875/33100398 GARUKOREC/</t>
  </si>
  <si>
    <t xml:space="preserve">PRELEVEMENT EUROPEEN 1408465935 DE: ENGIE clients particuliers ID: FR11ZZZ200249 MOTIF: MOREL JULIEN</t>
  </si>
  <si>
    <t xml:space="preserve">PRELEVEMENT EUROPEEN 2601590329 DE: NUMERICABLE SA-NUMERICABLE ID: FR11ZZZ400876 MOTIF: Votre abonnement mobile: 06XXXXX211</t>
  </si>
  <si>
    <t xml:space="preserve">PRELEVEMENT EUROPEEN 3109139023 DE: SUEZ ID: FR11ZZZ700812 MOTIF: Y 261126835910 98 1172557152</t>
  </si>
  <si>
    <t xml:space="preserve">Rome taxi x2</t>
  </si>
  <si>
    <t xml:space="preserve">Fendage bois</t>
  </si>
  <si>
    <t xml:space="preserve">DAB</t>
  </si>
  <si>
    <t xml:space="preserve">v603</t>
  </si>
  <si>
    <t xml:space="preserve">VIR RECU 0453274675S DE: CNAVTS MOTIF: ASSURANCE RETRAITE REF: 11836772 MOREL 0925</t>
  </si>
  <si>
    <t xml:space="preserve">VIR RECU 0432144626S DE: MUTUALITE SOCIALE AGRICOLE D'AUBE DE FR ANCE MOTIF: CV22/10 MTRFLKQPBNVXS</t>
  </si>
  <si>
    <t xml:space="preserve">COMMISSION OFFRE ALYSEE Période du 01/07/2025 au 30/09/2025</t>
  </si>
  <si>
    <t xml:space="preserve">CARTE X4417 RETRAIT DAB 06/10 10LAMOUKORUX SALENTARARRINY 1 32276 610236000138569OPRF</t>
  </si>
  <si>
    <t xml:space="preserve">PRELEVEMENT EUROPEEN 0107178688 DE: GENERALI I A R D GENERALI I A R D ID: FR11ZZZ600698 MOTIF: 110ZALARCLOENCLOUX PQ7</t>
  </si>
  <si>
    <t xml:space="preserve">PRELEVEMENT EUROPEEN 0630619050 DE: ENGIE clients particuliers ID: FR11ZZZ200249 MOTIF: MOREL JULIEN</t>
  </si>
  <si>
    <t xml:space="preserve">PRELEVEMENT EUROPEEN 0604930498 DE: NUMERICABLE SA ID: FR11ZZZ400876 MOTIF: Votre abonnement mobile: 06XXXXX210</t>
  </si>
  <si>
    <t xml:space="preserve">PRELEVEMENT EUROPEEN 0630841444 DE: SCALEWAY SAS ID: FR11ZZZ800773 MOTIF: payment for order 518567595</t>
  </si>
  <si>
    <t xml:space="preserve">VIR RECU 0293282864S DE: MME OU M SANDRINE DUHAMEL MOTIF: REMBOURSEMENT PRET 70K REF: Remboursement pr t 70k</t>
  </si>
  <si>
    <t xml:space="preserve">v69</t>
  </si>
  <si>
    <t xml:space="preserve">VIR RECU 0629123795S DE: MME OU M SANDRINE DUHAMEL MOTIF: REMBOURSEMENT PR T REF: remboursement pr t</t>
  </si>
  <si>
    <t xml:space="preserve">v70</t>
  </si>
  <si>
    <t xml:space="preserve">Créance</t>
  </si>
  <si>
    <t xml:space="preserve">ViteCash NANTUEL TAROURINOT 3.786G BRACELET PIERRES MULTICOLORES</t>
  </si>
  <si>
    <t xml:space="preserve">ag4</t>
  </si>
  <si>
    <t xml:space="preserve">Vitecash NANTUEL OR 750/1000 0.626 G BAGUE PIERRE ROUGE</t>
  </si>
  <si>
    <t xml:space="preserve">orjo12</t>
  </si>
  <si>
    <t xml:space="preserve">OR 750/1000 1,028G COLLIER MAILLE ALTERNE</t>
  </si>
  <si>
    <t xml:space="preserve">orjo11</t>
  </si>
  <si>
    <t xml:space="preserve">Incoming transfer</t>
  </si>
  <si>
    <t xml:space="preserve">xmr122</t>
  </si>
  <si>
    <t xml:space="preserve">000006 VIR EUROPEEN EMIS NETGEST POUR: GLX AG REF: 1841569073559 CHEZ: VLDNCHXX</t>
  </si>
  <si>
    <t xml:space="preserve">PRELEVEMENT EUROPEEN 0329565196 POUR CPTE DE:D.G.F.I.P. IMPOT PAS ID: FR11ZZZ300127 MOTIF: PRELEVEMENT A LA SOURCE REVENUS 202</t>
  </si>
  <si>
    <t xml:space="preserve">PRELEVEMENT EUROPEEN 0201258600 POUR CPTE DE:D.G.F.I.P. IMPOT 88042 ID: FR11ZZZ300127 MOTIF: 310140648846701094 111</t>
  </si>
  <si>
    <t xml:space="preserve">PRELEVEMENT EUROPEEN 6900115437 DE: GENERALI I A R D GENERALI I A R D ID: FR11ZZZ600698 MOTIF: 184LAMONNORUFERAC PQ7</t>
  </si>
  <si>
    <t xml:space="preserve">CARTE X4419 RETRAIT DAB 14/10 09RINIJALUX SALENTARARRINY 2 28286 670544100798796OPRF</t>
  </si>
  <si>
    <t xml:space="preserve">v620</t>
  </si>
  <si>
    <t xml:space="preserve">PRELEVEMENT EUROPEEN 0108953458 DE: NUMERICABLE SA ID: FR11ZZZ400876 MOTIF: Votre abonnement fibre (facture: XX</t>
  </si>
  <si>
    <t xml:space="preserve">PRELEVEMENT EUROPEEN 0949012053 DE: MAAF CNO Production-mutualis ID: FR11ZZZ600341 MOTIF: -PRELEV 0110203051 00684407127</t>
  </si>
  <si>
    <t xml:space="preserve">v663</t>
  </si>
  <si>
    <t xml:space="preserve">btc39</t>
  </si>
  <si>
    <t xml:space="preserve">Nettoyage toiture et murs</t>
  </si>
  <si>
    <t xml:space="preserve">VIR Virement depuis Livret Bourso+</t>
  </si>
  <si>
    <t xml:space="preserve">v72</t>
  </si>
  <si>
    <t xml:space="preserve">VIR Virement depuis Compte principal</t>
  </si>
  <si>
    <t xml:space="preserve">v73</t>
  </si>
  <si>
    <t xml:space="preserve">ACHAT COMPTANT SAVENCIA</t>
  </si>
  <si>
    <t xml:space="preserve">t14</t>
  </si>
  <si>
    <t xml:space="preserve">ACHAT COMPTANT REPSOL</t>
  </si>
  <si>
    <t xml:space="preserve">t15</t>
  </si>
  <si>
    <t xml:space="preserve">ACHAT COMPTANT ALSTOM DELONHARIL</t>
  </si>
  <si>
    <t xml:space="preserve">t16</t>
  </si>
  <si>
    <t xml:space="preserve">200,33 EUR convertis en 2 179,79 SEK</t>
  </si>
  <si>
    <t xml:space="preserve">sek1</t>
  </si>
  <si>
    <t xml:space="preserve">Relevé Compte Wise SEK</t>
  </si>
  <si>
    <t xml:space="preserve">v81</t>
  </si>
  <si>
    <t xml:space="preserve">Argent envoyé à Julien Morel</t>
  </si>
  <si>
    <t xml:space="preserve">v76</t>
  </si>
  <si>
    <t xml:space="preserve">v82</t>
  </si>
  <si>
    <t xml:space="preserve">btc40</t>
  </si>
  <si>
    <t xml:space="preserve">Received from merebalurinelbalisbriais</t>
  </si>
  <si>
    <t xml:space="preserve">v83</t>
  </si>
  <si>
    <t xml:space="preserve">v77</t>
  </si>
  <si>
    <t xml:space="preserve">v703</t>
  </si>
  <si>
    <t xml:space="preserve">btc41</t>
  </si>
  <si>
    <t xml:space="preserve">000006 VIR EUROPEEN EMIS   NETGEST POUR: Kraken REF: 5480645802613 CHEZ: DELOUDELIER </t>
  </si>
  <si>
    <t xml:space="preserve">v651</t>
  </si>
  <si>
    <t xml:space="preserve">CARTE X4419 14/10 EASY CASH 350817500229035OPRF   </t>
  </si>
  <si>
    <t xml:space="preserve">CARTE X4419 11/10 EASY CASH NANTUEL 190717203787183OPRF   </t>
  </si>
  <si>
    <t xml:space="preserve">#Facture</t>
  </si>
  <si>
    <t xml:space="preserve">détail facture</t>
  </si>
  <si>
    <t xml:space="preserve">CARTE X4419 18/10 PRIMARCMARKET 580686500424872OPRF   </t>
  </si>
  <si>
    <t xml:space="preserve">CARTE X4419 25/10 PRIMARCMARKET 660680006685638OPRF   </t>
  </si>
  <si>
    <t xml:space="preserve">CARTE X4419 04/10 E MARCADIS 290462100754441OPRF   </t>
  </si>
  <si>
    <t xml:space="preserve">CARTE X4419 30/09 GARISSALAIS 228 DELUX 18,04 EUR ITALIE 410922600220348OPRF  </t>
  </si>
  <si>
    <t xml:space="preserve">CARTE X4417 04/10 BORNES SORTIES 910124304195434OPRF   </t>
  </si>
  <si>
    <t xml:space="preserve">CARTE X4419 06/10 SA VALMONTAISE DE DIS 620647005167691OPRF   </t>
  </si>
  <si>
    <t xml:space="preserve">CARTE X4419 01/10 CLOISDELIER BOUTIQUE 12,02 EUR ITALIE 810375408821924OPRF  </t>
  </si>
  <si>
    <t xml:space="preserve">CARTE X4419 18/10 JALEC 720555704691388OPRF   </t>
  </si>
  <si>
    <t xml:space="preserve">CARTE X4419 03/10 LAMELKORAN JALENVERAC NOROTARIL FERONORAIS 9,93 EUR ITALIE 620699705534913OPRF  </t>
  </si>
  <si>
    <t xml:space="preserve">CARTE X4419 18/10 JALEC 310243708165426OPRF   </t>
  </si>
  <si>
    <t xml:space="preserve">CARTE X4419 03/10 SALEVERIS GARISSALAIS DELUX 9,57 EUR ITALIE 870822101963017OPRF  </t>
  </si>
  <si>
    <t xml:space="preserve">CARTE X4419 02/10 KORONRINAHARON VERIDELUN 4 9,44 EUR ITALIE 770754407565736OPRF  </t>
  </si>
  <si>
    <t xml:space="preserve">CARTE X4419 03/10 PALISLAMAIS 7202 9,10 EUR ITALIE 460877108345181OPRF  </t>
  </si>
  <si>
    <t xml:space="preserve">CARTE X4419 08/10 E MARCADIS 130982202314166OPRF   </t>
  </si>
  <si>
    <t xml:space="preserve">CARTE X4417 08/10 ORBILINK INTERNET 8,02 EUR IRLANDE COMMERCE ELECTRONIQUE 720633700175958OPRF </t>
  </si>
  <si>
    <t xml:space="preserve">CARTE X4419 14/10 SA VALMONTAISE DE DIS 230689405897927OPRF   </t>
  </si>
  <si>
    <t xml:space="preserve">CARTE X4419 30/09 Ferubriil palirinin 5,98 EUR ITALIE 110845503076842OPRF  </t>
  </si>
  <si>
    <t xml:space="preserve">CARTE X4419 17/10 AUTOROUTIS MERUN 540211402617965OPRF   </t>
  </si>
  <si>
    <t xml:space="preserve">CARTE X4419 27/09 E MARCADIS 660887104561978OPRF   </t>
  </si>
  <si>
    <t xml:space="preserve">CARTE X4419 21/10 TARISVALIER DELAUNE 340759908394379OPRF   </t>
  </si>
  <si>
    <t xml:space="preserve">CARTE X4419 14/10 BRIENJALIN 940325500688179OPRF   </t>
  </si>
  <si>
    <t xml:space="preserve">CARTE X4419 22/10 TARISVALIER DELAUNE 410845109446979OPRF   </t>
  </si>
  <si>
    <t xml:space="preserve">CARTE X4419 02/10 GARISSALAIS 228 3,00 EUR ITALIE 140296802409560OPRF  </t>
  </si>
  <si>
    <t xml:space="preserve">CARTE X4419 03/10 PALISLAMAIS 7202 2,92 EUR ITALIE 490299407558638OPRF  </t>
  </si>
  <si>
    <t xml:space="preserve">CARTE X4419 20/10 PRIMARC CITY 590351102137097OPRF   </t>
  </si>
  <si>
    <t xml:space="preserve">CARTE X4419 21/10 PRIMARC CITY 840349403841396OPRF   </t>
  </si>
  <si>
    <t xml:space="preserve">CARTE X4419 21/10 BELLE EPOQUE 920128200782075OPRF   </t>
  </si>
  <si>
    <t xml:space="preserve">CARTE X4419 15/10 PHARMACIE MERCIER 850492407011842OPRF   </t>
  </si>
  <si>
    <t xml:space="preserve">CARTE X4419 23/10 PRIMARC CITY 520215208339413OPRF   </t>
  </si>
  <si>
    <t xml:space="preserve">CARTE X4419 30/09 CLOOKORAY 1,98 EUR ITALIE 240879708563962OPRF  </t>
  </si>
  <si>
    <t xml:space="preserve">CARTE X4419 15/10 ZIM 920383107992061OPRF   </t>
  </si>
  <si>
    <t xml:space="preserve">CARTE X4419 14/10 EASY CASH 360352602041629OPRF   </t>
  </si>
  <si>
    <t xml:space="preserve">CARTE X4417 26/10 HELP.STREAMO.TV COMMERCE ELECTRONIQUE 310430009416281OPRF  </t>
  </si>
  <si>
    <t xml:space="preserve">CARTE X4417 26/09 HELP.STREAMO.TV COMMERCE ELECTRONIQUE 190312003596333OPRF  </t>
  </si>
  <si>
    <t xml:space="preserve">CARTE X4419 22/10 BELLE EPOQUE 710283100838997OPRF   </t>
  </si>
  <si>
    <t xml:space="preserve">CARTE X4419 02/10 SALARHARET VERARLAMAY IMPERIAL 0,90 EUR ITALIE 230259300929364OPRF  </t>
  </si>
  <si>
    <t xml:space="preserve">CARTE X4419 14/10 REVEILLE 250259200701503OPRF   </t>
  </si>
  <si>
    <t xml:space="preserve">CARTE X4417 02/10 AMAZON MEDIA EU COMMERCE ELECTRONIQUE 560692306083831OPRF  </t>
  </si>
  <si>
    <t xml:space="preserve">CARTE X4419 17/10 PARK NANTUEL CHU 230849300673974OPRF   </t>
  </si>
  <si>
    <t xml:space="preserve">CARTE X4419 06/10 ZMD NANTUEL CHU 930966800048150OPRF   </t>
  </si>
  <si>
    <t xml:space="preserve">CARTE X4419 02/10 CLOENSALUX VERARLAMAY RINIFERY 0,30 EUR ITALIE 560917900742089OPRF  </t>
  </si>
  <si>
    <t xml:space="preserve">VIR FERAS RE 190146133730 DE: JULIEN MOREL DE: Julien MOREL DATE: 29/10/2025 11:17 </t>
  </si>
  <si>
    <t xml:space="preserve">000006 VIR EUROPEEN EMIS   NETGEST POUR: Binance julien morel 28 10 BQ 3327204629 CPT 63971230796 REF: 7210810996721 </t>
  </si>
  <si>
    <t xml:space="preserve">000006 VIR INSTANTANE EMIS NETGEST POUR: Binance julien morel 28 10 BQ MERUVALOU CPT 63971230796 DATE: 28/10/2025 16:18 </t>
  </si>
  <si>
    <t xml:space="preserve">PRELEVEMENT EUROPEEN 9730827973 DE: ENGIE clients particuliers ID: FR11ZZZ200249 MOTIF: MOREL                JULIEN </t>
  </si>
  <si>
    <t xml:space="preserve">PRELEVEMENT EUROPEEN 1102267323 POUR CPTE DE:VALIER IMPOT 088042 ID: FR11ZZZ300127 MOTIF: SOLDE IMPOT REVENUS 2024 N DE KORUX </t>
  </si>
  <si>
    <t xml:space="preserve">PRELEVEMENT EUROPEEN 5301324854 DE: NUMERICABLE SA-NUMERICABLE ID: FR11ZZZ400876 MOTIF: Votre abonnement mobile: 06XXXXX211 </t>
  </si>
  <si>
    <t xml:space="preserve">PRELEVEMENT EUROPEEN 2207781196 DE: NUMERICABLE SA ID: FR11ZZZ400876 MOTIF: Votre abonnement mobile: 06XXXXX212 </t>
  </si>
  <si>
    <t xml:space="preserve">000006 VIR EUROPEEN EMIS   NETGEST POUR: Kraken REF: 4228861887921 CHEZ: DELOUDELIER </t>
  </si>
  <si>
    <t xml:space="preserve">PRELEVEMENT EUROPEEN 0138171462 POUR CPTE DE:D.G.F.I.P. IMPOT 58032 ID: FR11ZZZ300127 MOTIF: 660660902897612930 111 </t>
  </si>
  <si>
    <t xml:space="preserve">PRELEVEMENT EUROPEEN 0634125923 POUR CPTE DE:D.G.F.I.P. IMPOT 58032 ID: FR11ZZZ300127 MOTIF: 660660902897612930 111 </t>
  </si>
  <si>
    <t xml:space="preserve">btc42</t>
  </si>
  <si>
    <t xml:space="preserve">PRELEVEMENT EUROPEEN 5580007305 POUR CPTE DE:D.G.F.I.P. IMPOT PAS ID: FR11ZZZ300127 MOTIF: PRELEVEMENT A LA SOURCE REVENUS 202 </t>
  </si>
  <si>
    <t xml:space="preserve">PRELEVEMENT EUROPEEN 4802816780 DE: GENERALI I A R D GENERALI I A R D ID: FR11ZZZ600698 MOTIF: 149RINARCARABRIAIS                PQ7 </t>
  </si>
  <si>
    <t xml:space="preserve">PRELEVEMENT EUROPEEN 1310157132 POUR CPTE DE:D.G.F.I.P. IMPOT 88042 ID: FR11ZZZ300127 MOTIF: 310140648846701094 111 </t>
  </si>
  <si>
    <t xml:space="preserve">PRELEVEMENT EUROPEEN 6804232243 DE: NUMERICABLE SA ID: FR11ZZZ400876 MOTIF: Votre abonnement fibre (facture: XX </t>
  </si>
  <si>
    <t xml:space="preserve">VIR RECU    3953546836S DE: GENERALI I A R D GENERALI I A R D MOTIF: GENERALI 30117440823995268 REF: FRB5 551460002653306 </t>
  </si>
  <si>
    <t xml:space="preserve">CARTE X4419 REMBT 12/11 SA VALMONTAISE DE 930273705038983MERARBALOC   </t>
  </si>
  <si>
    <t xml:space="preserve">VIR RECU    6460421185S DE: CPAM DES VALMONT MOTIF: 471480001643040979460 01 REF: 471480001643040979460 01 </t>
  </si>
  <si>
    <t xml:space="preserve">PRELEVEMENT EUROPEEN 2319007170 DE: MAAF CNO Production-mutualis ID: FR11ZZZ600341 MOTIF: -PRELEV 0260593051  00684407127 </t>
  </si>
  <si>
    <t xml:space="preserve">VIR RECU    3881068384S DE: MUTUALITE SOCIALE AGRICOLE D'AUBE DE FR ANCE MOTIF: BALISPALUN/11           MTRFLKQPBNVXS </t>
  </si>
  <si>
    <t xml:space="preserve">VIR RECU    9281342769S DE: GENERALI I A R D GENERALI I A R D MOTIF: GENERALI 30569504823995268 REF: FRB5 118901009902806 </t>
  </si>
  <si>
    <t xml:space="preserve">VIR RECU    4793419686S DE: CNAVTS MOTIF: ASSURANCE RETRAITE REF: 11836772      MOREL        1025 </t>
  </si>
  <si>
    <t xml:space="preserve">VIR RECU    8637768508S DE: MUTUALITE SOCIALE AGRICOLE D'AUBE DE FR ANCE MOTIF: MERY/11           MTRFLKQPBNVXS </t>
  </si>
  <si>
    <t xml:space="preserve">PRELEVEMENT EUROPEEN 7774459329 DE: NUMERICABLE SA ID: FR11ZZZ400876 MOTIF: Votre abonnement mobile: 06XXXXX210 </t>
  </si>
  <si>
    <t xml:space="preserve">PRELEVEMENT EUROPEEN 6401262179 DE: SCALEWAY SAS ID: FR11ZZZ800773 MOTIF: payment for order 865618063 </t>
  </si>
  <si>
    <t xml:space="preserve">PRELEVEMENT EUROPEEN 3863996211 DE: GENERALI I A R D GENERALI I A R D ID: FR11ZZZ600698 MOTIF: 188RINOUCARAHARON                PQ7 </t>
  </si>
  <si>
    <t xml:space="preserve">PRELEVEMENT EUROPEEN 7188106763 DE: ENGIE clients particuliers ID: FR11ZZZ200249 MOTIF: MOREL                JULIEN </t>
  </si>
  <si>
    <t xml:space="preserve">CARTE X4419 RETRAIT DAB 04/11 16RINISKORAY GARISBALOC SALILAMUN VAL D 06194BRIINRINOU 710480507648143OPRF  </t>
  </si>
  <si>
    <t xml:space="preserve">v621</t>
  </si>
  <si>
    <t xml:space="preserve">VIR RECU    4996167164S DE: MME OU M SANDRINE DUHAMEL MOTIF: REMBOURSEMENT PRET 70K REF: Remboursement pr t 70k </t>
  </si>
  <si>
    <t xml:space="preserve">v557</t>
  </si>
  <si>
    <t xml:space="preserve">VIR RECU    6336156903S DE: MME OU M SANDRINE DUHAMEL MOTIF: REMBOURSEMENT PR T REF: remboursement pr t </t>
  </si>
  <si>
    <t xml:space="preserve">v558</t>
  </si>
  <si>
    <t xml:space="preserve">VIR RECU    8616869589S DE: CA ASSURANCES RETRAITE DE: 991G MOTIF: UBE RETRAITE RENTE VIAGERE ARTICLE </t>
  </si>
  <si>
    <t xml:space="preserve">VIR RECU    5641277128S DE: ALLIANCE PRO. AGIRC-ARRCO APICIL MOTIF: ALLIANCE PRO. AGIRC-ARRCO APICIL RE F : 7985870200000007/992906178697 M </t>
  </si>
  <si>
    <t xml:space="preserve">VIR RECU    1561529168S DE: KLESIA RETRAITE AGIRC ARRCO FT MOTIF: AUDIENS KLESIA AGIRC-ARRCO REF : 00000000000022474875/12160598 ZALINTAROC/ </t>
  </si>
  <si>
    <t xml:space="preserve">VIR RECU    2624699441S DE: KLESIA RETRAITE AGIRC ARRCO FT MOTIF: AUDIENS KLESIA AGIRC-ARRCO REF : 00000000000022474875/12160598 ZALINTAROC/ </t>
  </si>
  <si>
    <t xml:space="preserve">VIR RECU    9190740278S DE: MUTUALITE SOCIALE AGRICOLE D'AUBE DE FR ANCE MOTIF: VALOPALIL/10           MTRFLKQPBNVXS </t>
  </si>
  <si>
    <t xml:space="preserve">PRELEVEMENT EUROPEEN 2409737802 DE: SUEZ ID: FR11ZZZ700812 MOTIF: Y 249849542066 98 1172557152 </t>
  </si>
  <si>
    <t xml:space="preserve">VIR RECU    6882472495S DE: M GUILLAUME DELONGARY DUHAMEL MOTIF: REMBOURSEMENT EMPRUNT ET INTERETS P HARAY INVESTISSEMENT BRIEBRIEC </t>
  </si>
  <si>
    <t xml:space="preserve">v654</t>
  </si>
  <si>
    <t xml:space="preserve">VIR RECU    5285235269S DE: GENERALI I A R D GENERALI I A R D MOTIF: MEROJALARD N  2024/2045714 REF: ZALINVEROC 252800466271006 </t>
  </si>
  <si>
    <t xml:space="preserve">PRELEVEMENT EUROPEEN 6808655357 DE: NUMERICABLE SA ID: FR11ZZZ400876 MOTIF: Votre abonnement mobile: 06XXXXX212 </t>
  </si>
  <si>
    <t xml:space="preserve">PRELEVEMENT EUROPEEN 2741330036 POUR CPTE DE:VALIER IMPOT 088042 ID: FR11ZZZ300127 MOTIF: SOLDE IMPOT REVENUS 2024 N DE KORUX</t>
  </si>
  <si>
    <t xml:space="preserve">VIR RECU    4990278788S DE: M GUILLAUME DELONGARY DUHAMEL MOTIF: SUITE BALELCLOY EMPRUNT REF: suite balelcloy emprunt </t>
  </si>
  <si>
    <t xml:space="preserve">v655</t>
  </si>
  <si>
    <t xml:space="preserve">Arbitrage - OST</t>
  </si>
  <si>
    <t xml:space="preserve">Intérêts crédités au cours de l'année 2024</t>
  </si>
  <si>
    <t xml:space="preserve">Participation aux bénéfices sur le(s) support(...</t>
  </si>
  <si>
    <t xml:space="preserve">Prélèvements sociaux</t>
  </si>
  <si>
    <t xml:space="preserve">Arbitrage Alysée</t>
  </si>
  <si>
    <t xml:space="preserve">VIR RECU    3676864131S DE: CA ASSURANCES RETRAITE DE: 991H MOTIF: UBE RETRAITE RENTE VIAGERE ARTICLE </t>
  </si>
  <si>
    <t xml:space="preserve">CARTE X4419 13/11 EASY CASH NANTUEL 170694106495448OPRF   </t>
  </si>
  <si>
    <t xml:space="preserve">orjo95</t>
  </si>
  <si>
    <t xml:space="preserve">CARTE X4419 04/11 DR VASSEUR 580940500052540OPRF   </t>
  </si>
  <si>
    <t xml:space="preserve">CARTE X4419 25/11 EASY CASH NANTUEL 140345007964897OPRF   </t>
  </si>
  <si>
    <t xml:space="preserve">orjo96</t>
  </si>
  <si>
    <t xml:space="preserve">CARTE X4419 28/10 ZALELSALIS 520350501964744OPRF   </t>
  </si>
  <si>
    <t xml:space="preserve">orjo97</t>
  </si>
  <si>
    <t xml:space="preserve">CARTE X4419 29/10 DR VASSEUR 310640500776216OPRF   </t>
  </si>
  <si>
    <t xml:space="preserve">CARTE X4417 17/11 PALINVALOC FERISHARONJALAY 43,31 EUR ETATS-UNIS D'ORME COMMERCE ELECTRONIQUE 220867506408038OPRF </t>
  </si>
  <si>
    <t xml:space="preserve">CARTE X4419 18/11 E MARCADIS 850352202437946OPRF   </t>
  </si>
  <si>
    <t xml:space="preserve">CARTE X4419 21/11 E MARCADIS 690677206157633OPRF   </t>
  </si>
  <si>
    <t xml:space="preserve">CARTE X4419 01/11 PRIMARCMARKET 190520105485174OPRF   </t>
  </si>
  <si>
    <t xml:space="preserve">CARTE X4419 30/10 TETE A L'ENVERS 670960906611440OPRF   </t>
  </si>
  <si>
    <t xml:space="preserve">CARTE X4419 25/11 RINUJALOUSALOMERIER 880685006245647OPRF   </t>
  </si>
  <si>
    <t xml:space="preserve">CARTE X4419 08/11 PRIMARCMARKET 310536909051303OPRF   </t>
  </si>
  <si>
    <t xml:space="preserve">CARTE X4419 12/11 SA VALMONTAISE DE DIS 480651400660104OPRF   </t>
  </si>
  <si>
    <t xml:space="preserve">CARTE X4419 13/11 EUROPLAC 120491909594736OPRF   </t>
  </si>
  <si>
    <t xml:space="preserve">CARTE X4419 08/11 MP*PRIMARC NORARCARUN VL 550452702121964OPRF   </t>
  </si>
  <si>
    <t xml:space="preserve">CARTE X4417 08/11 ORBILINK INTERNET 8,02 EUR IRLANDE COMMERCE ELECTRONIQUE 610843105752204OPRF </t>
  </si>
  <si>
    <t xml:space="preserve">CARTE X4419 05/11 REGIS 404462042176790OPRF   </t>
  </si>
  <si>
    <t xml:space="preserve">CARTE X4419 28/10 LE FURET DU NORD 604890445242170OPRF   </t>
  </si>
  <si>
    <t xml:space="preserve">CARTE X4419 11/11 AUTOROUTIS LA ROCHEFEUIL VI 240319108374080OPRF   </t>
  </si>
  <si>
    <t xml:space="preserve">CARTE X4419 06/11 TARINCAREC DOUBLES 920623808767365OPRF   </t>
  </si>
  <si>
    <t xml:space="preserve">CARTE X4419 28/10 5 CONTINENTS 490540900361638OPRF   </t>
  </si>
  <si>
    <t xml:space="preserve">CARTE X4419 05/11 TARINCAREC DOUBLES 460764003310630OPRF   </t>
  </si>
  <si>
    <t xml:space="preserve">CARTE X4419 06/11 FERARINEL PANIER DE PASS 610695402401228OPRF   </t>
  </si>
  <si>
    <t xml:space="preserve">CARTE X4419 04/11 TARISVALIER CLOOTAROU 880530104130623OPRF   </t>
  </si>
  <si>
    <t xml:space="preserve">CARTE X4419 04/11 SOC PARKING PALINMERAS 150310302731916OPRF   </t>
  </si>
  <si>
    <t xml:space="preserve">CARTE X4419 05/11 GR EPICERIE 16 180718007120602OPRF   </t>
  </si>
  <si>
    <t xml:space="preserve">CARTE X4419 06/11 BRIOC PRIMEUR 350611300527724OPRF   </t>
  </si>
  <si>
    <t xml:space="preserve">CARTE X4419 14/11 PHARMACIE MERCIER 860883100222632OPRF   </t>
  </si>
  <si>
    <t xml:space="preserve">CARTE X4419 12/11 EASY CASH 160179400561731OPRF   </t>
  </si>
  <si>
    <t xml:space="preserve">CARTE X4419 13/11 EUROPLAC 680252909763594OPRF   </t>
  </si>
  <si>
    <t xml:space="preserve">CARTE X4419 06/11 NOROU RJ 780714800283012OPRF   </t>
  </si>
  <si>
    <t xml:space="preserve">CARTE X4419 08/11 JALEC 410143504069917OPRF   </t>
  </si>
  <si>
    <t xml:space="preserve">CARTE X4417 26/11 HELP.STREAMO.TV COMMERCE ELECTRONIQUE 280626808438592OPRF  </t>
  </si>
  <si>
    <t xml:space="preserve">CARTE X4419 31/10 PHARMACIE DELAUNE 270170803980097OPRF   </t>
  </si>
  <si>
    <t xml:space="preserve">CARTE X4419 30/10 BELLE EPOQUE 130650800675338OPRF   </t>
  </si>
  <si>
    <t xml:space="preserve">CARTE X4419 04/11 PRIMARC CITY 950450507644255OPRF   </t>
  </si>
  <si>
    <t xml:space="preserve">CARTE X4417 29/10 6valurinel COMMERCE ELECTRONIQUE 580530905197768OPRF  </t>
  </si>
  <si>
    <t xml:space="preserve">CARTE X4419 25/11 ZIM 910661206738664OPRF   </t>
  </si>
  <si>
    <t xml:space="preserve">CARTE X4419 15/11 ZIM 270498908795674OPRF   </t>
  </si>
  <si>
    <t xml:space="preserve">CARTE X4419 28/10 FOURNIL CARARZALAIS 330120702838115OPRF   </t>
  </si>
  <si>
    <t xml:space="preserve">CARTE X4419 14/11 ZIM 550459200841849OPRF   </t>
  </si>
  <si>
    <t xml:space="preserve">CARTE X4419 05/11 AUX PAINS DE MAN 460955005237814OPRF   </t>
  </si>
  <si>
    <t xml:space="preserve">VIR RECU    4994042725S DE: ALLIANCE PRO. AGIRC-ARRCO APICIL MOTIF: ALLIANCE PRO. AGIRC-ARRCO APICIL RE F : 7985870200000007/957604178697 M </t>
  </si>
  <si>
    <t xml:space="preserve">VIR RECU    6123099020S DE: KLESIA RETRAITE AGIRC ARRCO FT MOTIF: AUDIENS KLESIA AGIRC-ARRCO REF : 00000000000022474875/23410398 RINOUVEROC/ </t>
  </si>
  <si>
    <t xml:space="preserve">VIR RECU    9279946159S DE: KLESIA RETRAITE AGIRC ARRCO FT MOTIF: AUDIENS KLESIA AGIRC-ARRCO REF : 00000000000022474875/23410398 RINOUVEROC/ </t>
  </si>
  <si>
    <t xml:space="preserve">PRELEVEMENT EUROPEEN 8305887379 DE: ENGIE clients particuliers ID: FR11ZZZ200249 MOTIF: MOREL                JULIEN </t>
  </si>
  <si>
    <t xml:space="preserve">PRELEVEMENT EUROPEEN 8208363247 DE: NUMERICABLE SA-NUMERICABLE ID: FR11ZZZ400876 MOTIF: Votre abonnement mobile: 06XXXXX211 </t>
  </si>
  <si>
    <t xml:space="preserve">Facture 4042918 – 190,02 EUR ViteCash Nantuel</t>
  </si>
  <si>
    <t xml:space="preserve">Or 750/1000 0,568G BAGUE OR JAUNE JALENTARIN</t>
  </si>
  <si>
    <t xml:space="preserve">Collier pendentif ornée d’un rubis et 9 saphirs traités taille cabochon Poinçon tête d’aigle Or 750 millième (18 CT) 0,785g</t>
  </si>
  <si>
    <t xml:space="preserve">Modification de placements du fonds HSBC EE ISR TRESORERIE E (1999,92€)</t>
  </si>
  <si>
    <t xml:space="preserve">Modification de placements du fonds HSBC EE ISR OBLIGATAIRE EURO ET SOLIDAIRE E (1397,19€)</t>
  </si>
  <si>
    <t xml:space="preserve">Modification de placements (3095,37€)</t>
  </si>
  <si>
    <t xml:space="preserve">Modification de placements (2922,54€)</t>
  </si>
  <si>
    <t xml:space="preserve">Modification de placements (2543,61€)</t>
  </si>
  <si>
    <t xml:space="preserve">Modification de placements (5161,29€)</t>
  </si>
  <si>
    <t xml:space="preserve">INVESTISSEMENT DE VOTRE INTERESSEMENT</t>
  </si>
  <si>
    <t xml:space="preserve">Modification de placements (3396,99€)</t>
  </si>
  <si>
    <t xml:space="preserve">VIR FERAS RE 699244888367 DE: JULIEN MOREL DE: Julien MOREL DATE: 02/12/2025 23:03 </t>
  </si>
  <si>
    <t xml:space="preserve">v505</t>
  </si>
  <si>
    <t xml:space="preserve">FRAIS PAIEMENT HORS ZONE EURO 43,31 EUR       A   2,70 % 1 PAIEMENT       A   0,20 EUR NT  </t>
  </si>
  <si>
    <t xml:space="preserve">COUPONS REPSOL</t>
  </si>
  <si>
    <t xml:space="preserve">PRELEVEMENT EUROPEEN 7613994408 DE: ENGIE clients particuliers ID: FR11ZZZ200249 MOTIF: MOREL                JULIEN </t>
  </si>
  <si>
    <t xml:space="preserve">PRELEVEMENT EUROPEEN 8561037836 DE: NUMERICABLE SA ID: FR11ZZZ400876 MOTIF: Votre abonnement mobile: 06XXXXX210 </t>
  </si>
  <si>
    <t xml:space="preserve">PRELEVEMENT EUROPEEN 2762330075 DE: GENERALI I A R D GENERALI I A R D ID: FR11ZZZ600698 MOTIF: 131VERIBRIOTARIL                PQ7 </t>
  </si>
  <si>
    <t xml:space="preserve">VIR RECU    5291800928S DE: MME OU M SANDRINE DUHAMEL MOTIF: REMBOURSEMENT PRET 70K REF: Remboursement pr t 70k </t>
  </si>
  <si>
    <t xml:space="preserve">v559</t>
  </si>
  <si>
    <t xml:space="preserve">PRELEVEMENT EUROPEEN 5260688785 DE: SCALEWAY SAS ID: FR11ZZZ800773 MOTIF: payment for order 383812356 </t>
  </si>
  <si>
    <t xml:space="preserve">VIR RECU    5627006806S DE: MME OU M SANDRINE DUHAMEL MOTIF: REMBOURSEMENT PR T REF: remboursement pr t </t>
  </si>
  <si>
    <t xml:space="preserve">v560</t>
  </si>
  <si>
    <t xml:space="preserve">VIR RECU    7099540675S DE: CNAVTS MOTIF: ASSURANCE RETRAITE REF: 11836772      MOREL        1125 </t>
  </si>
  <si>
    <t xml:space="preserve">VIR RECU    1534746349S DE: MUTUALITE SOCIALE AGRICOLE D'AUBE DE FR ANCE MOTIF: CV22/12           MTRFLKQPBNVXS </t>
  </si>
  <si>
    <t xml:space="preserve">PRELEVEMENT EUROPEEN 6001839657 DE: MAAF CNO Production-mutualis ID: FR11ZZZ600341 MOTIF: -PRELEV 0450913051  00684407127 </t>
  </si>
  <si>
    <t xml:space="preserve">PRELEVEMENT EUROPEEN 6003689928 DE: NUMERICABLE SA ID: FR11ZZZ400876 MOTIF: Votre abonnement fibre (facture: XX </t>
  </si>
  <si>
    <t xml:space="preserve">000006 VIR EUROPEEN EMIS   NETGEST POUR: ZALY Montvallon 11 12 BQ 5000800124 CPT JALEMERIS REF: 5983736935618 </t>
  </si>
  <si>
    <t xml:space="preserve">PRELEVEMENT EUROPEEN 9225165477 POUR CPTE DE:D.G.F.I.P. IMPOT PAS ID: FR11ZZZ300127 MOTIF: PRELEVEMENT A LA SOURCE REVENUS 202 </t>
  </si>
  <si>
    <t xml:space="preserve">PRELEVEMENT EUROPEEN 2505809934 DE: GENERALI I A R D GENERALI I A R D ID: FR11ZZZ600698 MOTIF: 179TARUVEROJALEL                PQ7 </t>
  </si>
  <si>
    <t xml:space="preserve">PRELEVEMENT EUROPEEN 9504423326 DE: NUMERICABLE SA ID: FR11ZZZ400876 MOTIF: Votre abonnement mobile: 06XXXXX212 </t>
  </si>
  <si>
    <t xml:space="preserve">PRELEVEMENT EUROPEEN 5844342514 POUR CPTE DE:D.G.F.I.P. IMPOT 58032 ID: FR11ZZZ300127 MOTIF: 660660902897612930 111 </t>
  </si>
  <si>
    <t xml:space="preserve">CARTE X4417 RETRAIT DAB 14/12 17PALONBRIAN SALENTARARRINY 1 32276 530655000519119OPRF  </t>
  </si>
  <si>
    <t xml:space="preserve">v622</t>
  </si>
  <si>
    <t xml:space="preserve">Dividende KWEB/USD</t>
  </si>
  <si>
    <t xml:space="preserve">Relevé Compte Wise EUR</t>
  </si>
  <si>
    <t xml:space="preserve">Relevé Compte Wise USD</t>
  </si>
  <si>
    <t xml:space="preserve">Intérêts crédités au cours de l'année 2025</t>
  </si>
  <si>
    <t xml:space="preserve">VIR RECU    0451302825S DE: CA ASSURANCES RETRAITE DE: 991G MOTIF: UBE RETRAITE RENTE VIAGERE ARTICLE</t>
  </si>
  <si>
    <t xml:space="preserve">VIR RECU    0639520854S DE: GENERALI I A R D GENERALI I A R D MOTIF: GENERALI 40255811823995268 REF: FRB5 633297003723806</t>
  </si>
  <si>
    <t xml:space="preserve">VIR RECU    0968606048S DE: GENERALI I A R D GENERALI I A R D MOTIF: GENERALI 40884697823995268 REF: FRB5 548391009259906</t>
  </si>
  <si>
    <t xml:space="preserve">VIR RECU    0683910664S DE: ALLIANCE PRO. AGIRC-ARRCO APICIL MOTIF: ALLIANCE PRO. AGIRC-ARRCO APICIL RE F : 7985870200000007/420205178697 M</t>
  </si>
  <si>
    <t xml:space="preserve">VIR RECU    7198000363S DE: KLESIA RETRAITE AGIRC ARRCO FT MOTIF: AUDIENS KLESIA AGIRC-ARRCO REF : 00000000000022474875/54050498 VALON/</t>
  </si>
  <si>
    <t xml:space="preserve">VIR RECU    5331594262S DE: KLESIA RETRAITE AGIRC ARRCO FT MOTIF: AUDIENS KLESIA AGIRC-ARRCO REF : 00000000000022474875/54050498 VALON/</t>
  </si>
  <si>
    <t xml:space="preserve">FRAIS PAIEMENT HORS ZONE EURO CARTE X4417 15/12 12,48 EUR ETATS-UNIS D</t>
  </si>
  <si>
    <t xml:space="preserve">FRAIS PAIEMENT HORS ZONE EURO CARTE X4417 12/12 11,99 EUR ETATS-UNIS D</t>
  </si>
  <si>
    <t xml:space="preserve">FRAIS PAIEMENT HORS ZONE EURO CARTE X4417 14/12 4,80 EUR ETATS-UNIS D</t>
  </si>
  <si>
    <t xml:space="preserve">FRAIS PAIEMENT HORS ZONE EURO CARTE X4417 11/12 3,61 EUR ETATS-UNIS D</t>
  </si>
  <si>
    <t xml:space="preserve">FRAIS PAIEMENT HORS ZONE EURO CARTE X4417 15/12 2,63 EUR ETATS-UNIS D</t>
  </si>
  <si>
    <t xml:space="preserve">FRAIS PAIEMENT HORS ZONE EURO CARTE X4417 14/12 2,45 EUR ETATS-UNIS D</t>
  </si>
  <si>
    <t xml:space="preserve">CARTE X4419 06/12 EASY CASH 190758703423379OPRF</t>
  </si>
  <si>
    <t xml:space="preserve">514</t>
  </si>
  <si>
    <t xml:space="preserve">CARTE X4419 19/12 PRIMARCMARKET 630155109853996OPRF</t>
  </si>
  <si>
    <t xml:space="preserve">CARTE X4419 18/12 PALARJALAIS 380733205052158OPRF</t>
  </si>
  <si>
    <t xml:space="preserve">CARTE X4419 22/12 PRIMARCMARKET 550751306398125OPRF</t>
  </si>
  <si>
    <t xml:space="preserve">CARTE X4419 11/12 E MARCADIS 310372504934116OPRF</t>
  </si>
  <si>
    <t xml:space="preserve">CARTE X4419 02/12 E MARCADIS 980991908088184OPRF</t>
  </si>
  <si>
    <t xml:space="preserve">CARTE X4419 06/12 EUROPLAC 860523606068877OPRF</t>
  </si>
  <si>
    <t xml:space="preserve">CARTE X4419 22/12 DR VASSEUR 320661900830663OPRF</t>
  </si>
  <si>
    <t xml:space="preserve">CARTE X4419 11/12 E MARCADIS 340737805247332OPRF</t>
  </si>
  <si>
    <t xml:space="preserve">CARTE X4419 28/11 LA BOUTIQUE 620545708936152OPRF</t>
  </si>
  <si>
    <t xml:space="preserve">CARTE X4419 12/12 BALARZALAN COMMERCE ELECTRONIQUE 760163009959434OPRF</t>
  </si>
  <si>
    <t xml:space="preserve">CARTE X4419 27/11 E MARCADIS 410412609745684OPRF</t>
  </si>
  <si>
    <t xml:space="preserve">CARTE X4417 15/12 COGNIA 12,48 EUR ETATS-UNIS D'ORME COMMERCE ELECTRONIQUE 350187001897117OPRF</t>
  </si>
  <si>
    <t xml:space="preserve">CARTE X4417 12/12 COGNIA 11,99 EUR ETATS-UNIS D'ORME COMMERCE ELECTRONIQUE 410266708282780OPRF</t>
  </si>
  <si>
    <t xml:space="preserve">CARTE X4417 12/12 COGNIA 11,99 EUR ETATS-UNIS D'ORME COMMERCE ELECTRONIQUE 490136902689381OPRF</t>
  </si>
  <si>
    <t xml:space="preserve">CARTE X4419 06/12 ASSOCIATION ZALEVALAIS 860326601835419OPRF</t>
  </si>
  <si>
    <t xml:space="preserve">CARTE X4419 06/12 SALEC 310723307231568OPRF</t>
  </si>
  <si>
    <t xml:space="preserve">CARTE X4419 20/12 VERAC SARL 620797200016123OPRF</t>
  </si>
  <si>
    <t xml:space="preserve">CARTE X4417 08/12 ORBILINK INTERNET 8,02 EUR IRLANDE COMMERCE ELECTRONIQUE 710997800504441OPRF</t>
  </si>
  <si>
    <t xml:space="preserve">CARTE X4419 28/11 AFFAIRES ET NORINDELAS 140135700510617OPRF</t>
  </si>
  <si>
    <t xml:space="preserve">CARTE X4419 03/12 EUROPLAC 850588604620800OPRF</t>
  </si>
  <si>
    <t xml:space="preserve">CARTE X4419 07/12 ZETTLE  *HARUBRION KORIRINY 490284407015090OPRF</t>
  </si>
  <si>
    <t xml:space="preserve">CARTE X4419 17/12 AUTOROUTIS MERUN 340529908512590OPRF</t>
  </si>
  <si>
    <t xml:space="preserve">CARTE X4419 02/12 E MARCADIS 660384103043295OPRF</t>
  </si>
  <si>
    <t xml:space="preserve">CARTE X4419 28/11 MAISON COTIERE 540169907427281OPRF</t>
  </si>
  <si>
    <t xml:space="preserve">CARTE X4419 02/12 E MARCADIS 380439102037280OPRF</t>
  </si>
  <si>
    <t xml:space="preserve">CARTE X4417 14/12 COGNIA 4,80 EUR ETATS-UNIS D'ORME COMMERCE ELECTRONIQUE 750226205657695OPRF</t>
  </si>
  <si>
    <t xml:space="preserve">CARTE X4419 07/12 L IDEE CHOCOLAT 150757503418355OPRF</t>
  </si>
  <si>
    <t xml:space="preserve">CARTE X4419 27/11 E MARCADIS 330687209297972OPRF</t>
  </si>
  <si>
    <t xml:space="preserve">CARTE X4419 30/11 Zettle  *L abeille de l 630179305341841OPRF</t>
  </si>
  <si>
    <t xml:space="preserve">CARTE X4417 11/12 COGNIA 3,61 EUR ETATS-UNIS D'ORME COMMERCE ELECTRONIQUE 450697704128942OPRF</t>
  </si>
  <si>
    <t xml:space="preserve">CARTE X4419 30/11 L IDEE CHOCOLAT 380749102196381OPRF</t>
  </si>
  <si>
    <t xml:space="preserve">CARTE X4417 15/12 COGNIA 2,63 EUR ETATS-UNIS D'ORME COMMERCE ELECTRONIQUE 450489005491219OPRF</t>
  </si>
  <si>
    <t xml:space="preserve">CARTE X4417 14/12 COGNIA 2,45 EUR ETATS-UNIS D'ORME COMMERCE ELECTRONIQUE 450125107839299OPRF</t>
  </si>
  <si>
    <t xml:space="preserve">CARTE X4419 07/12 Zettle  *Au coeur des e 490927105563276OPRF</t>
  </si>
  <si>
    <t xml:space="preserve">CARTE X4419 30/11 Zettle  *Garoukorux 150279205386069OPRF</t>
  </si>
  <si>
    <t xml:space="preserve">CARTE X4419 07/12 Garonlamoc*Le Jardin des Lunes 440147506172304OPRF</t>
  </si>
  <si>
    <t xml:space="preserve">CARTE X4419 07/12 MIEL AURELLE 780754601838134OPRF</t>
  </si>
  <si>
    <t xml:space="preserve">CARTE X4419 20/12 BUREAU VALLEE 890457301771795OPRF</t>
  </si>
  <si>
    <t xml:space="preserve">CARTE X4419 07/12 TOUR DE MAINS 280639201461857OPRF</t>
  </si>
  <si>
    <t xml:space="preserve">CARTE X4419 20/12 BELLE EPOQUE 720756906627134OPRF</t>
  </si>
  <si>
    <t xml:space="preserve">CARTE X4419 06/12 FEUILLETTE 890893103228015OPRF</t>
  </si>
  <si>
    <t xml:space="preserve">CARTE X4417 22/12 PALiDelinkorou COMMERCE ELECTRONIQUE 590321801010268OPRF</t>
  </si>
  <si>
    <t xml:space="preserve">PRELEVEMENT EUROPEEN 1145274953 DE: ENGIE clients particuliers ID: FR11ZZZ200249 MOTIF: MOREL                JULIEN</t>
  </si>
  <si>
    <t xml:space="preserve">VIR RECU    7097808972S DE: CPAM DES VALMONT MOTIF: 392290004599 REF: 392290004599</t>
  </si>
  <si>
    <t xml:space="preserve">PRELEVEMENT EUROPEEN 8015464351 POUR CPTE DE:VALIER IMPOT 088042 ID: FR11ZZZ300127 MOTIF: SOLDE IMPOT REVENUS 2024 N DE KORUX</t>
  </si>
  <si>
    <t xml:space="preserve">PRELEVEMENT EUROPEEN 2903609919 DE: SUEZ ID: FR11ZZZ700812 MOTIF: Y 837705777697 98 1172557152</t>
  </si>
  <si>
    <t xml:space="preserve">PRELEVEMENT EUROPEEN 7209949916 DE: NUMERICABLE SA-NUMERICABLE ID: FR11ZZZ400876 MOTIF: Votre abonnement mobile: 06XXXXX211</t>
  </si>
  <si>
    <t xml:space="preserve">VIR RECU    6093790793S DE: MUTUALITE SOCIALE AGRICOLE D'AUBE DE FR ANCE MOTIF: BALELBRIY/12           MTRFLKQPBNVXS</t>
  </si>
  <si>
    <t xml:space="preserve">PRELEVEMENT SOCIAUX</t>
  </si>
  <si>
    <t xml:space="preserve">**PRELEVEMENTS FISCAUX</t>
  </si>
  <si>
    <t xml:space="preserve">*BRIABRIAC 31/12/25</t>
  </si>
  <si>
    <t xml:space="preserve">OR 750/1000 0,735G CHAINE TORSADEE</t>
  </si>
  <si>
    <t xml:space="preserve">Orjo</t>
  </si>
  <si>
    <t xml:space="preserve">INTERETS CREDITEURS</t>
  </si>
  <si>
    <t xml:space="preserve">000006 VIR EUROPEEN EMIS   NETGEST POUR: BoursoBank Portefeuille Julien 07 01 BQ 2058160149 CPT 00090560905 REF: 4100540935702</t>
  </si>
  <si>
    <t xml:space="preserve">v765</t>
  </si>
  <si>
    <t xml:space="preserve">PRELEVEMENT EUROPEEN 0699103566 DE: SCALEWAY SAS ID: FR11ZZZ800773 MOTIF: payment for order 828537294</t>
  </si>
  <si>
    <t xml:space="preserve">PRELEVEMENT EUROPEEN 0852189799 DE: GENERALI I A R D GENERALI I A R D ID: FR11ZZZ600698 MOTIF: 188FERARHARINVERAIS                PQ7</t>
  </si>
  <si>
    <t xml:space="preserve">PRELEVEMENT EUROPEEN 3563054210 DE: ENGIE clients particuliers ID: FR11ZZZ200249 MOTIF: MOREL                JULIEN</t>
  </si>
  <si>
    <t xml:space="preserve">PRELEVEMENT EUROPEEN 0661523936 DE: SCALEWAY SAS ID: FR11ZZZ800773 MOTIF: payment for order 252455409</t>
  </si>
  <si>
    <t xml:space="preserve">PRELEVEMENT EUROPEEN 1220447112 DE: NUMERICABLE SA ID: FR11ZZZ400876 MOTIF: Votre abonnement mobile: 06XXXXX210</t>
  </si>
  <si>
    <t xml:space="preserve">VIR RECU    0629115232S DE: MME OU M SANDRINE DUHAMEL MOTIF: REMBOURSEMENT PR T REF: remboursement pr t</t>
  </si>
  <si>
    <t xml:space="preserve">v515</t>
  </si>
  <si>
    <t xml:space="preserve">VIR RECU    0488263157S DE: MME OU M SANDRINE DUHAMEL MOTIF: REMBOURSEMENT PRET 70K REF: Remboursement pr t 70k</t>
  </si>
  <si>
    <t xml:space="preserve">v516</t>
  </si>
  <si>
    <t xml:space="preserve">COMMISSION OFFRE ALYSEE Période du 01/10/2025 au 31/12/2025</t>
  </si>
  <si>
    <t xml:space="preserve">PRELEVEMENT EUROPEEN 0611041799 POUR CPTE DE:D.G.F.I.P. IMPOT 88042 ID: FR11ZZZ300127 MOTIF: 310140648846701094 111</t>
  </si>
  <si>
    <t xml:space="preserve">PRELEVEMENT EUROPEEN 0943115734 POUR CPTE DE:D.G.F.I.P. IMPOT PAS ID: FR11ZZZ300127 MOTIF: PRELEVEMENT A LA SOURCE REVENUS 202</t>
  </si>
  <si>
    <t xml:space="preserve">PRELEVEMENT EUROPEEN 2902300627 DE: GENERALI I A R D GENERALI I A R D ID: FR11ZZZ600698 MOTIF: 129VERONCLOABRIAY                PQ7</t>
  </si>
  <si>
    <t xml:space="preserve">VIR RECU    2842775323S DE: VALIER FINANCES PUBLIQUES DE: D.G.F.I.P. 87 IMPOT MOTIF: AVANCE MERENCARY    111 81083500503</t>
  </si>
  <si>
    <t xml:space="preserve">000006 VIR EUROPEEN EMIS   NETGEST POUR: CARIL Finance 13 01 BQ 3985100006 CPT 87911299266 REF: 8302962462328</t>
  </si>
  <si>
    <t xml:space="preserve">xmr767</t>
  </si>
  <si>
    <t xml:space="preserve">PRELEVEMENT EUROPEEN 0407398741 DE: MAAF CNO Production-mutualis ID: FR11ZZZ600341 MOTIF: -PRELEV 0985035022  00684407127</t>
  </si>
  <si>
    <t xml:space="preserve">000006 VIR EUROPEEN EMIS   NETGEST POUR: BoursoBank Portefeuille Julien 12 01 BQ 2058160149 CPT 00090560905 REF: 4401214379234</t>
  </si>
  <si>
    <t xml:space="preserve">v766</t>
  </si>
  <si>
    <t xml:space="preserve">VIR RECU    0961130894S DE: CNAVTS MOTIF: ASSURANCE RETRAITE REF: 11836772      MOREL        1225</t>
  </si>
  <si>
    <t xml:space="preserve">VIR RECU    0146872028S DE: MUTUALITE SOCIALE AGRICOLE D'AUBE DE FR ANCE MOTIF: CV22/01           MTRFLKQPBNVXS</t>
  </si>
  <si>
    <t xml:space="preserve">ACHAT COMPTANT BOUYGUES(TARIL)</t>
  </si>
  <si>
    <t xml:space="preserve">v764</t>
  </si>
  <si>
    <t xml:space="preserve">COUPONS SAVENCIA</t>
  </si>
  <si>
    <t xml:space="preserve">Solde XMR</t>
  </si>
  <si>
    <t xml:space="preserve">Argent envoyé à Kraken</t>
  </si>
  <si>
    <t xml:space="preserve">PRELEVEMENT EUROPEEN 9209058952 DE: NUMERICABLE SA ID: FR11ZZZ400876 MOTIF: Votre abonnement mobile: 06XXXXX212</t>
  </si>
  <si>
    <t xml:space="preserve">PRELEVEMENT EUROPEEN 0669609167 POUR CPTE DE:D.G.F.I.P. IMPOT 58032 ID: FR11ZZZ300127 MOTIF: 660660902897612930 111</t>
  </si>
  <si>
    <t xml:space="preserve">PRELEVEMENT EUROPEEN 0695908436 POUR CPTE DE:D.G.F.I.P. IMPOT 58032 ID: FR11ZZZ300127 MOTIF: 660660902897612930 111</t>
  </si>
  <si>
    <t xml:space="preserve">PRELEVEMENT EUROPEEN 3381900580 DE: NUMERICABLE SA ID: FR11ZZZ400876 MOTIF: Votre abonnement fibre (facture: XX</t>
  </si>
  <si>
    <t xml:space="preserve">000006 VIR EUROPEEN EMIS   NETGEST POUR: DEGIRO Julien MOREL REF: 2606599074951 CHEZ: LAMOLAMAIS</t>
  </si>
  <si>
    <t xml:space="preserve">v769</t>
  </si>
  <si>
    <t xml:space="preserve">000006 VIR EUROPEEN EMIS   NETGEST POUR: Kraken REF: 4804289085700 CHEZ: DELOUDELIER</t>
  </si>
  <si>
    <t xml:space="preserve">v772</t>
  </si>
  <si>
    <t xml:space="preserve">000006 VIR EUROPEEN EMIS   NETGEST POUR: eToro 16 01 BQ 5058500006 CPT 00000078372 REF: 7806318085416</t>
  </si>
  <si>
    <t xml:space="preserve">v770</t>
  </si>
  <si>
    <t xml:space="preserve">Dépôt flatex</t>
  </si>
  <si>
    <t xml:space="preserve">Relevé Compte Kraken EUR</t>
  </si>
  <si>
    <t xml:space="preserve">000006 VIR EUROPEEN EMIS   NETGEST POUR: eToro 23 01 BQ 5058500006 CPT 00000078372 REF: 5607626016985</t>
  </si>
  <si>
    <t xml:space="preserve">v780</t>
  </si>
  <si>
    <t xml:space="preserve">000006 VIR EUROPEEN EMIS   NETGEST POUR: CARIL Finance 23 01 BQ 3985100006 CPT 87911299266 REF: 4306484069559</t>
  </si>
  <si>
    <t xml:space="preserve">xmr787</t>
  </si>
  <si>
    <t xml:space="preserve">VIR RECU    8677628844S DE: GENERALI I A R D GENERALI I A R D MOTIF: GENERALI 90970187823995268 REF: FRB5 790133006593806</t>
  </si>
  <si>
    <t xml:space="preserve">CHEVRON Achat 20 Chevron@19,30 USD (CLOARCLOONVERAY)</t>
  </si>
  <si>
    <t xml:space="preserve">t777</t>
  </si>
  <si>
    <t xml:space="preserve">CHEVRON Frais DEGIRO de courtage et/ou de parties tierces</t>
  </si>
  <si>
    <t xml:space="preserve">Transfer: EUR &gt; USD EUR</t>
  </si>
  <si>
    <t xml:space="preserve">usd781</t>
  </si>
  <si>
    <t xml:space="preserve">usd782</t>
  </si>
  <si>
    <t xml:space="preserve">Position ouverte COMT/USD</t>
  </si>
  <si>
    <t xml:space="preserve">t778</t>
  </si>
  <si>
    <t xml:space="preserve">t779</t>
  </si>
  <si>
    <t xml:space="preserve">Relevé solde</t>
  </si>
  <si>
    <t xml:space="preserve">ACHAT COMPTANT OLN SALONRINESALIZALOU</t>
  </si>
  <si>
    <t xml:space="preserve">t783</t>
  </si>
  <si>
    <t xml:space="preserve">ACHAT COMPTANT OLN FREEPORT MCMORAN</t>
  </si>
  <si>
    <t xml:space="preserve">t784</t>
  </si>
  <si>
    <t xml:space="preserve">CARTE X4419 REMBT 31/01 SA VALMONTAISE DE 620108600846798MERARBALOC</t>
  </si>
  <si>
    <t xml:space="preserve">VIR RECU    2257150410S DE: CA ASSURANCES RETRAITE DE: 991G MOTIF: UBE RETRAITE RENTE VIAGERE ARTICLE</t>
  </si>
  <si>
    <t xml:space="preserve">VIR RECU    1441256498S DE: ALLIANCE PRO. AGIRC-ARRCO APICIL MOTIF: ALLIANCE PRO. AGIRC-ARRCO APICIL RE F : 7985870200000007/220803226602 M</t>
  </si>
  <si>
    <t xml:space="preserve">VIR RECU    1034883697S DE: KLESIA RETRAITE AGIRC ARRCO FT MOTIF: AUDIENS KLESIA AGIRC-ARRCO REF : 00000000000022474875/38060498 FEROU/</t>
  </si>
  <si>
    <t xml:space="preserve">VIR RECU    9032158657S DE: KLESIA RETRAITE AGIRC ARRCO FT MOTIF: AUDIENS KLESIA AGIRC-ARRCO REF : 00000000000022474875/38060498 FEROU/</t>
  </si>
  <si>
    <t xml:space="preserve">CARTE X4419 31/12 E MARCADIS 260100107222168OPRF</t>
  </si>
  <si>
    <t xml:space="preserve">CARTE X4419 13/01 E MARCADIS 330907804546404OPRF</t>
  </si>
  <si>
    <t xml:space="preserve">CARTE X4419 21/01 E MARCADIS 740405502724385OPRF</t>
  </si>
  <si>
    <t xml:space="preserve">CARTE X4419 29/12 SOBRIS 940279101366012OPRF</t>
  </si>
  <si>
    <t xml:space="preserve">CARTE X4419 06/01 E MARCADIS 210500206989997OPRF</t>
  </si>
  <si>
    <t xml:space="preserve">CARTE X4419 26/01 VERY SALONJALIER 860708405090354OPRF</t>
  </si>
  <si>
    <t xml:space="preserve">CARTE X4417 03/01 HARELDELONLAMELVALOVERAS COMMERCE ELECTRONIQUE 820800406968622OPRF</t>
  </si>
  <si>
    <t xml:space="preserve">CARTE X4419 19/01 VERY SALONJALIER 470408000616180OPRF</t>
  </si>
  <si>
    <t xml:space="preserve">CARTE X4417 31/12 WEB KORENDELIN COMMERCE ELECTRONIQUE 790100200643774OPRF</t>
  </si>
  <si>
    <t xml:space="preserve">CARTE X4417 08/01 ORBILINK INTERNET 8,02 EUR IRLANDE COMMERCE ELECTRONIQUE 170300700225815OPRF</t>
  </si>
  <si>
    <t xml:space="preserve">CARTE X4419 13/01 PHARMACIE MERCIER 620601300246955OPRF</t>
  </si>
  <si>
    <t xml:space="preserve">CARTE X4419 01/01 TOTAL 950500104931430OPRF</t>
  </si>
  <si>
    <t xml:space="preserve">CARTE X4419 26/12 AUTOROUTIS LA ROCHEFEUIL VI 860884209261871OPRF</t>
  </si>
  <si>
    <t xml:space="preserve">CARTE X4419 06/01 E MARCADIS 720700709913190OPRF</t>
  </si>
  <si>
    <t xml:space="preserve">CARTE X4419 30/12 PHARMACIE MERCIER 960364300351852OPRF</t>
  </si>
  <si>
    <t xml:space="preserve">CARTE X4417 05/01 DELOTARUX EMAIL COMMERCE ELECTRONIQUE 870100307859578OPRF</t>
  </si>
  <si>
    <t xml:space="preserve">CARTE X4419 06/01 E MARCADIS 920300408351915OPRF</t>
  </si>
  <si>
    <t xml:space="preserve">CARTE X4417 12/01 COGNIA 2,45 EUR ETATS-UNIS D'ORME COMMERCE ELECTRONIQUE 980909906857113OPRF</t>
  </si>
  <si>
    <t xml:space="preserve">CARTE X4417 03/01 HARELDELONLAMELVALOVERAS COMMERCE ELECTRONIQUE 720300800698431OPRF</t>
  </si>
  <si>
    <t xml:space="preserve">CARTE X4419 12/01 VEROU BALIL 905901742548570OPRF</t>
  </si>
  <si>
    <t xml:space="preserve">CARTE X4417 26/01 HELP.STREAMO.TV COMMERCE ELECTRONIQUE 820403107808367OPRF</t>
  </si>
  <si>
    <t xml:space="preserve">CARTE X4417 26/12 HELP.STREAMO.TV COMMERCE ELECTRONIQUE 790175800927893OPRF</t>
  </si>
  <si>
    <t xml:space="preserve">CARTE X4419 30/12 ZIM 750539601515339OPRF</t>
  </si>
  <si>
    <t xml:space="preserve">CARTE X4419 01/01 PARK NANTUEL CHU 480500200845760OPRF</t>
  </si>
  <si>
    <t xml:space="preserve">CARTE X4419 30/12 PARK NANTUEL CHU 880364608691417OPRF</t>
  </si>
  <si>
    <t xml:space="preserve">CARTE X4419 27/12 PARK NANTUEL CHU 760179700612223OPRF</t>
  </si>
  <si>
    <t xml:space="preserve">CARTE X4419 26/12 PARK NANTUEL CHU 670452700441678OPRF</t>
  </si>
  <si>
    <t xml:space="preserve">PRELEVEMENT EUROPEEN 5104820651 DE: NUMERICABLE SA-NUMERICABLE ID: FR11ZZZ400876 MOTIF: Votre abonnement mobile: 06XXXXX211</t>
  </si>
  <si>
    <t xml:space="preserve">PRELEVEMENT EUROPEEN 5909442265 DE: ENGIE clients particuliers ID: FR11ZZZ200249 MOTIF: MOREL                JULIEN</t>
  </si>
  <si>
    <t xml:space="preserve">PRELEVEMENT EUROPEEN 9203177739 DE: SUEZ ID: FR11ZZZ700812 MOTIF: Y 466721096433 98 1172557152</t>
  </si>
  <si>
    <t xml:space="preserve">VIR RECU    8584290541S DE: MME OU M SANDRINE DUHAMEL MOTIF: REMBOURSEMENT PR T REF: remboursement pr t</t>
  </si>
  <si>
    <t xml:space="preserve">v786</t>
  </si>
  <si>
    <t xml:space="preserve">FRAIS PAIEMENT HORS ZONE EURO 2,45 EUR       A   2,70 % 1 PAIEMENT       A   0,20 EUR NT</t>
  </si>
  <si>
    <t xml:space="preserve">998,90 USD convertis en 768,95 CHF</t>
  </si>
  <si>
    <t xml:space="preserve">chf788</t>
  </si>
  <si>
    <t xml:space="preserve">Relevé Compte Wise CHF</t>
  </si>
  <si>
    <t xml:space="preserve">27/01/2026 Vitecash bijoux</t>
  </si>
  <si>
    <t xml:space="preserve">OrJo796</t>
  </si>
  <si>
    <t xml:space="preserve">PRELEVEMENT EUROPEEN 6935416279 DE: GENERALI I A R D GENERALI I A R D ID: FR11ZZZ600698 MOTIF: 131BALENCLOONCLOIER                PQ7</t>
  </si>
  <si>
    <t xml:space="preserve">PRELEVEMENT EUROPEEN 9524925388 DE: ENGIE clients particuliers ID: FR11ZZZ200249 MOTIF: MOREL                JULIEN</t>
  </si>
  <si>
    <t xml:space="preserve">VIR RECU    3378278138S DE: MME OU M SANDRINE DUHAMEL MOTIF: REMBOURSEMENT PRET 70K REF: Remboursement pr t 70k</t>
  </si>
  <si>
    <t xml:space="preserve">v789</t>
  </si>
  <si>
    <t xml:space="preserve">PRELEVEMENT EUROPEEN 7865129948 DE: NUMERICABLE SA ID: FR11ZZZ400876 MOTIF: Votre abonnement mobile: 06XXXXX210</t>
  </si>
  <si>
    <t xml:space="preserve">VIR RECU    7010028634S DE: CNAVTS MOTIF: PENSION ACTUALISEE REF: 11836772      MOREL        0126</t>
  </si>
  <si>
    <t xml:space="preserve">VIR RECU    1932979705S DE: MUTUALITE SOCIALE AGRICOLE D'AUBE DE FR ANCE MOTIF: CV22/02           MTRFLKQPBNVXS</t>
  </si>
  <si>
    <t xml:space="preserve">PRELEVEMENT EUROPEEN 7001456726 DE: MAAF CNO Production-mutualis ID: FR11ZZZ600341 MOTIF: -PRELEV 0120045022  00684407127</t>
  </si>
  <si>
    <t xml:space="preserve">PRELEVEMENT EUROPEEN 3400738738 DE: NUMERICABLE SA ID: FR11ZZZ400876 MOTIF: Votre abonnement fibre (facture: XX</t>
  </si>
  <si>
    <t xml:space="preserve">VIR RECU    5585175225S DE: CPAM DES VALMONT MOTIF: 550340009912040979460 01 REF: 550340009912040979460 01</t>
  </si>
  <si>
    <t xml:space="preserve">19/02/2026 ViteCash Bijoux</t>
  </si>
  <si>
    <t xml:space="preserve">orjo794</t>
  </si>
  <si>
    <t xml:space="preserve">PRELEVEMENT EUROPEEN 2614176656 POUR CPTE DE:D.G.F.I.P. IMPOT 88042 ID: FR11ZZZ300127 MOTIF: 310140648846701094 111</t>
  </si>
  <si>
    <t xml:space="preserve">PRELEVEMENT EUROPEEN 8605066819 POUR CPTE DE:D.G.F.I.P. IMPOT PAS ID: FR11ZZZ300127 MOTIF: PRELEVEMENT A LA SOURCE REVENUS 202</t>
  </si>
  <si>
    <t xml:space="preserve">PRELEVEMENT EUROPEEN 9709115342 DE: GENERALI I A R D GENERALI I A R D ID: FR11ZZZ600698 MOTIF: 199GARARTARITARIER                PQ7</t>
  </si>
  <si>
    <t xml:space="preserve">PRELEVEMENT EUROPEEN 7088715885 POUR CPTE DE:D.G.F.I.P. IMPOT 58032 ID: FR11ZZZ300127 MOTIF: 660660902897612930 111</t>
  </si>
  <si>
    <t xml:space="preserve">PRELEVEMENT EUROPEEN 8606494584 POUR CPTE DE:D.G.F.I.P. IMPOT 58032 ID: FR11ZZZ300127 MOTIF: 660660902897612930 111</t>
  </si>
  <si>
    <t xml:space="preserve">998,90 USD convertis en 768,45 CHF</t>
  </si>
  <si>
    <t xml:space="preserve">chf792</t>
  </si>
  <si>
    <t xml:space="preserve">PRELEVEMENT EUROPEEN 7600305879 DE: NUMERICABLE SA ID: FR11ZZZ400876 MOTIF: Votre abonnement mobile: 06XXXXX212</t>
  </si>
  <si>
    <t xml:space="preserve">26/02/2026 ViteCash Bijoux</t>
  </si>
  <si>
    <t xml:space="preserve">Frais de connexion aux places boursières 2026 (New Lamusalay Stock Exchange - GARORINIL)</t>
  </si>
  <si>
    <t xml:space="preserve">Frais de connexion aux places boursières 2026 (Jalacaran AG - BRIOLAMOT)</t>
  </si>
  <si>
    <t xml:space="preserve">PRELEVEMENT EUROPEEN 9806950708 DE: SUEZ ID: FR11ZZZ700812 MOTIF: Y 894386805458 98 1172557152</t>
  </si>
  <si>
    <t xml:space="preserve">Relevé Portefeuille DEGIRO</t>
  </si>
  <si>
    <t xml:space="preserve">PRELEVEMENT EUROPEEN 3548136027 DE: ENGIE clients particuliers ID: FR11ZZZ200249 MOTIF: MOREL                JULIEN</t>
  </si>
  <si>
    <t xml:space="preserve">PRELEVEMENT EUROPEEN 3203749282 DE: NUMERICABLE SA-NUMERICABLE ID: FR11ZZZ400876 MOTIF: Votre abonnement mobile: 06XXXXX211</t>
  </si>
  <si>
    <t xml:space="preserve">VIR RECU    8434923680S DE: ALLIANCE PRO. AGIRC-ARRCO APICIL MOTIF: ALLIANCE PRO. AGIRC-ARRCO APICIL RE F : 7985870200000007/840903226602 M</t>
  </si>
  <si>
    <t xml:space="preserve">VIR RECU    7548933043S DE: KLESIA RETRAITE AGIRC ARRCO FT MOTIF: AUDIENS KLESIA AGIRC-ARRCO REF : 00000000000022474875/53070498 NORARD/</t>
  </si>
  <si>
    <t xml:space="preserve">VIR RECU    6445701150S DE: KLESIA RETRAITE AGIRC ARRCO FT MOTIF: AUDIENS KLESIA AGIRC-ARRCO REF : 00000000000022474875/53070498 NORARD/</t>
  </si>
  <si>
    <t xml:space="preserve">VIR RECU    7946368509S DE: CA ASSURANCES RETRAITE DE: 991H MOTIF: UBE RETRAITE RENTE VIAGERE ARTICLE</t>
  </si>
  <si>
    <t xml:space="preserve">CARTE X4417 RETRAIT DAB 02/03 09KOROUDELEC SALENTARARRINY 2 28286 290501600723184OPRF</t>
  </si>
  <si>
    <t xml:space="preserve">v793</t>
  </si>
  <si>
    <t xml:space="preserve">CARTE X4419 27/01 EASY CASH 230209900721819OPRF</t>
  </si>
  <si>
    <t xml:space="preserve">CARTE X4419 31/01 EASY CASH 220903500345083OPRF</t>
  </si>
  <si>
    <t xml:space="preserve">OrJo797</t>
  </si>
  <si>
    <t xml:space="preserve">CARTE X4419 03/02 EASY CASH NANTUEL 580403904596994OPRF</t>
  </si>
  <si>
    <t xml:space="preserve">OrJo798</t>
  </si>
  <si>
    <t xml:space="preserve">CARTE X4419 19/02 EASY CASH 730803100927399OPRF</t>
  </si>
  <si>
    <t xml:space="preserve">CARTE X4419 13/02 E MARCADIS 950906109141477OPRF</t>
  </si>
  <si>
    <t xml:space="preserve">CARTE X4419 19/02 SA VALMONTAISE DE DIS 620407400275087OPRF</t>
  </si>
  <si>
    <t xml:space="preserve">CARTE X4419 27/01 SA VALMONTAISE DE DIS 620704800106870OPRF</t>
  </si>
  <si>
    <t xml:space="preserve">CARTE X4419 24/02 E MARCADIS 530102606380822OPRF</t>
  </si>
  <si>
    <t xml:space="preserve">CARTE X4419 31/01 SA VALMONTAISE DE DIS 950509200218540OPRF</t>
  </si>
  <si>
    <t xml:space="preserve">CARTE X4419 08/02 SOBRIS 690202009228977OPRF</t>
  </si>
  <si>
    <t xml:space="preserve">CARTE X4419 04/02 EUROPLAC    0122 420201900495449OPRF</t>
  </si>
  <si>
    <t xml:space="preserve">CARTE X4417 08/02 Orbilink Internet COMMERCE ELECTRONIQUE 570307002406461OPRF</t>
  </si>
  <si>
    <t xml:space="preserve">CARTE X4419 20/02 E MARCADIS 760702604782712OPRF</t>
  </si>
  <si>
    <t xml:space="preserve">CARTE X4419 17/02 POINT VERT 465 510909205793745OPRF</t>
  </si>
  <si>
    <t xml:space="preserve">CARTE X4419 24/02 E MARCADIS 640303808720463OPRF</t>
  </si>
  <si>
    <t xml:space="preserve">CARTE X4419 03/02 PHARMACIE MERCIER 950206700506486OPRF</t>
  </si>
  <si>
    <t xml:space="preserve">CARTE X4419 25/02 DELECLOIER NORUVALUN 450404808636618OPRF</t>
  </si>
  <si>
    <t xml:space="preserve">CARTE X4419 20/02 E MARCADIS 690309605742705OPRF</t>
  </si>
  <si>
    <t xml:space="preserve">CARTE X4419 18/02 ONYA 220901004003034OPRF</t>
  </si>
  <si>
    <t xml:space="preserve">CARTE X4419 03/02 ZIM 960103109017722OPRF</t>
  </si>
  <si>
    <t xml:space="preserve">CARTE X4419 17/02 VIDAL SYLVE 540508700866733OPRF</t>
  </si>
  <si>
    <t xml:space="preserve">CARTE X4419 25/02 ZMD NANTUEL CHU 840402302564315OPRF</t>
  </si>
  <si>
    <t xml:space="preserve">CARTE X4419 18/02 PARK NANTUEL CHU 110104004985564OPRF</t>
  </si>
  <si>
    <t xml:space="preserve">31/01/2026 ViteCash Bijoux</t>
  </si>
  <si>
    <t xml:space="preserve">03/02/2026 ViteCash Bijoux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</si>
  <si>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</si>
  <si>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</si>
  <si>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</si>
  <si>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</si>
  <si>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</si>
  <si>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</si>
  <si>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</si>
  <si>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</si>
  <si>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</si>
  <si>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</si>
  <si>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</si>
  <si>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</si>
  <si>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</si>
  <si>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</si>
  <si>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</si>
  <si>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</si>
  <si>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</si>
  <si>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</si>
  <si>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</si>
  <si>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</si>
  <si>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</si>
  <si>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</si>
  <si>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</si>
  <si>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</si>
  <si>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</si>
  <si>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</si>
  <si>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</si>
  <si>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</si>
  <si>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</si>
  <si>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</si>
  <si>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</si>
  <si>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</si>
  <si>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</si>
  <si>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</si>
  <si>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</si>
  <si>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</si>
  <si>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</si>
  <si>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</si>
  <si>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</si>
  <si>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</si>
  <si>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06/10/2026</t>
  </si>
  <si>
    <t xml:space="preserve">Yen Japonais</t>
  </si>
  <si>
    <t xml:space="preserve">JPY</t>
  </si>
  <si>
    <t xml:space="preserve">Gramme d’or Spot</t>
  </si>
  <si>
    <t xml:space="preserve">metal</t>
  </si>
  <si>
    <t xml:space="preserve">XAU</t>
  </si>
  <si>
    <t xml:space="preserve">Gramme d’argent spot</t>
  </si>
  <si>
    <t xml:space="preserve">XAG</t>
  </si>
  <si>
    <t xml:space="preserve">Gramme d’or Premium (pièces)</t>
  </si>
  <si>
    <t xml:space="preserve">dérivée</t>
  </si>
  <si>
    <t xml:space="preserve">Gramme d’argent Premium (pièces)</t>
  </si>
  <si>
    <t xml:space="preserve">AgPr</t>
  </si>
  <si>
    <t xml:space="preserve">Gramme d’or Joaillerie (rachat Bijoux Or)</t>
  </si>
  <si>
    <t xml:space="preserve">Gramme d’argent Joaillerie (rachat Bijoux Or)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</si>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</sst>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55">
    <numFmt numFmtId="164" formatCode="General"/>
    <numFmt numFmtId="165" formatCode="#,##0.00\ [$€-40C];\-#,##0.00\ [$€-40C]"/>
    <numFmt numFmtId="166" formatCode="#,##0.00\ [$USD]"/>
    <numFmt numFmtId="167" formatCode="#,##0.00\ [$CHF]"/>
    <numFmt numFmtId="168" formatCode="#,##0.00\ [$JPY]"/>
    <numFmt numFmtId="169" formatCode="#,##0.00\ [$SGD]"/>
    <numFmt numFmtId="170" formatCode="#,##0.00\ [$SEK]"/>
    <numFmt numFmtId="171" formatCode="#,##0.00\ [$XAU]"/>
    <numFmt numFmtId="172" formatCode="#,##0.00\ [$XAG]"/>
    <numFmt numFmtId="173" formatCode="#,##0.00000\ [$OrPr]"/>
    <numFmt numFmtId="174" formatCode="#,##0.00000\ [$AgPr]"/>
    <numFmt numFmtId="175" formatCode="#,##0.00000\ [$OrJo]"/>
    <numFmt numFmtId="176" formatCode="#,##0.00000\ [$AgJo]"/>
    <numFmt numFmtId="177" formatCode="#,##0.00\ [$BTC]"/>
    <numFmt numFmtId="178" formatCode="#,##0.00000\ [$XMR]"/>
    <numFmt numFmtId="179" formatCode="#,##0.00\ [$SAT]"/>
    <numFmt numFmtId="180" formatCode="#,##0;\-#,##0"/>
    <numFmt numFmtId="181" formatCode="#,##0.00;\-#,##0.00"/>
    <numFmt numFmtId="182" formatCode="#,##0.00000;\-#,##0.00000"/>
    <numFmt numFmtId="183" formatCode="#,##0.000000000"/>
    <numFmt numFmtId="184" formatCode="mmm\-yy"/>
    <numFmt numFmtId="185" formatCode="@"/>
    <numFmt numFmtId="186" formatCode="dd/mm/yy"/>
    <numFmt numFmtId="187" formatCode="#,##0.00\ [$€-40C];[RED]\-#,##0.00\ [$€-40C]"/>
    <numFmt numFmtId="188" formatCode="0\ %"/>
    <numFmt numFmtId="189" formatCode="0"/>
    <numFmt numFmtId="190" formatCode="#,##0%"/>
    <numFmt numFmtId="191" formatCode="#,##0.00\ [$USD];[RED]\-#,##0.00\ [$USD]"/>
    <numFmt numFmtId="192" formatCode="dd/mm/yyyy"/>
    <numFmt numFmtId="193" formatCode="[$€-40C]\ #,##0.00"/>
    <numFmt numFmtId="194" formatCode="d\ mmm\ yyyy"/>
    <numFmt numFmtId="195" formatCode="\ #,##0\ [$€-40C]"/>
    <numFmt numFmtId="196" formatCode="\ #,##0.00\ [$€-40C]"/>
    <numFmt numFmtId="197" formatCode="@&quot; ▼&quot;"/>
    <numFmt numFmtId="198" formatCode="#,##0.00000\ [$€-40C];\-#,##0.00000\ [$€-40C]"/>
    <numFmt numFmtId="199" formatCode="#,##0"/>
    <numFmt numFmtId="200" formatCode="0.00\ %"/>
    <numFmt numFmtId="201" formatCode="[$-40C]dd/mm/yy"/>
    <numFmt numFmtId="202" formatCode="0.00000"/>
    <numFmt numFmtId="203" formatCode="#,##0.00"/>
    <numFmt numFmtId="204" formatCode="\ 0.00\ [$€-40C]"/>
    <numFmt numFmtId="205" formatCode="#,##0.000000000\ [$USD]"/>
    <numFmt numFmtId="206" formatCode="#,##0.000000000\ [$CHF]"/>
    <numFmt numFmtId="207" formatCode="#,##0.000000000\ [$JPY]"/>
    <numFmt numFmtId="208" formatCode="#,##0.000000000\ [$SGD]"/>
    <numFmt numFmtId="209" formatCode="#,##0.000000000\ [$SEK]"/>
    <numFmt numFmtId="210" formatCode="#,##0.000000000\ [$XAU]"/>
    <numFmt numFmtId="211" formatCode="#,##0.000000000\ [$XAG]"/>
    <numFmt numFmtId="212" formatCode="#,##0.000000000\ [$OrPr]"/>
    <numFmt numFmtId="213" formatCode="#,##0.000000000\ [$AgPr]"/>
    <numFmt numFmtId="214" formatCode="#,##0.000000000\ [$OrJo]"/>
    <numFmt numFmtId="215" formatCode="#,##0.000000000\ [$AgJo]"/>
    <numFmt numFmtId="216" formatCode="#,##0.000000000\ [$BTC]"/>
    <numFmt numFmtId="217" formatCode="#,##0.000000000\ [$XMR]"/>
    <numFmt numFmtId="218" formatCode="#,##0.000000000\ [$SAT]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75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0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5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5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3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84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20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3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7" fontId="12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5" fontId="13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3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3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3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9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91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91" fontId="12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5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3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2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6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3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3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2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2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5" fontId="13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93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5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95" fontId="12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95" fontId="12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96" fontId="12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3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96" fontId="12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9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7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9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8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6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96" fontId="12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3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2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85" fontId="2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3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12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2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12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2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5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9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7" fontId="13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2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12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2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7" fontId="12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2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93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202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201" fontId="17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201" fontId="17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8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3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5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6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9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6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0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5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7" fontId="14" fillId="13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203" fontId="17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99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5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3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3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5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5" fontId="15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5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6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7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8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9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0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1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5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2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3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4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5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6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7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18" fontId="12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6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AgJo_body" xfId="41"/>
    <cellStyle name="Drill_AgJo_pied" xfId="42"/>
    <cellStyle name="Drill_AgPr_body" xfId="43"/>
    <cellStyle name="Drill_AgPr_pied" xfId="44"/>
    <cellStyle name="Drill_BTC_body" xfId="45"/>
    <cellStyle name="Drill_BTC_pied" xfId="46"/>
    <cellStyle name="Drill_CHF_body" xfId="47"/>
    <cellStyle name="Drill_CHF_pied" xfId="48"/>
    <cellStyle name="Drill_dec0" xfId="49"/>
    <cellStyle name="Drill_dec2" xfId="50"/>
    <cellStyle name="Drill_dec5" xfId="51"/>
    <cellStyle name="Drill_EUR" xfId="52"/>
    <cellStyle name="Drill_JPY_body" xfId="53"/>
    <cellStyle name="Drill_JPY_pied" xfId="54"/>
    <cellStyle name="Drill_OrJo_body" xfId="55"/>
    <cellStyle name="Drill_OrJo_pied" xfId="56"/>
    <cellStyle name="Drill_OrPr_body" xfId="57"/>
    <cellStyle name="Drill_OrPr_pied" xfId="58"/>
    <cellStyle name="Drill_SAT_body" xfId="59"/>
    <cellStyle name="Drill_SAT_pied" xfId="60"/>
    <cellStyle name="Drill_SEK_body" xfId="61"/>
    <cellStyle name="Drill_SEK_pied" xfId="62"/>
    <cellStyle name="Drill_SGD_body" xfId="63"/>
    <cellStyle name="Drill_SGD_pied" xfId="64"/>
    <cellStyle name="Drill_USD_body" xfId="65"/>
    <cellStyle name="Drill_USD_pied" xfId="66"/>
    <cellStyle name="Drill_XAG_body" xfId="67"/>
    <cellStyle name="Drill_XAG_pied" xfId="68"/>
    <cellStyle name="Drill_XAU_body" xfId="69"/>
    <cellStyle name="Drill_XAU_pied" xfId="70"/>
    <cellStyle name="Drill_XMR_body" xfId="71"/>
    <cellStyle name="Drill_XMR_pied" xfId="72"/>
    <cellStyle name="Input" xfId="73"/>
    <cellStyle name="Résultat2" xfId="74"/>
  </cellStyles>
  <dxfs count="4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  <protection locked="true" hidden="false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CHF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JPY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SEK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XAG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3" formatCode="#,##0.000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4" formatCode="#,##0.00000\ [$Ag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5" formatCode="#,##0.00000\ [$OrJo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6" formatCode="#,##0.00000\ [$AgJo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7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8" formatCode="#,##0.000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9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CHF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JPY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SG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SEK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XAG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3" formatCode="#,##0.000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4" formatCode="#,##0.00000\ [$Ag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5" formatCode="#,##0.00000\ [$OrJo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6" formatCode="#,##0.00000\ [$AgJo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7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8" formatCode="#,##0.00000\ [$XM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9" formatCode="#,##0.00\ [$SAT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Contrôles!K$70</f>
        <v>⚠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str">
        <f aca="false">année_courante</f>
        <v>2026</v>
      </c>
      <c r="C3" s="8" t="s">
        <v>1</v>
      </c>
      <c r="D3" s="7" t="s">
        <v>2</v>
      </c>
      <c r="E3" s="4"/>
      <c r="F3" s="5" t="str">
        <f aca="false">"dont Plus value latente depuis " &amp; YEAR(Plus_value!G3)</f>
        <v>dont Plus value latente depuis 2020</v>
      </c>
      <c r="G3" s="5"/>
      <c r="H3" s="9"/>
      <c r="I3" s="9"/>
    </row>
    <row r="4" customFormat="false" ht="15.75" hidden="false" customHeight="true" outlineLevel="0" collapsed="false">
      <c r="B4" s="10" t="s">
        <v>3</v>
      </c>
      <c r="C4" s="11" t="n">
        <f aca="false">COUNTA(AVRintitulé)-2</f>
        <v>52</v>
      </c>
      <c r="D4" s="12" t="n">
        <f aca="false">Avoirs!L2</f>
        <v>167995.53</v>
      </c>
      <c r="E4" s="13"/>
      <c r="F4" s="13"/>
      <c r="G4" s="12" t="n">
        <f aca="false">Plus_value!E3</f>
        <v>17165.3392753255</v>
      </c>
      <c r="H4" s="14" t="n">
        <f aca="false">Plus_value!F109</f>
        <v>0.183689580325072</v>
      </c>
      <c r="I4" s="14"/>
    </row>
    <row r="5" customFormat="false" ht="15.75" hidden="false" customHeight="true" outlineLevel="0" collapsed="false">
      <c r="B5" s="15" t="s">
        <v>4</v>
      </c>
      <c r="C5" s="16"/>
      <c r="D5" s="17"/>
      <c r="E5" s="18"/>
      <c r="F5" s="19"/>
      <c r="G5" s="20"/>
      <c r="H5" s="19"/>
      <c r="I5" s="19"/>
    </row>
    <row r="6" customFormat="false" ht="15.75" hidden="false" customHeight="true" outlineLevel="0" collapsed="false">
      <c r="B6" s="21" t="s">
        <v>5</v>
      </c>
      <c r="C6" s="21"/>
      <c r="D6" s="22"/>
      <c r="E6" s="13"/>
      <c r="F6" s="19"/>
      <c r="G6" s="19"/>
      <c r="H6" s="19"/>
      <c r="I6" s="19"/>
    </row>
    <row r="7" customFormat="false" ht="16.5" hidden="false" customHeight="true" outlineLevel="0" collapsed="false">
      <c r="B7" s="23" t="s">
        <v>6</v>
      </c>
      <c r="C7" s="16" t="n">
        <f aca="false">COUNTIF(AVRtype,$B7)</f>
        <v>3</v>
      </c>
      <c r="D7" s="17" t="n">
        <f aca="false">SUMIF(AVRtype,$B7,AVRmontant_solde_euro)</f>
        <v>17756.9465302414</v>
      </c>
      <c r="E7" s="18" t="n">
        <f aca="false">D7/D$15</f>
        <v>0.105698922645391</v>
      </c>
      <c r="F7" s="19"/>
      <c r="G7" s="20"/>
      <c r="H7" s="19"/>
      <c r="I7" s="19"/>
    </row>
    <row r="8" customFormat="false" ht="16.5" hidden="false" customHeight="true" outlineLevel="0" collapsed="false">
      <c r="B8" s="23" t="s">
        <v>7</v>
      </c>
      <c r="C8" s="16" t="n">
        <f aca="false">COUNTIF(AVRtype,$B8)</f>
        <v>6</v>
      </c>
      <c r="D8" s="17" t="n">
        <f aca="false">SUMIF(AVRtype,$B8,AVRmontant_solde_euro)</f>
        <v>74574.771449</v>
      </c>
      <c r="E8" s="18" t="n">
        <f aca="false">D8/D$15</f>
        <v>0.443909260258294</v>
      </c>
      <c r="F8" s="19"/>
      <c r="G8" s="19"/>
      <c r="H8" s="19"/>
      <c r="I8" s="19"/>
    </row>
    <row r="9" customFormat="false" ht="16.5" hidden="false" customHeight="true" outlineLevel="0" collapsed="false">
      <c r="B9" s="23" t="s">
        <v>8</v>
      </c>
      <c r="C9" s="16" t="n">
        <f aca="false">COUNTIF(AVRtype,$B9)</f>
        <v>3</v>
      </c>
      <c r="D9" s="17" t="n">
        <f aca="false">SUMIF(AVRtype,$B9,AVRmontant_solde_euro)</f>
        <v>29093.84</v>
      </c>
      <c r="E9" s="18" t="n">
        <f aca="false">D9/D$15</f>
        <v>0.173182226931871</v>
      </c>
      <c r="F9" s="19"/>
      <c r="G9" s="19"/>
      <c r="H9" s="19"/>
      <c r="I9" s="19"/>
    </row>
    <row r="10" customFormat="false" ht="16.5" hidden="false" customHeight="true" outlineLevel="0" collapsed="false">
      <c r="B10" s="23" t="s">
        <v>9</v>
      </c>
      <c r="C10" s="16" t="n">
        <f aca="false">COUNTIF(AVRtype,$B10)</f>
        <v>6</v>
      </c>
      <c r="D10" s="17" t="n">
        <f aca="false">SUMIF(AVRtype,$B10,AVRmontant_solde_euro)</f>
        <v>7526.055553</v>
      </c>
      <c r="E10" s="18" t="n">
        <f aca="false">D10/D$15</f>
        <v>0.0447991416974011</v>
      </c>
      <c r="F10" s="19"/>
      <c r="G10" s="19"/>
      <c r="H10" s="19"/>
      <c r="I10" s="19"/>
    </row>
    <row r="11" customFormat="false" ht="16.5" hidden="false" customHeight="true" outlineLevel="0" collapsed="false">
      <c r="B11" s="23" t="s">
        <v>10</v>
      </c>
      <c r="C11" s="16" t="n">
        <f aca="false">COUNTIF(AVRtype,$B11)</f>
        <v>8</v>
      </c>
      <c r="D11" s="17" t="n">
        <f aca="false">SUMIF(AVRtype,$B11,AVRmontant_solde_euro)</f>
        <v>11050.2329080841</v>
      </c>
      <c r="E11" s="18" t="n">
        <f aca="false">D11/D$15</f>
        <v>0.0657769460180524</v>
      </c>
      <c r="F11" s="19"/>
      <c r="G11" s="19"/>
      <c r="H11" s="19"/>
      <c r="I11" s="19"/>
    </row>
    <row r="12" customFormat="false" ht="16.5" hidden="false" customHeight="true" outlineLevel="0" collapsed="false">
      <c r="B12" s="23" t="s">
        <v>11</v>
      </c>
      <c r="C12" s="16" t="n">
        <f aca="false">COUNTIF(AVRtype,$B12)</f>
        <v>19</v>
      </c>
      <c r="D12" s="17" t="n">
        <f aca="false">SUMIF(AVRtype,$B12,AVRmontant_solde_euro)</f>
        <v>27993.68</v>
      </c>
      <c r="E12" s="18" t="n">
        <f aca="false">D12/D$15</f>
        <v>0.166633481259888</v>
      </c>
      <c r="F12" s="19"/>
      <c r="G12" s="20"/>
      <c r="H12" s="19"/>
      <c r="I12" s="19"/>
    </row>
    <row r="13" customFormat="false" ht="16.5" hidden="false" customHeight="true" outlineLevel="0" collapsed="false">
      <c r="B13" s="23" t="s">
        <v>12</v>
      </c>
      <c r="C13" s="16" t="n">
        <f aca="false">COUNTIF(AVRtype,$B13)</f>
        <v>0</v>
      </c>
      <c r="D13" s="17" t="n">
        <f aca="false">SUMIF(AVRtype,$B13,AVRmontant_solde_euro)</f>
        <v>0</v>
      </c>
      <c r="E13" s="18" t="n">
        <f aca="false">D13/D$15</f>
        <v>0</v>
      </c>
      <c r="F13" s="19"/>
      <c r="G13" s="20"/>
      <c r="H13" s="19"/>
      <c r="I13" s="19"/>
    </row>
    <row r="14" customFormat="false" ht="16.5" hidden="false" customHeight="true" outlineLevel="0" collapsed="false">
      <c r="B14" s="23" t="s">
        <v>13</v>
      </c>
      <c r="C14" s="16" t="n">
        <f aca="false">COUNTIF(AVRtype,$B14)</f>
        <v>7</v>
      </c>
      <c r="D14" s="17" t="n">
        <f aca="false">SUMIF(AVRtype,$B14,AVRmontant_solde_euro)</f>
        <v>0</v>
      </c>
      <c r="E14" s="18" t="n">
        <f aca="false">D14/D$15</f>
        <v>0</v>
      </c>
      <c r="F14" s="19"/>
      <c r="G14" s="20"/>
      <c r="H14" s="19"/>
      <c r="I14" s="19"/>
    </row>
    <row r="15" customFormat="false" ht="16.5" hidden="false" customHeight="true" outlineLevel="0" collapsed="false">
      <c r="B15" s="24" t="s">
        <v>3</v>
      </c>
      <c r="C15" s="16" t="n">
        <f aca="false">SUM(C7:C14)</f>
        <v>52</v>
      </c>
      <c r="D15" s="25" t="n">
        <f aca="false">ROUND(SUM(D7:D14),2)</f>
        <v>167995.53</v>
      </c>
      <c r="E15" s="18"/>
      <c r="F15" s="19"/>
      <c r="G15" s="19"/>
      <c r="H15" s="19"/>
      <c r="I15" s="19"/>
    </row>
    <row r="16" customFormat="false" ht="16.5" hidden="false" customHeight="true" outlineLevel="0" collapsed="false">
      <c r="B16" s="21" t="s">
        <v>14</v>
      </c>
      <c r="C16" s="26"/>
      <c r="D16" s="27"/>
      <c r="E16" s="13"/>
      <c r="F16" s="19"/>
      <c r="G16" s="19"/>
      <c r="H16" s="19"/>
      <c r="I16" s="19"/>
    </row>
    <row r="17" customFormat="false" ht="16.5" hidden="false" customHeight="true" outlineLevel="0" collapsed="false">
      <c r="B17" s="23" t="s">
        <v>15</v>
      </c>
      <c r="C17" s="16" t="n">
        <f aca="false">COUNTIF(AVRsous_type,$B17)</f>
        <v>6</v>
      </c>
      <c r="D17" s="17" t="n">
        <f aca="false">SUMIF(AVRsous_type,B17,AVRmontant_solde_euro)</f>
        <v>74574.771449</v>
      </c>
      <c r="E17" s="18" t="n">
        <f aca="false">D17/D$28</f>
        <v>0.443909260258294</v>
      </c>
      <c r="F17" s="19"/>
      <c r="G17" s="19"/>
      <c r="H17" s="19"/>
      <c r="I17" s="19"/>
    </row>
    <row r="18" customFormat="false" ht="16.5" hidden="false" customHeight="true" outlineLevel="0" collapsed="false">
      <c r="B18" s="23" t="s">
        <v>16</v>
      </c>
      <c r="C18" s="16" t="n">
        <f aca="false">COUNTIF(AVRsous_type,$B18)</f>
        <v>3</v>
      </c>
      <c r="D18" s="17" t="n">
        <f aca="false">SUMIF(AVRsous_type,B18,AVRmontant_solde_euro)</f>
        <v>17756.9465302414</v>
      </c>
      <c r="E18" s="18" t="n">
        <f aca="false">D18/D$28</f>
        <v>0.105698922645391</v>
      </c>
      <c r="F18" s="19"/>
      <c r="G18" s="19"/>
      <c r="H18" s="19"/>
      <c r="I18" s="19"/>
    </row>
    <row r="19" customFormat="false" ht="16.5" hidden="false" customHeight="true" outlineLevel="0" collapsed="false">
      <c r="B19" s="23" t="s">
        <v>17</v>
      </c>
      <c r="C19" s="16" t="n">
        <f aca="false">COUNTIF(AVRsous_type,$B19)</f>
        <v>19</v>
      </c>
      <c r="D19" s="17" t="n">
        <f aca="false">SUMIF(AVRsous_type,B19,AVRmontant_solde_euro)</f>
        <v>27993.68</v>
      </c>
      <c r="E19" s="18" t="n">
        <f aca="false">D19/D$28</f>
        <v>0.166633481259888</v>
      </c>
      <c r="F19" s="19"/>
      <c r="G19" s="19"/>
      <c r="H19" s="19"/>
      <c r="I19" s="19"/>
    </row>
    <row r="20" customFormat="false" ht="16.5" hidden="false" customHeight="true" outlineLevel="0" collapsed="false">
      <c r="B20" s="23" t="s">
        <v>12</v>
      </c>
      <c r="C20" s="16" t="n">
        <f aca="false">COUNTIF(AVRsous_type,$B20)</f>
        <v>0</v>
      </c>
      <c r="D20" s="17" t="n">
        <f aca="false">SUMIF(AVRsous_type,B20,AVRmontant_solde_euro)</f>
        <v>0</v>
      </c>
      <c r="E20" s="18" t="n">
        <f aca="false">D20/D$28</f>
        <v>0</v>
      </c>
      <c r="F20" s="19"/>
      <c r="G20" s="19"/>
      <c r="H20" s="19"/>
      <c r="I20" s="19"/>
    </row>
    <row r="21" customFormat="false" ht="16.5" hidden="false" customHeight="true" outlineLevel="0" collapsed="false">
      <c r="B21" s="23" t="s">
        <v>18</v>
      </c>
      <c r="C21" s="16" t="n">
        <f aca="false">COUNTIF(AVRsous_type,$B21)</f>
        <v>6</v>
      </c>
      <c r="D21" s="17" t="n">
        <f aca="false">SUMIF(AVRsous_type,$B21,AVRmontant_solde_euro)</f>
        <v>5439.3620440841</v>
      </c>
      <c r="E21" s="18" t="n">
        <f aca="false">D21/D$28</f>
        <v>0.0323780165108209</v>
      </c>
      <c r="F21" s="19"/>
      <c r="G21" s="19"/>
      <c r="H21" s="19"/>
      <c r="I21" s="19"/>
    </row>
    <row r="22" customFormat="false" ht="16.5" hidden="false" customHeight="true" outlineLevel="0" collapsed="false">
      <c r="B22" s="23" t="s">
        <v>19</v>
      </c>
      <c r="C22" s="16" t="n">
        <f aca="false">COUNTIF(AVRsous_type,$B22)</f>
        <v>1</v>
      </c>
      <c r="D22" s="17" t="n">
        <f aca="false">SUMIF(AVRsous_type,$B22,AVRmontant_solde_euro)</f>
        <v>198.36089</v>
      </c>
      <c r="E22" s="18" t="n">
        <f aca="false">D22/D$28</f>
        <v>0.00118075099974386</v>
      </c>
      <c r="F22" s="19"/>
      <c r="G22" s="19"/>
      <c r="H22" s="19"/>
      <c r="I22" s="19"/>
    </row>
    <row r="23" customFormat="false" ht="16.5" hidden="false" customHeight="true" outlineLevel="0" collapsed="false">
      <c r="B23" s="23" t="s">
        <v>8</v>
      </c>
      <c r="C23" s="16" t="n">
        <f aca="false">COUNTIF(AVRsous_type,$B23)</f>
        <v>3</v>
      </c>
      <c r="D23" s="17" t="n">
        <f aca="false">SUMIF(AVRsous_type,$B23,AVRmontant_solde_euro)</f>
        <v>29093.84</v>
      </c>
      <c r="E23" s="18" t="n">
        <f aca="false">D23/D$28</f>
        <v>0.173182226931871</v>
      </c>
      <c r="F23" s="19"/>
      <c r="G23" s="19"/>
      <c r="H23" s="19"/>
      <c r="I23" s="19"/>
    </row>
    <row r="24" customFormat="false" ht="16.5" hidden="false" customHeight="true" outlineLevel="0" collapsed="false">
      <c r="B24" s="23" t="s">
        <v>20</v>
      </c>
      <c r="C24" s="16" t="n">
        <f aca="false">COUNTIF(AVRsous_type,$B24)</f>
        <v>1</v>
      </c>
      <c r="D24" s="17" t="n">
        <f aca="false">SUMIF(AVRsous_type,$B24,AVRmontant_solde_euro)</f>
        <v>1142.680305</v>
      </c>
      <c r="E24" s="18" t="n">
        <f aca="false">D24/D$28</f>
        <v>0.00680184945992313</v>
      </c>
      <c r="F24" s="19"/>
      <c r="G24" s="19"/>
      <c r="H24" s="19"/>
      <c r="I24" s="19"/>
    </row>
    <row r="25" customFormat="false" ht="16.5" hidden="false" customHeight="true" outlineLevel="0" collapsed="false">
      <c r="B25" s="23" t="s">
        <v>21</v>
      </c>
      <c r="C25" s="16" t="n">
        <f aca="false">COUNTIF(AVRsous_type,$B25)</f>
        <v>3</v>
      </c>
      <c r="D25" s="17" t="n">
        <f aca="false">SUMIF(AVRsous_type,$B25,AVRmontant_solde_euro)</f>
        <v>4520.725238</v>
      </c>
      <c r="E25" s="18" t="n">
        <f aca="false">D25/D$28</f>
        <v>0.0269097947903733</v>
      </c>
      <c r="F25" s="19"/>
      <c r="G25" s="19"/>
      <c r="H25" s="19"/>
      <c r="I25" s="19"/>
    </row>
    <row r="26" customFormat="false" ht="16.5" hidden="false" customHeight="true" outlineLevel="0" collapsed="false">
      <c r="B26" s="23" t="s">
        <v>22</v>
      </c>
      <c r="C26" s="16" t="n">
        <f aca="false">COUNTIF(AVRsous_type,$B26)</f>
        <v>1</v>
      </c>
      <c r="D26" s="17" t="n">
        <f aca="false">SUMIF(AVRsous_type,$B26,AVRmontant_solde_euro)</f>
        <v>1664.28912</v>
      </c>
      <c r="E26" s="18" t="n">
        <f aca="false">D26/D$28</f>
        <v>0.00990674644736083</v>
      </c>
      <c r="F26" s="19"/>
      <c r="G26" s="19"/>
      <c r="H26" s="19"/>
      <c r="I26" s="19"/>
    </row>
    <row r="27" customFormat="false" ht="16.5" hidden="false" customHeight="true" outlineLevel="0" collapsed="false">
      <c r="B27" s="23" t="s">
        <v>23</v>
      </c>
      <c r="C27" s="16" t="n">
        <f aca="false">COUNTIF(AVRsous_type,$B27)</f>
        <v>2</v>
      </c>
      <c r="D27" s="17" t="n">
        <f aca="false">SUMIF(AVRsous_type,$B27,AVRmontant_solde_euro)</f>
        <v>5610.870864</v>
      </c>
      <c r="E27" s="18" t="n">
        <f aca="false">D27/D$28</f>
        <v>0.0333989295072315</v>
      </c>
      <c r="F27" s="19"/>
      <c r="G27" s="19"/>
      <c r="H27" s="19"/>
      <c r="I27" s="19"/>
    </row>
    <row r="28" customFormat="false" ht="16.5" hidden="false" customHeight="true" outlineLevel="0" collapsed="false">
      <c r="B28" s="24" t="s">
        <v>3</v>
      </c>
      <c r="C28" s="16" t="n">
        <f aca="false">SUM(C17:C27)</f>
        <v>45</v>
      </c>
      <c r="D28" s="25" t="n">
        <f aca="false">ROUND(SUM(D17:D27),2)</f>
        <v>167995.53</v>
      </c>
      <c r="E28" s="18"/>
      <c r="F28" s="19"/>
      <c r="G28" s="19"/>
      <c r="H28" s="19"/>
      <c r="I28" s="19"/>
    </row>
    <row r="29" customFormat="false" ht="16.5" hidden="false" customHeight="true" outlineLevel="0" collapsed="false">
      <c r="B29" s="28" t="s">
        <v>24</v>
      </c>
      <c r="C29" s="29"/>
      <c r="D29" s="27"/>
      <c r="E29" s="13"/>
      <c r="F29" s="19"/>
      <c r="G29" s="19"/>
      <c r="H29" s="19"/>
      <c r="I29" s="19"/>
    </row>
    <row r="30" customFormat="false" ht="16.5" hidden="false" customHeight="true" outlineLevel="0" collapsed="false">
      <c r="B30" s="30" t="s">
        <v>12</v>
      </c>
      <c r="C30" s="16" t="n">
        <f aca="false">COUNTIF(AVRdomiciliation,$B30)</f>
        <v>0</v>
      </c>
      <c r="D30" s="17" t="n">
        <f aca="false">SUMIF(AVRdomiciliation,$B30,AVRmontant_solde_euro)</f>
        <v>0</v>
      </c>
      <c r="E30" s="18" t="n">
        <f aca="false">D30/D$45</f>
        <v>0</v>
      </c>
      <c r="F30" s="19"/>
      <c r="G30" s="20"/>
      <c r="H30" s="19"/>
      <c r="I30" s="19"/>
    </row>
    <row r="31" customFormat="false" ht="16.5" hidden="false" customHeight="true" outlineLevel="0" collapsed="false">
      <c r="B31" s="30" t="s">
        <v>25</v>
      </c>
      <c r="C31" s="16" t="n">
        <f aca="false">COUNTIF(AVRdomiciliation,$B31)</f>
        <v>3</v>
      </c>
      <c r="D31" s="17" t="n">
        <f aca="false">SUMIF(AVRdomiciliation,$B31,AVRmontant_solde_euro)</f>
        <v>29093.84</v>
      </c>
      <c r="E31" s="18" t="n">
        <f aca="false">D31/D$45</f>
        <v>0.173182226931871</v>
      </c>
      <c r="F31" s="19"/>
      <c r="G31" s="20"/>
      <c r="H31" s="19"/>
      <c r="I31" s="19"/>
    </row>
    <row r="32" customFormat="false" ht="16.5" hidden="false" customHeight="true" outlineLevel="0" collapsed="false">
      <c r="B32" s="30" t="s">
        <v>26</v>
      </c>
      <c r="C32" s="16" t="n">
        <f aca="false">COUNTIF(AVRdomiciliation,$B32)</f>
        <v>1</v>
      </c>
      <c r="D32" s="17" t="n">
        <f aca="false">SUMIF(AVRdomiciliation,$B32,AVRmontant_solde_euro)</f>
        <v>0.22</v>
      </c>
      <c r="E32" s="18" t="n">
        <f aca="false">D32/D$45</f>
        <v>1.30955865313797E-006</v>
      </c>
      <c r="F32" s="19"/>
      <c r="G32" s="20"/>
      <c r="H32" s="19"/>
      <c r="I32" s="19"/>
    </row>
    <row r="33" customFormat="false" ht="16.5" hidden="false" customHeight="true" outlineLevel="0" collapsed="false">
      <c r="B33" s="30" t="s">
        <v>27</v>
      </c>
      <c r="C33" s="16" t="n">
        <f aca="false">COUNTIF(AVRdomiciliation,$B33)</f>
        <v>6</v>
      </c>
      <c r="D33" s="17" t="n">
        <f aca="false">SUMIF(AVRdomiciliation,$B33,AVRmontant_solde_euro)</f>
        <v>10400.3170693993</v>
      </c>
      <c r="E33" s="18" t="n">
        <f aca="false">D33/D$45</f>
        <v>0.0619082964255019</v>
      </c>
      <c r="F33" s="19"/>
      <c r="G33" s="20"/>
      <c r="H33" s="19"/>
      <c r="I33" s="19"/>
    </row>
    <row r="34" customFormat="false" ht="16.5" hidden="false" customHeight="true" outlineLevel="0" collapsed="false">
      <c r="B34" s="30" t="s">
        <v>28</v>
      </c>
      <c r="C34" s="16" t="n">
        <f aca="false">COUNTIF(AVRdomiciliation,$B34)</f>
        <v>4</v>
      </c>
      <c r="D34" s="17" t="n">
        <f aca="false">SUMIF(AVRdomiciliation,$B34,AVRmontant_solde_euro)</f>
        <v>13295.73</v>
      </c>
      <c r="E34" s="18" t="n">
        <f aca="false">D34/D$45</f>
        <v>0.0791433557785734</v>
      </c>
      <c r="F34" s="19"/>
      <c r="G34" s="20"/>
      <c r="H34" s="19"/>
      <c r="I34" s="19"/>
    </row>
    <row r="35" customFormat="false" ht="16.5" hidden="false" customHeight="true" outlineLevel="0" collapsed="false">
      <c r="B35" s="30" t="s">
        <v>29</v>
      </c>
      <c r="C35" s="16" t="n">
        <f aca="false">COUNTIF(AVRdomiciliation,$B35)</f>
        <v>4</v>
      </c>
      <c r="D35" s="17" t="n">
        <f aca="false">SUMIF(AVRdomiciliation,$B35,AVRmontant_solde_euro)</f>
        <v>18056.9965302414</v>
      </c>
      <c r="E35" s="18" t="n">
        <f aca="false">D35/D$45</f>
        <v>0.107484982072091</v>
      </c>
      <c r="F35" s="19"/>
      <c r="G35" s="20"/>
      <c r="H35" s="19"/>
      <c r="I35" s="19"/>
    </row>
    <row r="36" customFormat="false" ht="16.5" hidden="false" customHeight="true" outlineLevel="0" collapsed="false">
      <c r="B36" s="30" t="s">
        <v>30</v>
      </c>
      <c r="C36" s="16" t="n">
        <f aca="false">COUNTIF(AVRdomiciliation,$B36)</f>
        <v>2</v>
      </c>
      <c r="D36" s="17" t="n">
        <f aca="false">SUMIF(AVRdomiciliation,$B36,AVRmontant_solde_euro)</f>
        <v>2736.39</v>
      </c>
      <c r="E36" s="18" t="n">
        <f aca="false">D36/D$45</f>
        <v>0.0162884691039101</v>
      </c>
      <c r="F36" s="19"/>
      <c r="G36" s="20"/>
      <c r="H36" s="19"/>
      <c r="I36" s="19"/>
    </row>
    <row r="37" customFormat="false" ht="16.5" hidden="false" customHeight="true" outlineLevel="0" collapsed="false">
      <c r="B37" s="30" t="s">
        <v>31</v>
      </c>
      <c r="C37" s="16" t="n">
        <f aca="false">COUNTIF(AVRdomiciliation,$B37)</f>
        <v>2</v>
      </c>
      <c r="D37" s="17" t="n">
        <f aca="false">SUMIF(AVRdomiciliation,$B37,AVRmontant_solde_euro)</f>
        <v>126.7796086549</v>
      </c>
      <c r="E37" s="18" t="n">
        <f aca="false">D37/D$45</f>
        <v>0.000754660607070319</v>
      </c>
      <c r="F37" s="19"/>
      <c r="G37" s="20"/>
      <c r="H37" s="19"/>
      <c r="I37" s="19"/>
    </row>
    <row r="38" customFormat="false" ht="16.5" hidden="false" customHeight="true" outlineLevel="0" collapsed="false">
      <c r="B38" s="30" t="s">
        <v>32</v>
      </c>
      <c r="C38" s="16" t="n">
        <f aca="false">COUNTIF(AVRdomiciliation,$B38)</f>
        <v>1</v>
      </c>
      <c r="D38" s="17" t="n">
        <f aca="false">SUMIF(AVRdomiciliation,$B38,AVRmontant_solde_euro)</f>
        <v>0</v>
      </c>
      <c r="E38" s="18" t="n">
        <f aca="false">D38/D$45</f>
        <v>0</v>
      </c>
      <c r="F38" s="19"/>
      <c r="G38" s="20"/>
      <c r="H38" s="19"/>
      <c r="I38" s="19"/>
    </row>
    <row r="39" customFormat="false" ht="16.5" hidden="false" customHeight="true" outlineLevel="0" collapsed="false">
      <c r="B39" s="30" t="s">
        <v>33</v>
      </c>
      <c r="C39" s="16" t="n">
        <f aca="false">COUNTIF(AVRdomiciliation,$B39)</f>
        <v>2</v>
      </c>
      <c r="D39" s="17" t="n">
        <f aca="false">SUMIF(AVRdomiciliation,$B39,AVRmontant_solde_euro)</f>
        <v>568.1562300299</v>
      </c>
      <c r="E39" s="18" t="n">
        <f aca="false">D39/D$45</f>
        <v>0.00338197230622684</v>
      </c>
      <c r="F39" s="19"/>
      <c r="G39" s="20"/>
      <c r="H39" s="19"/>
      <c r="I39" s="19"/>
    </row>
    <row r="40" customFormat="false" ht="16.5" hidden="false" customHeight="true" outlineLevel="0" collapsed="false">
      <c r="B40" s="30" t="s">
        <v>34</v>
      </c>
      <c r="C40" s="16" t="n">
        <f aca="false">COUNTIF(AVRdomiciliation,$B40)</f>
        <v>1</v>
      </c>
      <c r="D40" s="17" t="n">
        <f aca="false">SUMIF(AVRdomiciliation,$B40,AVRmontant_solde_euro)</f>
        <v>17565.09</v>
      </c>
      <c r="E40" s="18" t="n">
        <f aca="false">D40/D$45</f>
        <v>0.104556889102942</v>
      </c>
      <c r="F40" s="19"/>
      <c r="G40" s="20"/>
      <c r="H40" s="19"/>
      <c r="I40" s="19"/>
    </row>
    <row r="41" customFormat="false" ht="16.5" hidden="false" customHeight="true" outlineLevel="0" collapsed="false">
      <c r="B41" s="30" t="s">
        <v>35</v>
      </c>
      <c r="C41" s="16" t="n">
        <f aca="false">COUNTIF(AVRdomiciliation,$B41)</f>
        <v>1</v>
      </c>
      <c r="D41" s="17" t="n">
        <f aca="false">SUMIF(AVRdomiciliation,$B41,AVRmontant_solde_euro)</f>
        <v>0</v>
      </c>
      <c r="E41" s="18" t="n">
        <f aca="false">D41/D$45</f>
        <v>0</v>
      </c>
      <c r="F41" s="19"/>
      <c r="G41" s="20"/>
      <c r="H41" s="19"/>
      <c r="I41" s="19"/>
    </row>
    <row r="42" customFormat="false" ht="16.5" hidden="false" customHeight="true" outlineLevel="0" collapsed="false">
      <c r="B42" s="30" t="s">
        <v>36</v>
      </c>
      <c r="C42" s="16" t="n">
        <f aca="false">COUNTIF(AVRdomiciliation,$B42)</f>
        <v>8</v>
      </c>
      <c r="D42" s="17" t="n">
        <f aca="false">SUMIF(AVRdomiciliation,$B42,AVRmontant_solde_euro)</f>
        <v>67498.76</v>
      </c>
      <c r="E42" s="18" t="n">
        <f aca="false">D42/D$45</f>
        <v>0.401789023791288</v>
      </c>
      <c r="F42" s="19"/>
      <c r="G42" s="20"/>
      <c r="H42" s="19"/>
      <c r="I42" s="19"/>
    </row>
    <row r="43" customFormat="false" ht="16.5" hidden="false" customHeight="true" outlineLevel="0" collapsed="false">
      <c r="B43" s="30" t="s">
        <v>37</v>
      </c>
      <c r="C43" s="16" t="n">
        <f aca="false">COUNTIF(AVRdomiciliation,$B43)</f>
        <v>7</v>
      </c>
      <c r="D43" s="17" t="n">
        <f aca="false">SUMIF(AVRdomiciliation,$B43,AVRmontant_solde_euro)</f>
        <v>7883.691844</v>
      </c>
      <c r="E43" s="18" t="n">
        <f aca="false">D43/D$45</f>
        <v>0.0469279857862885</v>
      </c>
      <c r="F43" s="19"/>
      <c r="G43" s="20"/>
      <c r="H43" s="19"/>
      <c r="I43" s="19"/>
    </row>
    <row r="44" customFormat="false" ht="16.5" hidden="false" customHeight="true" outlineLevel="0" collapsed="false">
      <c r="B44" s="30" t="s">
        <v>38</v>
      </c>
      <c r="C44" s="16" t="n">
        <f aca="false">COUNTIF(AVRdomiciliation,$B44)</f>
        <v>3</v>
      </c>
      <c r="D44" s="17" t="n">
        <f aca="false">SUMIF(AVRdomiciliation,$B44,AVRmontant_solde_euro)</f>
        <v>769.555158</v>
      </c>
      <c r="E44" s="18" t="n">
        <f aca="false">D44/D$45</f>
        <v>0.00458080734648118</v>
      </c>
      <c r="F44" s="19"/>
      <c r="G44" s="20"/>
      <c r="H44" s="19"/>
      <c r="I44" s="19"/>
    </row>
    <row r="45" customFormat="false" ht="16.5" hidden="false" customHeight="true" outlineLevel="0" collapsed="false">
      <c r="B45" s="24" t="s">
        <v>3</v>
      </c>
      <c r="C45" s="16" t="n">
        <f aca="false">SUM(C30:C44)</f>
        <v>45</v>
      </c>
      <c r="D45" s="25" t="n">
        <f aca="false">ROUND(SUM(D30:D44),2)</f>
        <v>167995.53</v>
      </c>
      <c r="E45" s="18"/>
      <c r="F45" s="19"/>
      <c r="G45" s="19"/>
      <c r="H45" s="19"/>
      <c r="I45" s="19"/>
    </row>
    <row r="46" customFormat="false" ht="16.5" hidden="false" customHeight="true" outlineLevel="0" collapsed="false">
      <c r="B46" s="21" t="s">
        <v>39</v>
      </c>
      <c r="C46" s="26"/>
      <c r="D46" s="27"/>
      <c r="E46" s="13"/>
      <c r="F46" s="19"/>
      <c r="G46" s="19"/>
      <c r="H46" s="19"/>
      <c r="I46" s="19"/>
    </row>
    <row r="47" customFormat="false" ht="16.5" hidden="false" customHeight="true" outlineLevel="0" collapsed="false">
      <c r="B47" s="23" t="s">
        <v>12</v>
      </c>
      <c r="C47" s="16" t="n">
        <f aca="false">COUNTIF(AVRtitulaire,$B47)</f>
        <v>0</v>
      </c>
      <c r="D47" s="17" t="n">
        <f aca="false">SUMIF(AVRtitulaire,$B47,AVRmontant_solde_euro)</f>
        <v>0</v>
      </c>
      <c r="E47" s="18" t="n">
        <f aca="false">D47/D$51</f>
        <v>0</v>
      </c>
      <c r="F47" s="19"/>
      <c r="G47" s="19"/>
      <c r="H47" s="19"/>
      <c r="I47" s="19"/>
    </row>
    <row r="48" customFormat="false" ht="16.5" hidden="false" customHeight="true" outlineLevel="0" collapsed="false">
      <c r="B48" s="23" t="s">
        <v>40</v>
      </c>
      <c r="C48" s="16" t="n">
        <f aca="false">COUNTIF(AVRtitulaire,$B48)</f>
        <v>17</v>
      </c>
      <c r="D48" s="17" t="n">
        <f aca="false">SUMIF(AVRtitulaire,$B48,AVRmontant_solde_euro)</f>
        <v>72713.0594383255</v>
      </c>
      <c r="E48" s="18" t="n">
        <f aca="false">D48/D$51</f>
        <v>0.432827346289068</v>
      </c>
      <c r="F48" s="19"/>
      <c r="G48" s="19"/>
      <c r="H48" s="19"/>
      <c r="I48" s="19"/>
    </row>
    <row r="49" customFormat="false" ht="16.5" hidden="false" customHeight="true" outlineLevel="0" collapsed="false">
      <c r="B49" s="23" t="s">
        <v>41</v>
      </c>
      <c r="C49" s="16" t="n">
        <f aca="false">COUNTIF(AVRtitulaire,$B49)</f>
        <v>5</v>
      </c>
      <c r="D49" s="17" t="n">
        <f aca="false">SUMIF(AVRtitulaire,$B49,AVRmontant_solde_euro)</f>
        <v>64491.19</v>
      </c>
      <c r="E49" s="18" t="n">
        <f aca="false">D49/D$51</f>
        <v>0.383886345071205</v>
      </c>
      <c r="F49" s="19"/>
      <c r="G49" s="19"/>
      <c r="H49" s="19"/>
      <c r="I49" s="19"/>
    </row>
    <row r="50" customFormat="false" ht="16.5" hidden="false" customHeight="true" outlineLevel="0" collapsed="false">
      <c r="B50" s="23" t="s">
        <v>42</v>
      </c>
      <c r="C50" s="16" t="n">
        <f aca="false">COUNTIF(AVRtitulaire,$B50)</f>
        <v>23</v>
      </c>
      <c r="D50" s="17" t="n">
        <f aca="false">SUMIF(AVRtitulaire,$B50,AVRmontant_solde_euro)</f>
        <v>30791.277002</v>
      </c>
      <c r="E50" s="18" t="n">
        <f aca="false">D50/D$51</f>
        <v>0.183286287450624</v>
      </c>
      <c r="F50" s="19"/>
      <c r="G50" s="19"/>
      <c r="H50" s="19"/>
      <c r="I50" s="19"/>
    </row>
    <row r="51" customFormat="false" ht="16.5" hidden="false" customHeight="true" outlineLevel="0" collapsed="false">
      <c r="B51" s="24" t="s">
        <v>3</v>
      </c>
      <c r="C51" s="16" t="n">
        <f aca="false">SUM(C47:C50)</f>
        <v>45</v>
      </c>
      <c r="D51" s="25" t="n">
        <f aca="false">ROUND(SUM(D47:D50),2)</f>
        <v>167995.53</v>
      </c>
      <c r="E51" s="18"/>
      <c r="F51" s="19"/>
      <c r="G51" s="19"/>
      <c r="H51" s="19"/>
      <c r="I51" s="19"/>
    </row>
    <row r="52" customFormat="false" ht="15.75" hidden="false" customHeight="true" outlineLevel="0" collapsed="false">
      <c r="B52" s="21" t="s">
        <v>43</v>
      </c>
      <c r="C52" s="26"/>
      <c r="D52" s="27"/>
      <c r="E52" s="13"/>
      <c r="F52" s="19"/>
      <c r="G52" s="19"/>
      <c r="H52" s="19"/>
      <c r="I52" s="19"/>
    </row>
    <row r="53" customFormat="false" ht="15.75" hidden="false" customHeight="true" outlineLevel="0" collapsed="false">
      <c r="B53" s="23" t="s">
        <v>44</v>
      </c>
      <c r="C53" s="16" t="n">
        <f aca="false">COUNTIF(AVRpropriete,$B53)</f>
        <v>10</v>
      </c>
      <c r="D53" s="17" t="n">
        <f aca="false">SUMIF(AVRpropriete,B53,AVRmontant_solde_euro)</f>
        <v>28457.3135996407</v>
      </c>
      <c r="E53" s="18" t="n">
        <f aca="false">D53/D$55</f>
        <v>0.169393278497593</v>
      </c>
      <c r="F53" s="19"/>
      <c r="G53" s="20"/>
      <c r="H53" s="19"/>
      <c r="I53" s="19"/>
    </row>
    <row r="54" customFormat="false" ht="15.75" hidden="false" customHeight="true" outlineLevel="0" collapsed="false">
      <c r="B54" s="23" t="s">
        <v>45</v>
      </c>
      <c r="C54" s="16" t="n">
        <f aca="false">COUNTIF(AVRpropriete,$B54)</f>
        <v>35</v>
      </c>
      <c r="D54" s="17" t="n">
        <f aca="false">SUMIF(AVRpropriete,B54,AVRmontant_solde_euro)</f>
        <v>139538.212840685</v>
      </c>
      <c r="E54" s="18" t="n">
        <f aca="false">D54/D$55</f>
        <v>0.830606700313305</v>
      </c>
      <c r="F54" s="19"/>
      <c r="G54" s="20" t="s">
        <v>46</v>
      </c>
      <c r="H54" s="19"/>
      <c r="I54" s="19"/>
    </row>
    <row r="55" customFormat="false" ht="15.75" hidden="false" customHeight="true" outlineLevel="0" collapsed="false">
      <c r="B55" s="24" t="s">
        <v>3</v>
      </c>
      <c r="C55" s="16" t="n">
        <f aca="false">SUM(C53:C54)</f>
        <v>45</v>
      </c>
      <c r="D55" s="25" t="n">
        <f aca="false">ROUND(SUM(D53:D54),2)</f>
        <v>167995.53</v>
      </c>
      <c r="E55" s="18"/>
      <c r="F55" s="19"/>
      <c r="G55" s="19"/>
      <c r="H55" s="19"/>
      <c r="I55" s="19"/>
    </row>
    <row r="56" customFormat="false" ht="15.75" hidden="false" customHeight="true" outlineLevel="0" collapsed="false">
      <c r="B56" s="15" t="s">
        <v>4</v>
      </c>
      <c r="C56" s="16"/>
      <c r="D56" s="17"/>
      <c r="E56" s="18"/>
      <c r="F56" s="19"/>
      <c r="G56" s="20"/>
      <c r="H56" s="19"/>
      <c r="I56" s="19"/>
    </row>
    <row r="57" customFormat="false" ht="12.75" hidden="false" customHeight="true" outlineLevel="0" collapsed="false">
      <c r="B57" s="31" t="s">
        <v>47</v>
      </c>
      <c r="C57" s="31"/>
      <c r="D57" s="32" t="n">
        <f aca="false">(ABS(D15-D4)&gt;0.5)+(ABS(D28-D4)&gt;0.5)+(ABS(D45-D4)&gt;0.5)+(ABS(D51-D4)&gt;0.5)+(ABS(D55-D4)&gt;0.5)</f>
        <v>0</v>
      </c>
      <c r="E57" s="31"/>
      <c r="F57" s="31"/>
      <c r="G57" s="31"/>
      <c r="H57" s="31"/>
      <c r="I57" s="31"/>
    </row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>
      <c r="J62" s="3" t="s">
        <v>48</v>
      </c>
      <c r="K62" s="3"/>
      <c r="L62" s="6"/>
    </row>
    <row r="63" customFormat="false" ht="15.75" hidden="false" customHeight="true" outlineLevel="0" collapsed="false">
      <c r="J63" s="6"/>
      <c r="K63" s="6" t="s">
        <v>49</v>
      </c>
      <c r="L63" s="6" t="s">
        <v>50</v>
      </c>
    </row>
    <row r="64" customFormat="false" ht="15.75" hidden="false" customHeight="true" outlineLevel="0" collapsed="false">
      <c r="J64" s="33" t="s">
        <v>4</v>
      </c>
      <c r="K64" s="16"/>
      <c r="L64" s="16"/>
    </row>
    <row r="65" customFormat="false" ht="15.75" hidden="false" customHeight="true" outlineLevel="0" collapsed="false">
      <c r="J65" s="33"/>
      <c r="K65" s="34" t="s">
        <v>51</v>
      </c>
      <c r="L65" s="35" t="s">
        <v>52</v>
      </c>
    </row>
    <row r="66" customFormat="false" ht="15.75" hidden="false" customHeight="true" outlineLevel="0" collapsed="false">
      <c r="J66" s="33"/>
      <c r="K66" s="36" t="s">
        <v>51</v>
      </c>
      <c r="L66" s="35" t="s">
        <v>53</v>
      </c>
    </row>
    <row r="67" customFormat="false" ht="15.75" hidden="false" customHeight="true" outlineLevel="0" collapsed="false">
      <c r="J67" s="33"/>
      <c r="K67" s="37" t="s">
        <v>51</v>
      </c>
      <c r="L67" s="35" t="s">
        <v>54</v>
      </c>
    </row>
    <row r="68" customFormat="false" ht="15.75" hidden="false" customHeight="true" outlineLevel="0" collapsed="false">
      <c r="J68" s="15"/>
      <c r="K68" s="38" t="s">
        <v>51</v>
      </c>
      <c r="L68" s="39" t="s">
        <v>55</v>
      </c>
    </row>
    <row r="69" customFormat="false" ht="15.75" hidden="false" customHeight="true" outlineLevel="0" collapsed="false">
      <c r="J69" s="15"/>
      <c r="K69" s="40" t="s">
        <v>56</v>
      </c>
      <c r="L69" s="39" t="s">
        <v>57</v>
      </c>
    </row>
    <row r="70" customFormat="false" ht="15.75" hidden="false" customHeight="true" outlineLevel="0" collapsed="false">
      <c r="J70" s="15"/>
      <c r="K70" s="41" t="s">
        <v>56</v>
      </c>
      <c r="L70" s="39" t="s">
        <v>58</v>
      </c>
    </row>
    <row r="71" customFormat="false" ht="15.75" hidden="false" customHeight="true" outlineLevel="0" collapsed="false">
      <c r="J71" s="15"/>
      <c r="K71" s="42" t="s">
        <v>51</v>
      </c>
      <c r="L71" s="39" t="s">
        <v>59</v>
      </c>
    </row>
    <row r="72" customFormat="false" ht="15.75" hidden="false" customHeight="true" outlineLevel="0" collapsed="false">
      <c r="J72" s="15"/>
      <c r="K72" s="43" t="s">
        <v>60</v>
      </c>
      <c r="L72" s="39" t="s">
        <v>61</v>
      </c>
    </row>
    <row r="73" customFormat="false" ht="15.75" hidden="false" customHeight="true" outlineLevel="0" collapsed="false">
      <c r="J73" s="15"/>
      <c r="K73" s="43" t="s">
        <v>62</v>
      </c>
      <c r="L73" s="39" t="s">
        <v>63</v>
      </c>
    </row>
    <row r="74" customFormat="false" ht="15.75" hidden="false" customHeight="true" outlineLevel="0" collapsed="false">
      <c r="J74" s="15"/>
      <c r="K74" s="43" t="s">
        <v>64</v>
      </c>
      <c r="L74" s="39" t="s">
        <v>65</v>
      </c>
    </row>
    <row r="75" customFormat="false" ht="15.75" hidden="false" customHeight="true" outlineLevel="0" collapsed="false">
      <c r="J75" s="15"/>
      <c r="K75" s="44"/>
      <c r="L75" s="39"/>
    </row>
    <row r="76" customFormat="false" ht="15.75" hidden="false" customHeight="true" outlineLevel="0" collapsed="false">
      <c r="J76" s="15"/>
      <c r="K76" s="39" t="s">
        <v>66</v>
      </c>
      <c r="L76" s="39"/>
    </row>
    <row r="77" customFormat="false" ht="15.75" hidden="false" customHeight="true" outlineLevel="0" collapsed="false">
      <c r="J77" s="15"/>
      <c r="K77" s="44"/>
      <c r="L77" s="39"/>
    </row>
    <row r="78" customFormat="false" ht="15.75" hidden="false" customHeight="true" outlineLevel="0" collapsed="false">
      <c r="J78" s="15"/>
      <c r="K78" s="44" t="s">
        <v>3</v>
      </c>
      <c r="L78" s="39" t="s">
        <v>67</v>
      </c>
    </row>
    <row r="79" customFormat="false" ht="15.75" hidden="false" customHeight="true" outlineLevel="0" collapsed="false">
      <c r="J79" s="15"/>
      <c r="K79" s="44" t="s">
        <v>68</v>
      </c>
      <c r="L79" s="39" t="s">
        <v>69</v>
      </c>
    </row>
    <row r="80" customFormat="false" ht="15.75" hidden="false" customHeight="true" outlineLevel="0" collapsed="false">
      <c r="J80" s="15"/>
      <c r="K80" s="44" t="s">
        <v>70</v>
      </c>
      <c r="L80" s="39" t="s">
        <v>71</v>
      </c>
    </row>
    <row r="81" customFormat="false" ht="15.75" hidden="false" customHeight="true" outlineLevel="0" collapsed="false">
      <c r="J81" s="15"/>
      <c r="K81" s="44" t="s">
        <v>72</v>
      </c>
      <c r="L81" s="39" t="s">
        <v>71</v>
      </c>
    </row>
    <row r="82" customFormat="false" ht="15.75" hidden="false" customHeight="true" outlineLevel="0" collapsed="false">
      <c r="J82" s="15"/>
      <c r="K82" s="44" t="s">
        <v>73</v>
      </c>
      <c r="L82" s="39" t="s">
        <v>74</v>
      </c>
    </row>
    <row r="83" customFormat="false" ht="15.75" hidden="false" customHeight="true" outlineLevel="0" collapsed="false">
      <c r="J83" s="15"/>
      <c r="K83" s="44" t="s">
        <v>75</v>
      </c>
      <c r="L83" s="39" t="s">
        <v>76</v>
      </c>
    </row>
    <row r="84" customFormat="false" ht="15.75" hidden="false" customHeight="true" outlineLevel="0" collapsed="false">
      <c r="J84" s="15"/>
      <c r="K84" s="44" t="s">
        <v>77</v>
      </c>
      <c r="L84" s="39" t="s">
        <v>76</v>
      </c>
    </row>
    <row r="85" customFormat="false" ht="15.75" hidden="false" customHeight="true" outlineLevel="0" collapsed="false">
      <c r="J85" s="15"/>
      <c r="K85" s="44" t="s">
        <v>78</v>
      </c>
      <c r="L85" s="39" t="s">
        <v>79</v>
      </c>
    </row>
    <row r="86" customFormat="false" ht="15.75" hidden="false" customHeight="true" outlineLevel="0" collapsed="false">
      <c r="J86" s="15"/>
      <c r="K86" s="44" t="s">
        <v>80</v>
      </c>
      <c r="L86" s="39" t="s">
        <v>79</v>
      </c>
    </row>
    <row r="87" customFormat="false" ht="15.75" hidden="false" customHeight="true" outlineLevel="0" collapsed="false">
      <c r="J87" s="15"/>
      <c r="K87" s="44"/>
      <c r="L87" s="44"/>
    </row>
    <row r="88" customFormat="false" ht="15.75" hidden="false" customHeight="true" outlineLevel="0" collapsed="false">
      <c r="J88" s="15"/>
      <c r="K88" s="39" t="s">
        <v>81</v>
      </c>
      <c r="L88" s="44"/>
    </row>
    <row r="89" customFormat="false" ht="12.75" hidden="false" customHeight="true" outlineLevel="0" collapsed="false">
      <c r="J89" s="15" t="s">
        <v>4</v>
      </c>
      <c r="K89" s="44"/>
      <c r="L89" s="44"/>
    </row>
    <row r="90" customFormat="false" ht="12.75" hidden="false" customHeight="true" outlineLevel="0" collapsed="false">
      <c r="J90" s="31"/>
      <c r="K90" s="31"/>
      <c r="L90" s="31"/>
    </row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8">
    <cfRule type="cellIs" priority="2" operator="notEqual" aboveAverage="0" equalAverage="0" bottom="0" percent="0" rank="0" text="" dxfId="0">
      <formula>Avoirs!$L$65</formula>
    </cfRule>
  </conditionalFormatting>
  <conditionalFormatting sqref="D15">
    <cfRule type="cellIs" priority="3" operator="notEqual" aboveAverage="0" equalAverage="0" bottom="0" percent="0" rank="0" text="" dxfId="0">
      <formula>Avoirs!L2</formula>
    </cfRule>
  </conditionalFormatting>
  <conditionalFormatting sqref="D45">
    <cfRule type="cellIs" priority="4" operator="notEqual" aboveAverage="0" equalAverage="0" bottom="0" percent="0" rank="0" text="" dxfId="0">
      <formula>Avoirs!L2</formula>
    </cfRule>
  </conditionalFormatting>
  <conditionalFormatting sqref="D51">
    <cfRule type="cellIs" priority="5" operator="notEqual" aboveAverage="0" equalAverage="0" bottom="0" percent="0" rank="0" text="" dxfId="0">
      <formula>Avoirs!L2</formula>
    </cfRule>
  </conditionalFormatting>
  <conditionalFormatting sqref="D55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D57">
    <cfRule type="cellIs" priority="9" operator="notEqual" aboveAverage="0" equalAverage="0" bottom="0" percent="0" rank="0" text="" dxfId="1">
      <formula>0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5" width="27.16"/>
    <col collapsed="false" customWidth="true" hidden="false" outlineLevel="0" max="2" min="2" style="45" width="20.83"/>
    <col collapsed="false" customWidth="true" hidden="false" outlineLevel="0" max="3" min="3" style="45" width="17.52"/>
    <col collapsed="false" customWidth="true" hidden="false" outlineLevel="0" max="4" min="4" style="46" width="15.13"/>
    <col collapsed="false" customWidth="true" hidden="false" outlineLevel="0" max="5" min="5" style="46" width="9.52"/>
    <col collapsed="false" customWidth="true" hidden="false" outlineLevel="0" max="6" min="6" style="46" width="10.66"/>
    <col collapsed="false" customWidth="true" hidden="false" outlineLevel="0" max="7" min="7" style="46" width="10.16"/>
    <col collapsed="false" customWidth="true" hidden="false" outlineLevel="0" max="8" min="8" style="46" width="12.51"/>
    <col collapsed="false" customWidth="true" hidden="false" outlineLevel="0" max="9" min="9" style="45" width="14.16"/>
    <col collapsed="false" customWidth="true" hidden="false" outlineLevel="0" max="10" min="10" style="46" width="12.15"/>
    <col collapsed="false" customWidth="true" hidden="false" outlineLevel="0" max="11" min="11" style="46" width="15.85"/>
    <col collapsed="false" customWidth="true" hidden="false" outlineLevel="0" max="12" min="12" style="45" width="16.16"/>
    <col collapsed="false" customWidth="true" hidden="false" outlineLevel="0" max="13" min="13" style="45" width="27.5"/>
    <col collapsed="false" customWidth="true" hidden="false" outlineLevel="0" max="14" min="14" style="45" width="15"/>
    <col collapsed="false" customWidth="true" hidden="false" outlineLevel="0" max="15" min="15" style="45" width="22"/>
    <col collapsed="false" customWidth="true" hidden="false" outlineLevel="0" max="16" min="16" style="45" width="17.16"/>
    <col collapsed="false" customWidth="true" hidden="false" outlineLevel="0" max="17" min="17" style="45" width="7"/>
    <col collapsed="false" customWidth="false" hidden="false" outlineLevel="0" max="16382" min="18" style="45" width="9.67"/>
  </cols>
  <sheetData>
    <row r="1" customFormat="false" ht="16.5" hidden="false" customHeight="true" outlineLevel="0" collapsed="false">
      <c r="A1" s="47" t="s">
        <v>82</v>
      </c>
      <c r="B1" s="48" t="s">
        <v>83</v>
      </c>
      <c r="C1" s="5"/>
      <c r="D1" s="11"/>
      <c r="E1" s="11"/>
      <c r="F1" s="11"/>
      <c r="G1" s="11"/>
      <c r="H1" s="11"/>
      <c r="I1" s="13"/>
      <c r="J1" s="11"/>
      <c r="K1" s="11"/>
      <c r="L1" s="49" t="str">
        <f aca="false">IF(ISERROR(L65),"✗","✓")</f>
        <v>✓</v>
      </c>
    </row>
    <row r="2" customFormat="false" ht="16.5" hidden="false" customHeight="true" outlineLevel="0" collapsed="false">
      <c r="A2" s="10" t="str">
        <f aca="false">Contrôles!K$70</f>
        <v>⚠</v>
      </c>
      <c r="B2" s="5"/>
      <c r="C2" s="5"/>
      <c r="D2" s="11"/>
      <c r="E2" s="11"/>
      <c r="F2" s="11"/>
      <c r="G2" s="11"/>
      <c r="H2" s="48" t="s">
        <v>84</v>
      </c>
      <c r="I2" s="50"/>
      <c r="J2" s="48" t="s">
        <v>85</v>
      </c>
      <c r="K2" s="50"/>
      <c r="L2" s="51" t="n">
        <f aca="false">L65</f>
        <v>167995.53</v>
      </c>
    </row>
    <row r="3" customFormat="false" ht="33.75" hidden="false" customHeight="true" outlineLevel="0" collapsed="false">
      <c r="A3" s="27" t="s">
        <v>86</v>
      </c>
      <c r="B3" s="48" t="s">
        <v>87</v>
      </c>
      <c r="C3" s="48" t="s">
        <v>88</v>
      </c>
      <c r="D3" s="50" t="s">
        <v>89</v>
      </c>
      <c r="E3" s="52" t="s">
        <v>90</v>
      </c>
      <c r="F3" s="50" t="s">
        <v>91</v>
      </c>
      <c r="G3" s="50" t="s">
        <v>92</v>
      </c>
      <c r="H3" s="50" t="s">
        <v>93</v>
      </c>
      <c r="I3" s="27" t="s">
        <v>94</v>
      </c>
      <c r="J3" s="50" t="s">
        <v>93</v>
      </c>
      <c r="K3" s="52" t="s">
        <v>94</v>
      </c>
      <c r="L3" s="52" t="s">
        <v>95</v>
      </c>
    </row>
    <row r="4" customFormat="false" ht="14.25" hidden="false" customHeight="true" outlineLevel="0" collapsed="false">
      <c r="A4" s="15" t="s">
        <v>4</v>
      </c>
      <c r="B4" s="53"/>
      <c r="C4" s="54"/>
      <c r="D4" s="55"/>
      <c r="E4" s="55"/>
      <c r="F4" s="56"/>
      <c r="G4" s="55"/>
      <c r="H4" s="55"/>
      <c r="I4" s="55"/>
      <c r="J4" s="55"/>
      <c r="K4" s="55"/>
      <c r="L4" s="55"/>
    </row>
    <row r="5" customFormat="false" ht="14.25" hidden="false" customHeight="true" outlineLevel="0" collapsed="false">
      <c r="A5" s="15" t="s">
        <v>96</v>
      </c>
      <c r="B5" s="53" t="s">
        <v>7</v>
      </c>
      <c r="C5" s="54" t="s">
        <v>36</v>
      </c>
      <c r="D5" s="55" t="s">
        <v>15</v>
      </c>
      <c r="E5" s="55" t="s">
        <v>97</v>
      </c>
      <c r="F5" s="56" t="s">
        <v>41</v>
      </c>
      <c r="G5" s="55" t="s">
        <v>45</v>
      </c>
      <c r="H5" s="57" t="n">
        <v>40664</v>
      </c>
      <c r="I5" s="58" t="n">
        <v>42015.43</v>
      </c>
      <c r="J5" s="59" t="n">
        <f aca="false">SUMIFS(PVLdate,PVLcompte,$A5,PVLtitre,Retenu)</f>
        <v>46085</v>
      </c>
      <c r="K5" s="58" t="n">
        <f aca="false">SUMIFS(PVLmontant,PVLcompte,$A5,PVLtitre,Retenu)</f>
        <v>22260.11</v>
      </c>
      <c r="L5" s="58" t="n">
        <f aca="false">K5</f>
        <v>22260.11</v>
      </c>
    </row>
    <row r="6" customFormat="false" ht="14.25" hidden="false" customHeight="true" outlineLevel="0" collapsed="false">
      <c r="A6" s="15" t="s">
        <v>98</v>
      </c>
      <c r="B6" s="53" t="s">
        <v>7</v>
      </c>
      <c r="C6" s="54" t="s">
        <v>36</v>
      </c>
      <c r="D6" s="55" t="s">
        <v>15</v>
      </c>
      <c r="E6" s="55" t="s">
        <v>97</v>
      </c>
      <c r="F6" s="56" t="s">
        <v>41</v>
      </c>
      <c r="G6" s="55" t="s">
        <v>45</v>
      </c>
      <c r="H6" s="57" t="n">
        <v>43483</v>
      </c>
      <c r="I6" s="58" t="n">
        <v>15037.48</v>
      </c>
      <c r="J6" s="59" t="n">
        <f aca="false">SUMIFS(PVLdate,PVLcompte,$A6,PVLtitre,Retenu)</f>
        <v>46085</v>
      </c>
      <c r="K6" s="58" t="n">
        <f aca="false">SUMIFS(PVLmontant,PVLcompte,$A6,PVLtitre,Retenu)</f>
        <v>18605.21</v>
      </c>
      <c r="L6" s="58" t="n">
        <f aca="false">K6</f>
        <v>18605.21</v>
      </c>
    </row>
    <row r="7" customFormat="false" ht="14.25" hidden="false" customHeight="true" outlineLevel="0" collapsed="false">
      <c r="A7" s="15" t="s">
        <v>99</v>
      </c>
      <c r="B7" s="53" t="s">
        <v>7</v>
      </c>
      <c r="C7" s="54" t="s">
        <v>34</v>
      </c>
      <c r="D7" s="55" t="s">
        <v>15</v>
      </c>
      <c r="E7" s="55" t="s">
        <v>97</v>
      </c>
      <c r="F7" s="56" t="s">
        <v>41</v>
      </c>
      <c r="G7" s="55" t="s">
        <v>45</v>
      </c>
      <c r="H7" s="59" t="n">
        <f aca="false">_xlfn.MINIFS(OPdate,OPcompte,$A7,OPdevise,$E7,OPcatégorie,Solde)</f>
        <v>43831</v>
      </c>
      <c r="I7" s="58" t="n">
        <f aca="false">SUMIFS(OPmontant,OPcompte,$A7,OPdevise,$E7,OPcatégorie,Solde,OPdate,$H7)</f>
        <v>26801.73</v>
      </c>
      <c r="J7" s="59" t="n">
        <f aca="false">SUMIFS(PVLdate,PVLcompte,$A7,PVLtitre,Retenu)</f>
        <v>46120</v>
      </c>
      <c r="K7" s="58" t="n">
        <f aca="false">SUMIFS(PVLmontant,PVLcompte,$A7,PVLtitre,Retenu)</f>
        <v>17565.09</v>
      </c>
      <c r="L7" s="58" t="n">
        <f aca="false">K7</f>
        <v>17565.09</v>
      </c>
    </row>
    <row r="8" customFormat="false" ht="14.25" hidden="false" customHeight="true" outlineLevel="0" collapsed="false">
      <c r="A8" s="15" t="s">
        <v>100</v>
      </c>
      <c r="B8" s="53" t="s">
        <v>7</v>
      </c>
      <c r="C8" s="54" t="s">
        <v>28</v>
      </c>
      <c r="D8" s="55" t="s">
        <v>15</v>
      </c>
      <c r="E8" s="55" t="s">
        <v>97</v>
      </c>
      <c r="F8" s="56" t="s">
        <v>42</v>
      </c>
      <c r="G8" s="55" t="s">
        <v>45</v>
      </c>
      <c r="H8" s="57" t="n">
        <v>45485</v>
      </c>
      <c r="I8" s="58" t="n">
        <f aca="false">SUMIFS(OPmontant,OPcompte,$A8,OPdevise,$E8,OPcatégorie,Solde,OPdate,$H8)</f>
        <v>0</v>
      </c>
      <c r="J8" s="59" t="n">
        <f aca="false">SUMIFS(PVLdate,PVLcompte,$A8,PVLtitre,Retenu)</f>
        <v>46120</v>
      </c>
      <c r="K8" s="58" t="n">
        <f aca="false">SUMIFS(PVLmontant,PVLcompte,$A8,PVLtitre,Retenu)</f>
        <v>12806.39</v>
      </c>
      <c r="L8" s="58" t="n">
        <f aca="false">K8</f>
        <v>12806.39</v>
      </c>
    </row>
    <row r="9" customFormat="false" ht="14.25" hidden="false" customHeight="true" outlineLevel="0" collapsed="false">
      <c r="A9" s="15" t="s">
        <v>101</v>
      </c>
      <c r="B9" s="53" t="s">
        <v>7</v>
      </c>
      <c r="C9" s="54" t="s">
        <v>30</v>
      </c>
      <c r="D9" s="55" t="s">
        <v>15</v>
      </c>
      <c r="E9" s="55" t="s">
        <v>97</v>
      </c>
      <c r="F9" s="56" t="s">
        <v>42</v>
      </c>
      <c r="G9" s="55" t="s">
        <v>45</v>
      </c>
      <c r="H9" s="57" t="n">
        <v>45617</v>
      </c>
      <c r="I9" s="58" t="n">
        <f aca="false">SUMIFS(OPmontant,OPcompte,$A9,OPdevise,$E9,OPcatégorie,Solde,OPdate,$H9)</f>
        <v>0</v>
      </c>
      <c r="J9" s="59" t="n">
        <f aca="false">SUMIFS(PVLdate,PVLcompte,$A9,PVLtitre,Retenu)</f>
        <v>46120</v>
      </c>
      <c r="K9" s="58" t="n">
        <f aca="false">SUMIFS(PVLmontant,PVLcompte,$A9,PVLtitre,Retenu)</f>
        <v>2642.85</v>
      </c>
      <c r="L9" s="58" t="n">
        <f aca="false">K9</f>
        <v>2642.85</v>
      </c>
    </row>
    <row r="10" customFormat="false" ht="14.25" hidden="false" customHeight="true" outlineLevel="0" collapsed="false">
      <c r="A10" s="15" t="s">
        <v>102</v>
      </c>
      <c r="B10" s="53" t="s">
        <v>7</v>
      </c>
      <c r="C10" s="54" t="s">
        <v>38</v>
      </c>
      <c r="D10" s="55" t="s">
        <v>15</v>
      </c>
      <c r="E10" s="55" t="s">
        <v>103</v>
      </c>
      <c r="F10" s="56" t="s">
        <v>42</v>
      </c>
      <c r="G10" s="55" t="s">
        <v>45</v>
      </c>
      <c r="H10" s="57" t="n">
        <v>45622</v>
      </c>
      <c r="I10" s="60" t="n">
        <f aca="false">SUMIFS(OPmontant,OPcompte,$A10,OPdevise,$E10,OPcatégorie,Solde,OPdate,$H10)</f>
        <v>0</v>
      </c>
      <c r="J10" s="59" t="n">
        <f aca="false">SUMIFS(PVLdate,PVLcompte,$A10,PVLtitre,Retenu)</f>
        <v>46120</v>
      </c>
      <c r="K10" s="61" t="n">
        <f aca="false">SUMIFS(PVLmontant,PVLcompte,$A10,PVLtitre,Retenu)</f>
        <v>803.33</v>
      </c>
      <c r="L10" s="58" t="n">
        <f aca="false">K10*cours_USD</f>
        <v>695.121449</v>
      </c>
    </row>
    <row r="11" customFormat="false" ht="14.25" hidden="false" customHeight="true" outlineLevel="0" collapsed="false">
      <c r="A11" s="15" t="s">
        <v>104</v>
      </c>
      <c r="B11" s="53" t="s">
        <v>11</v>
      </c>
      <c r="C11" s="54" t="s">
        <v>26</v>
      </c>
      <c r="D11" s="55" t="s">
        <v>17</v>
      </c>
      <c r="E11" s="55" t="s">
        <v>97</v>
      </c>
      <c r="F11" s="56" t="s">
        <v>42</v>
      </c>
      <c r="G11" s="55" t="s">
        <v>45</v>
      </c>
      <c r="H11" s="59" t="n">
        <f aca="false">_xlfn.MINIFS(OPdate,OPcompte,$A11,OPdevise,$E11,OPcatégorie,Solde)</f>
        <v>44999</v>
      </c>
      <c r="I11" s="58" t="n">
        <f aca="false">SUMIFS(OPmontant,OPcompte,$A11,OPdevise,$E11,OPcatégorie,Solde,OPdate,$H11)</f>
        <v>0</v>
      </c>
      <c r="J11" s="59" t="n">
        <f aca="false">_xlfn.MAXIFS(OPdate,OPcompte,$A11,OPdevise,$E11,OPcatégorie,Solde)</f>
        <v>45657</v>
      </c>
      <c r="K11" s="58" t="n">
        <f aca="false">SUMIFS(OPmontant,OPcompte,$A11,OPdevise,$E11,OPcatégorie,Solde,OPdate,$J11)</f>
        <v>0.22</v>
      </c>
      <c r="L11" s="58" t="n">
        <f aca="false">K11</f>
        <v>0.22</v>
      </c>
    </row>
    <row r="12" customFormat="false" ht="14.25" hidden="false" customHeight="true" outlineLevel="0" collapsed="false">
      <c r="A12" s="15" t="s">
        <v>105</v>
      </c>
      <c r="B12" s="53" t="s">
        <v>11</v>
      </c>
      <c r="C12" s="54" t="s">
        <v>28</v>
      </c>
      <c r="D12" s="55" t="s">
        <v>17</v>
      </c>
      <c r="E12" s="55" t="s">
        <v>97</v>
      </c>
      <c r="F12" s="56" t="s">
        <v>42</v>
      </c>
      <c r="G12" s="55" t="s">
        <v>45</v>
      </c>
      <c r="H12" s="57" t="n">
        <v>45292</v>
      </c>
      <c r="I12" s="58" t="n">
        <f aca="false">SUMIFS(OPmontant,OPcompte,$A12,OPdevise,$E12,OPcatégorie,Solde,OPdate,$H12)</f>
        <v>0</v>
      </c>
      <c r="J12" s="59" t="n">
        <f aca="false">_xlfn.MAXIFS(OPdate,OPcompte,$A12,OPdevise,$E12,OPcatégorie,Solde)</f>
        <v>45739</v>
      </c>
      <c r="K12" s="58" t="n">
        <f aca="false">SUMIFS(OPmontant,OPcompte,$A12,OPdevise,$E12,OPcatégorie,Solde,OPdate,$J12)</f>
        <v>2.12</v>
      </c>
      <c r="L12" s="58" t="n">
        <f aca="false">K12</f>
        <v>2.12</v>
      </c>
    </row>
    <row r="13" customFormat="false" ht="14.25" hidden="false" customHeight="true" outlineLevel="0" collapsed="false">
      <c r="A13" s="15" t="s">
        <v>106</v>
      </c>
      <c r="B13" s="53" t="s">
        <v>11</v>
      </c>
      <c r="C13" s="54" t="s">
        <v>36</v>
      </c>
      <c r="D13" s="55" t="s">
        <v>17</v>
      </c>
      <c r="E13" s="55" t="s">
        <v>97</v>
      </c>
      <c r="F13" s="56" t="s">
        <v>40</v>
      </c>
      <c r="G13" s="55" t="s">
        <v>45</v>
      </c>
      <c r="H13" s="57" t="n">
        <v>28126</v>
      </c>
      <c r="I13" s="58" t="n">
        <f aca="false">SUMIFS(OPmontant,OPcompte,$A13,OPdevise,$E13,OPcatégorie,Solde,OPdate,$H13)</f>
        <v>0</v>
      </c>
      <c r="J13" s="59" t="n">
        <f aca="false">_xlfn.MAXIFS(OPdate,OPcompte,$A13,OPdevise,$E13,OPcatégorie,Solde)</f>
        <v>46084</v>
      </c>
      <c r="K13" s="58" t="n">
        <f aca="false">SUMIFS(OPmontant,OPcompte,$A13,OPdevise,$E13,OPcatégorie,Solde,OPdate,$J13)</f>
        <v>14462.26</v>
      </c>
      <c r="L13" s="58" t="n">
        <f aca="false">K13</f>
        <v>14462.26</v>
      </c>
    </row>
    <row r="14" customFormat="false" ht="14.25" hidden="false" customHeight="true" outlineLevel="0" collapsed="false">
      <c r="A14" s="15" t="s">
        <v>107</v>
      </c>
      <c r="B14" s="53" t="s">
        <v>11</v>
      </c>
      <c r="C14" s="54" t="s">
        <v>31</v>
      </c>
      <c r="D14" s="55" t="s">
        <v>17</v>
      </c>
      <c r="E14" s="55" t="s">
        <v>97</v>
      </c>
      <c r="F14" s="56" t="s">
        <v>42</v>
      </c>
      <c r="G14" s="55" t="s">
        <v>45</v>
      </c>
      <c r="H14" s="57" t="n">
        <v>45958</v>
      </c>
      <c r="I14" s="58" t="n">
        <f aca="false">SUMIFS(OPmontant,OPcompte,$A14,OPdevise,$E14,OPcatégorie,Solde,OPdate,$H14)</f>
        <v>0</v>
      </c>
      <c r="J14" s="59" t="n">
        <f aca="false">_xlfn.MAXIFS(OPdate,OPcompte,$A14,OPdevise,$E14,OPcatégorie,Solde)</f>
        <v>45994</v>
      </c>
      <c r="K14" s="58" t="n">
        <f aca="false">SUMIFS(OPmontant,OPcompte,$A14,OPdevise,$E14,OPcatégorie,Solde,OPdate,$J14)</f>
        <v>2.86</v>
      </c>
      <c r="L14" s="58" t="n">
        <f aca="false">K14</f>
        <v>2.86</v>
      </c>
    </row>
    <row r="15" customFormat="false" ht="14.25" hidden="false" customHeight="true" outlineLevel="0" collapsed="false">
      <c r="A15" s="15" t="s">
        <v>108</v>
      </c>
      <c r="B15" s="53" t="s">
        <v>11</v>
      </c>
      <c r="C15" s="54" t="s">
        <v>29</v>
      </c>
      <c r="D15" s="55" t="s">
        <v>17</v>
      </c>
      <c r="E15" s="55" t="s">
        <v>97</v>
      </c>
      <c r="F15" s="56" t="s">
        <v>40</v>
      </c>
      <c r="G15" s="55" t="s">
        <v>44</v>
      </c>
      <c r="H15" s="59" t="n">
        <f aca="false">_xlfn.MINIFS(OPdate,OPcompte,$A15,OPdevise,$E15,OPcatégorie,Solde)</f>
        <v>45657</v>
      </c>
      <c r="I15" s="58" t="n">
        <f aca="false">SUMIFS(OPmontant,OPcompte,$A15,OPdevise,$E15,OPcatégorie,Solde,OPdate,$H15)</f>
        <v>1392</v>
      </c>
      <c r="J15" s="59" t="n">
        <f aca="false">_xlfn.MAXIFS(OPdate,OPcompte,$A15,OPdevise,$E15,OPcatégorie,Solde)</f>
        <v>46084</v>
      </c>
      <c r="K15" s="58" t="n">
        <f aca="false">SUMIFS(OPmontant,OPcompte,$A15,OPdevise,$E15,OPcatégorie,Solde,OPdate,$J15)</f>
        <v>300.05</v>
      </c>
      <c r="L15" s="58" t="n">
        <f aca="false">K15</f>
        <v>300.05</v>
      </c>
    </row>
    <row r="16" customFormat="false" ht="14.25" hidden="false" customHeight="true" outlineLevel="0" collapsed="false">
      <c r="A16" s="15" t="s">
        <v>109</v>
      </c>
      <c r="B16" s="53" t="s">
        <v>11</v>
      </c>
      <c r="C16" s="54" t="s">
        <v>28</v>
      </c>
      <c r="D16" s="55" t="s">
        <v>17</v>
      </c>
      <c r="E16" s="55" t="s">
        <v>97</v>
      </c>
      <c r="F16" s="56" t="s">
        <v>42</v>
      </c>
      <c r="G16" s="55" t="s">
        <v>45</v>
      </c>
      <c r="H16" s="57" t="n">
        <v>45644</v>
      </c>
      <c r="I16" s="58" t="n">
        <f aca="false">SUMIFS(OPmontant,OPcompte,$A16,OPdevise,$E16,OPcatégorie,Solde,OPdate,$H16)</f>
        <v>0</v>
      </c>
      <c r="J16" s="59" t="n">
        <f aca="false">_xlfn.MAXIFS(OPdate,OPcompte,$A16,OPdevise,$E16,OPcatégorie,Solde)</f>
        <v>46024</v>
      </c>
      <c r="K16" s="58" t="n">
        <f aca="false">SUMIFS(OPmontant,OPcompte,$A16,OPdevise,$E16,OPcatégorie,Solde,OPdate,$J16)</f>
        <v>119.6</v>
      </c>
      <c r="L16" s="58" t="n">
        <f aca="false">K16</f>
        <v>119.6</v>
      </c>
    </row>
    <row r="17" customFormat="false" ht="14.25" hidden="false" customHeight="true" outlineLevel="0" collapsed="false">
      <c r="A17" s="15" t="s">
        <v>110</v>
      </c>
      <c r="B17" s="53" t="s">
        <v>11</v>
      </c>
      <c r="C17" s="54" t="s">
        <v>36</v>
      </c>
      <c r="D17" s="55" t="s">
        <v>17</v>
      </c>
      <c r="E17" s="55" t="s">
        <v>97</v>
      </c>
      <c r="F17" s="56" t="s">
        <v>40</v>
      </c>
      <c r="G17" s="55" t="s">
        <v>45</v>
      </c>
      <c r="H17" s="59" t="n">
        <f aca="false">_xlfn.MINIFS(OPdate,OPcompte,$A17,OPdevise,$E17,OPcatégorie,Solde)</f>
        <v>45657</v>
      </c>
      <c r="I17" s="58" t="n">
        <f aca="false">SUMIFS(OPmontant,OPcompte,$A17,OPdevise,$E17,OPcatégorie,Solde,OPdate,$H17)</f>
        <v>3.18</v>
      </c>
      <c r="J17" s="59" t="n">
        <f aca="false">_xlfn.MAXIFS(OPdate,OPcompte,$A17,OPdevise,$E17,OPcatégorie,Solde)</f>
        <v>46030</v>
      </c>
      <c r="K17" s="58" t="n">
        <f aca="false">SUMIFS(OPmontant,OPcompte,$A17,OPdevise,$E17,OPcatégorie,Solde,OPdate,$J17)</f>
        <v>49.73</v>
      </c>
      <c r="L17" s="58" t="n">
        <f aca="false">K17</f>
        <v>49.73</v>
      </c>
    </row>
    <row r="18" customFormat="false" ht="14.25" hidden="false" customHeight="true" outlineLevel="0" collapsed="false">
      <c r="A18" s="15" t="s">
        <v>111</v>
      </c>
      <c r="B18" s="53" t="s">
        <v>11</v>
      </c>
      <c r="C18" s="54" t="s">
        <v>36</v>
      </c>
      <c r="D18" s="55" t="s">
        <v>17</v>
      </c>
      <c r="E18" s="55" t="s">
        <v>97</v>
      </c>
      <c r="F18" s="56" t="s">
        <v>41</v>
      </c>
      <c r="G18" s="55" t="s">
        <v>45</v>
      </c>
      <c r="H18" s="59" t="n">
        <f aca="false">_xlfn.MINIFS(OPdate,OPcompte,$A18,OPdevise,$E18,OPcatégorie,Solde)</f>
        <v>45657</v>
      </c>
      <c r="I18" s="58" t="n">
        <f aca="false">SUMIFS(OPmontant,OPcompte,$A18,OPdevise,$E18,OPcatégorie,Solde,OPdate,$H18)</f>
        <v>2396.53</v>
      </c>
      <c r="J18" s="59" t="n">
        <f aca="false">_xlfn.MAXIFS(OPdate,OPcompte,$A18,OPdevise,$E18,OPcatégorie,Solde)</f>
        <v>46030</v>
      </c>
      <c r="K18" s="58" t="n">
        <f aca="false">SUMIFS(OPmontant,OPcompte,$A18,OPdevise,$E18,OPcatégorie,Solde,OPdate,$J18)</f>
        <v>2016.08</v>
      </c>
      <c r="L18" s="58" t="n">
        <f aca="false">K18</f>
        <v>2016.08</v>
      </c>
    </row>
    <row r="19" customFormat="false" ht="14.25" hidden="false" customHeight="true" outlineLevel="0" collapsed="false">
      <c r="A19" s="15" t="s">
        <v>112</v>
      </c>
      <c r="B19" s="53" t="s">
        <v>11</v>
      </c>
      <c r="C19" s="54" t="s">
        <v>36</v>
      </c>
      <c r="D19" s="55" t="s">
        <v>17</v>
      </c>
      <c r="E19" s="55" t="s">
        <v>97</v>
      </c>
      <c r="F19" s="56" t="s">
        <v>42</v>
      </c>
      <c r="G19" s="55" t="s">
        <v>45</v>
      </c>
      <c r="H19" s="59" t="n">
        <f aca="false">_xlfn.MINIFS(OPdate,OPcompte,$A19,OPdevise,$E19,OPcatégorie,Solde)</f>
        <v>45657</v>
      </c>
      <c r="I19" s="58" t="n">
        <f aca="false">SUMIFS(OPmontant,OPcompte,$A19,OPdevise,$E19,OPcatégorie,Solde,OPdate,$H19)</f>
        <v>2396.53</v>
      </c>
      <c r="J19" s="59" t="n">
        <f aca="false">_xlfn.MAXIFS(OPdate,OPcompte,$A19,OPdevise,$E19,OPcatégorie,Solde)</f>
        <v>46030</v>
      </c>
      <c r="K19" s="58" t="n">
        <f aca="false">SUMIFS(OPmontant,OPcompte,$A19,OPdevise,$E19,OPcatégorie,Solde,OPdate,$J19)</f>
        <v>2016.08</v>
      </c>
      <c r="L19" s="58" t="n">
        <f aca="false">K19</f>
        <v>2016.08</v>
      </c>
    </row>
    <row r="20" customFormat="false" ht="14.25" hidden="false" customHeight="true" outlineLevel="0" collapsed="false">
      <c r="A20" s="15" t="s">
        <v>113</v>
      </c>
      <c r="B20" s="53" t="s">
        <v>11</v>
      </c>
      <c r="C20" s="54" t="s">
        <v>36</v>
      </c>
      <c r="D20" s="55" t="s">
        <v>17</v>
      </c>
      <c r="E20" s="55" t="s">
        <v>97</v>
      </c>
      <c r="F20" s="56" t="s">
        <v>41</v>
      </c>
      <c r="G20" s="55" t="s">
        <v>45</v>
      </c>
      <c r="H20" s="59" t="n">
        <f aca="false">_xlfn.MINIFS(OPdate,OPcompte,$A20,OPdevise,$E20,OPcatégorie,Solde)</f>
        <v>45657</v>
      </c>
      <c r="I20" s="58" t="n">
        <f aca="false">SUMIFS(OPmontant,OPcompte,$A20,OPdevise,$E20,OPcatégorie,Solde,OPdate,$H20)</f>
        <v>4807.32</v>
      </c>
      <c r="J20" s="59" t="n">
        <f aca="false">_xlfn.MAXIFS(OPdate,OPcompte,$A20,OPdevise,$E20,OPcatégorie,Solde)</f>
        <v>46030</v>
      </c>
      <c r="K20" s="58" t="n">
        <f aca="false">SUMIFS(OPmontant,OPcompte,$A20,OPdevise,$E20,OPcatégorie,Solde,OPdate,$J20)</f>
        <v>4044.7</v>
      </c>
      <c r="L20" s="58" t="n">
        <f aca="false">K20</f>
        <v>4044.7</v>
      </c>
    </row>
    <row r="21" customFormat="false" ht="14.25" hidden="false" customHeight="true" outlineLevel="0" collapsed="false">
      <c r="A21" s="15" t="s">
        <v>114</v>
      </c>
      <c r="B21" s="53" t="s">
        <v>11</v>
      </c>
      <c r="C21" s="54" t="s">
        <v>36</v>
      </c>
      <c r="D21" s="55" t="s">
        <v>17</v>
      </c>
      <c r="E21" s="55" t="s">
        <v>97</v>
      </c>
      <c r="F21" s="56" t="s">
        <v>42</v>
      </c>
      <c r="G21" s="55" t="s">
        <v>45</v>
      </c>
      <c r="H21" s="59" t="n">
        <f aca="false">_xlfn.MINIFS(OPdate,OPcompte,$A21,OPdevise,$E21,OPcatégorie,Solde)</f>
        <v>45657</v>
      </c>
      <c r="I21" s="58" t="n">
        <f aca="false">SUMIFS(OPmontant,OPcompte,$A21,OPdevise,$E21,OPcatégorie,Solde,OPdate,$H21)</f>
        <v>4807.21</v>
      </c>
      <c r="J21" s="59" t="n">
        <f aca="false">_xlfn.MAXIFS(OPdate,OPcompte,$A21,OPdevise,$E21,OPcatégorie,Solde)</f>
        <v>46030</v>
      </c>
      <c r="K21" s="58" t="n">
        <f aca="false">SUMIFS(OPmontant,OPcompte,$A21,OPdevise,$E21,OPcatégorie,Solde,OPdate,$J21)</f>
        <v>4044.59</v>
      </c>
      <c r="L21" s="58" t="n">
        <f aca="false">K21</f>
        <v>4044.59</v>
      </c>
    </row>
    <row r="22" customFormat="false" ht="14.25" hidden="false" customHeight="true" outlineLevel="0" collapsed="false">
      <c r="A22" s="15" t="s">
        <v>115</v>
      </c>
      <c r="B22" s="53" t="s">
        <v>11</v>
      </c>
      <c r="C22" s="54" t="s">
        <v>35</v>
      </c>
      <c r="D22" s="55" t="s">
        <v>17</v>
      </c>
      <c r="E22" s="55" t="s">
        <v>97</v>
      </c>
      <c r="F22" s="56" t="s">
        <v>42</v>
      </c>
      <c r="G22" s="55" t="s">
        <v>45</v>
      </c>
      <c r="H22" s="59" t="n">
        <f aca="false">_xlfn.MINIFS(OPdate,OPcompte,$A22,OPdevise,$E22,OPcatégorie,Solde)</f>
        <v>45656</v>
      </c>
      <c r="I22" s="58" t="n">
        <f aca="false">SUMIFS(OPmontant,OPcompte,$A22,OPdevise,$E22,OPcatégorie,Solde,OPdate,$H22)</f>
        <v>0</v>
      </c>
      <c r="J22" s="59" t="n">
        <f aca="false">_xlfn.MAXIFS(OPdate,OPcompte,$A22,OPdevise,$E22,OPcatégorie,Solde)</f>
        <v>45657</v>
      </c>
      <c r="K22" s="58" t="n">
        <f aca="false">SUMIFS(OPmontant,OPcompte,$A22,OPdevise,$E22,OPcatégorie,Solde,OPdate,$J22)</f>
        <v>0</v>
      </c>
      <c r="L22" s="58" t="n">
        <f aca="false">K22</f>
        <v>0</v>
      </c>
    </row>
    <row r="23" customFormat="false" ht="14.25" hidden="false" customHeight="true" outlineLevel="0" collapsed="false">
      <c r="A23" s="15" t="s">
        <v>116</v>
      </c>
      <c r="B23" s="53" t="s">
        <v>11</v>
      </c>
      <c r="C23" s="54" t="s">
        <v>38</v>
      </c>
      <c r="D23" s="55" t="s">
        <v>17</v>
      </c>
      <c r="E23" s="55" t="s">
        <v>97</v>
      </c>
      <c r="F23" s="56" t="s">
        <v>42</v>
      </c>
      <c r="G23" s="55" t="s">
        <v>45</v>
      </c>
      <c r="H23" s="57" t="n">
        <v>45292</v>
      </c>
      <c r="I23" s="58" t="n">
        <f aca="false">SUMIFS(OPmontant,OPcompte,$A23,OPdevise,$E23,OPcatégorie,Solde,OPdate,$H23)</f>
        <v>0</v>
      </c>
      <c r="J23" s="59" t="n">
        <f aca="false">_xlfn.MAXIFS(OPdate,OPcompte,$A23,OPdevise,$E23,OPcatégorie,Solde)</f>
        <v>46050</v>
      </c>
      <c r="K23" s="58" t="n">
        <f aca="false">SUMIFS(OPmontant,OPcompte,$A23,OPdevise,$E23,OPcatégorie,Solde,OPdate,$J23)</f>
        <v>16</v>
      </c>
      <c r="L23" s="58" t="n">
        <f aca="false">K23</f>
        <v>16</v>
      </c>
    </row>
    <row r="24" customFormat="false" ht="14.25" hidden="false" customHeight="true" outlineLevel="0" collapsed="false">
      <c r="A24" s="15" t="s">
        <v>117</v>
      </c>
      <c r="B24" s="53" t="s">
        <v>11</v>
      </c>
      <c r="C24" s="54" t="s">
        <v>37</v>
      </c>
      <c r="D24" s="55" t="s">
        <v>17</v>
      </c>
      <c r="E24" s="55" t="s">
        <v>97</v>
      </c>
      <c r="F24" s="56" t="s">
        <v>42</v>
      </c>
      <c r="G24" s="55" t="s">
        <v>45</v>
      </c>
      <c r="H24" s="57" t="n">
        <v>45627</v>
      </c>
      <c r="I24" s="58" t="n">
        <f aca="false">SUMIFS(OPmontant,OPcompte,$A24,OPdevise,$E24,OPcatégorie,Solde,OPdate,$H24)</f>
        <v>0</v>
      </c>
      <c r="J24" s="59" t="n">
        <f aca="false">_xlfn.MAXIFS(OPdate,OPcompte,$A24,OPdevise,$E24,OPcatégorie,Solde)</f>
        <v>46056</v>
      </c>
      <c r="K24" s="58" t="n">
        <f aca="false">SUMIFS(OPmontant,OPcompte,$A24,OPdevise,$E24,OPcatégorie,Solde,OPdate,$J24)</f>
        <v>396.56</v>
      </c>
      <c r="L24" s="58" t="n">
        <f aca="false">K24</f>
        <v>396.56</v>
      </c>
    </row>
    <row r="25" customFormat="false" ht="14.25" hidden="false" customHeight="true" outlineLevel="0" collapsed="false">
      <c r="A25" s="15" t="s">
        <v>118</v>
      </c>
      <c r="B25" s="53" t="s">
        <v>11</v>
      </c>
      <c r="C25" s="54" t="s">
        <v>37</v>
      </c>
      <c r="D25" s="55" t="s">
        <v>17</v>
      </c>
      <c r="E25" s="55" t="s">
        <v>97</v>
      </c>
      <c r="F25" s="56" t="s">
        <v>42</v>
      </c>
      <c r="G25" s="55" t="s">
        <v>45</v>
      </c>
      <c r="H25" s="57" t="n">
        <v>45627</v>
      </c>
      <c r="I25" s="58" t="n">
        <f aca="false">SUMIFS(OPmontant,OPcompte,$A25,OPdevise,$E25,OPcatégorie,Solde,OPdate,$H25)</f>
        <v>0</v>
      </c>
      <c r="J25" s="59" t="n">
        <f aca="false">_xlfn.MAXIFS(OPdate,OPcompte,$A25,OPdevise,$E25,OPcatégorie,Solde)</f>
        <v>46023</v>
      </c>
      <c r="K25" s="58" t="n">
        <f aca="false">SUMIFS(OPmontant,OPcompte,$A25,OPdevise,$E25,OPcatégorie,Solde,OPdate,$J25)</f>
        <v>19.51</v>
      </c>
      <c r="L25" s="58" t="n">
        <f aca="false">K25</f>
        <v>19.51</v>
      </c>
    </row>
    <row r="26" customFormat="false" ht="14.25" hidden="false" customHeight="true" outlineLevel="0" collapsed="false">
      <c r="A26" s="15" t="s">
        <v>119</v>
      </c>
      <c r="B26" s="53" t="s">
        <v>11</v>
      </c>
      <c r="C26" s="54" t="s">
        <v>33</v>
      </c>
      <c r="D26" s="55" t="s">
        <v>17</v>
      </c>
      <c r="E26" s="55" t="s">
        <v>97</v>
      </c>
      <c r="F26" s="56" t="s">
        <v>42</v>
      </c>
      <c r="G26" s="55" t="s">
        <v>45</v>
      </c>
      <c r="H26" s="57" t="n">
        <v>45904</v>
      </c>
      <c r="I26" s="58" t="n">
        <f aca="false">SUMIFS(OPmontant,OPcompte,$A26,OPdevise,$E26,OPcatégorie,Solde,OPdate,$H26)</f>
        <v>0</v>
      </c>
      <c r="J26" s="59" t="n">
        <f aca="false">_xlfn.MAXIFS(OPdate,OPcompte,$A26,OPdevise,$E26,OPcatégorie,Solde)</f>
        <v>46041</v>
      </c>
      <c r="K26" s="58" t="n">
        <f aca="false">SUMIFS(OPmontant,OPcompte,$A26,OPdevise,$E26,OPcatégorie,Solde,OPdate,$J26)</f>
        <v>42.16</v>
      </c>
      <c r="L26" s="58" t="n">
        <f aca="false">K26</f>
        <v>42.16</v>
      </c>
    </row>
    <row r="27" customFormat="false" ht="14.25" hidden="false" customHeight="true" outlineLevel="0" collapsed="false">
      <c r="A27" s="15" t="s">
        <v>120</v>
      </c>
      <c r="B27" s="53" t="s">
        <v>11</v>
      </c>
      <c r="C27" s="54" t="s">
        <v>32</v>
      </c>
      <c r="D27" s="55" t="s">
        <v>17</v>
      </c>
      <c r="E27" s="55" t="s">
        <v>97</v>
      </c>
      <c r="F27" s="56" t="s">
        <v>40</v>
      </c>
      <c r="G27" s="55" t="s">
        <v>45</v>
      </c>
      <c r="H27" s="59" t="n">
        <f aca="false">_xlfn.MINIFS(OPdate,OPcompte,$A27,OPdevise,$E27,OPcatégorie,Solde)</f>
        <v>0</v>
      </c>
      <c r="I27" s="58" t="n">
        <f aca="false">SUMIFS(OPmontant,OPcompte,$A27,OPdevise,$E27,OPcatégorie,Solde,OPdate,$H27)</f>
        <v>0</v>
      </c>
      <c r="J27" s="59" t="n">
        <f aca="false">_xlfn.MAXIFS(OPdate,OPcompte,$A27,OPdevise,$E27,OPcatégorie,Solde)</f>
        <v>0</v>
      </c>
      <c r="K27" s="58" t="n">
        <f aca="false">SUMIFS(OPmontant,OPcompte,$A27,OPdevise,$E27,OPcatégorie,Solde,OPdate,$J27)</f>
        <v>0</v>
      </c>
      <c r="L27" s="58" t="n">
        <f aca="false">K27</f>
        <v>0</v>
      </c>
    </row>
    <row r="28" customFormat="false" ht="14.25" hidden="false" customHeight="true" outlineLevel="0" collapsed="false">
      <c r="A28" s="15" t="s">
        <v>121</v>
      </c>
      <c r="B28" s="53" t="s">
        <v>11</v>
      </c>
      <c r="C28" s="54" t="s">
        <v>30</v>
      </c>
      <c r="D28" s="55" t="s">
        <v>17</v>
      </c>
      <c r="E28" s="55" t="s">
        <v>97</v>
      </c>
      <c r="F28" s="56" t="s">
        <v>42</v>
      </c>
      <c r="G28" s="55" t="s">
        <v>45</v>
      </c>
      <c r="H28" s="59" t="n">
        <f aca="false">_xlfn.MINIFS(OPdate,OPcompte,$A28,OPdevise,$E28,OPcatégorie,Solde)</f>
        <v>45616</v>
      </c>
      <c r="I28" s="58" t="n">
        <f aca="false">SUMIFS(OPmontant,OPcompte,$A28,OPdevise,$E28,OPcatégorie,Solde,OPdate,$H28)</f>
        <v>0</v>
      </c>
      <c r="J28" s="59" t="n">
        <f aca="false">_xlfn.MAXIFS(OPdate,OPcompte,$A28,OPdevise,$E28,OPcatégorie,Solde)</f>
        <v>46083</v>
      </c>
      <c r="K28" s="58" t="n">
        <f aca="false">SUMIFS(OPmontant,OPcompte,$A28,OPdevise,$E28,OPcatégorie,Solde,OPdate,$J28)</f>
        <v>93.54</v>
      </c>
      <c r="L28" s="58" t="n">
        <f aca="false">K28</f>
        <v>93.54</v>
      </c>
    </row>
    <row r="29" customFormat="false" ht="14.25" hidden="false" customHeight="true" outlineLevel="0" collapsed="false">
      <c r="A29" s="15" t="s">
        <v>122</v>
      </c>
      <c r="B29" s="53" t="s">
        <v>11</v>
      </c>
      <c r="C29" s="54" t="s">
        <v>28</v>
      </c>
      <c r="D29" s="55" t="s">
        <v>17</v>
      </c>
      <c r="E29" s="55" t="s">
        <v>97</v>
      </c>
      <c r="F29" s="56" t="s">
        <v>42</v>
      </c>
      <c r="G29" s="55" t="s">
        <v>45</v>
      </c>
      <c r="H29" s="59" t="n">
        <f aca="false">_xlfn.MINIFS(OPdate,OPcompte,$A29,OPdevise,$E29,OPcatégorie,Solde)</f>
        <v>45515</v>
      </c>
      <c r="I29" s="58" t="n">
        <f aca="false">SUMIFS(OPmontant,OPcompte,$A29,OPdevise,$E29,OPcatégorie,Solde,OPdate,$H29)</f>
        <v>0</v>
      </c>
      <c r="J29" s="59" t="n">
        <f aca="false">_xlfn.MAXIFS(OPdate,OPcompte,$A29,OPdevise,$E29,OPcatégorie,Solde)</f>
        <v>46057</v>
      </c>
      <c r="K29" s="58" t="n">
        <f aca="false">SUMIFS(OPmontant,OPcompte,$A29,OPdevise,$E29,OPcatégorie,Solde,OPdate,$J29)</f>
        <v>367.62</v>
      </c>
      <c r="L29" s="58" t="n">
        <f aca="false">K29</f>
        <v>367.62</v>
      </c>
    </row>
    <row r="30" customFormat="false" ht="14.25" hidden="false" customHeight="true" outlineLevel="0" collapsed="false">
      <c r="A30" s="15" t="s">
        <v>123</v>
      </c>
      <c r="B30" s="53" t="s">
        <v>9</v>
      </c>
      <c r="C30" s="54" t="s">
        <v>37</v>
      </c>
      <c r="D30" s="55" t="s">
        <v>22</v>
      </c>
      <c r="E30" s="55" t="s">
        <v>124</v>
      </c>
      <c r="F30" s="56" t="s">
        <v>42</v>
      </c>
      <c r="G30" s="55" t="s">
        <v>45</v>
      </c>
      <c r="H30" s="57" t="n">
        <v>46065</v>
      </c>
      <c r="I30" s="62" t="n">
        <f aca="false">SUMIFS(OPmontant,OPcompte,$A30,OPdevise,$E30,OPcatégorie,Solde,OPdate,$H30)</f>
        <v>767.72</v>
      </c>
      <c r="J30" s="59" t="n">
        <f aca="false">_xlfn.MAXIFS(OPdate,OPcompte,$A30,OPdevise,$E30,OPcatégorie,Solde)</f>
        <v>46071</v>
      </c>
      <c r="K30" s="63" t="n">
        <f aca="false">SUMIFS(OPmontant,OPcompte,$A30,OPdevise,$E30,OPcatégorie,Solde,OPdate,$J30)</f>
        <v>1538.16</v>
      </c>
      <c r="L30" s="58" t="n">
        <f aca="false">K30*cours_CHF</f>
        <v>1664.28912</v>
      </c>
    </row>
    <row r="31" customFormat="false" ht="14.25" hidden="false" customHeight="true" outlineLevel="0" collapsed="false">
      <c r="A31" s="15" t="s">
        <v>125</v>
      </c>
      <c r="B31" s="53" t="s">
        <v>9</v>
      </c>
      <c r="C31" s="54" t="s">
        <v>37</v>
      </c>
      <c r="D31" s="55" t="s">
        <v>21</v>
      </c>
      <c r="E31" s="55" t="s">
        <v>103</v>
      </c>
      <c r="F31" s="56" t="s">
        <v>42</v>
      </c>
      <c r="G31" s="55" t="s">
        <v>45</v>
      </c>
      <c r="H31" s="57" t="n">
        <v>45653</v>
      </c>
      <c r="I31" s="60" t="n">
        <f aca="false">SUMIFS(OPmontant,OPcompte,$A31,OPdevise,$E31,OPcatégorie,Solde,OPdate,$H31)</f>
        <v>735.18</v>
      </c>
      <c r="J31" s="59" t="n">
        <f aca="false">_xlfn.MAXIFS(OPdate,OPcompte,$A31,OPdevise,$E31,OPcatégorie,Solde)</f>
        <v>46071</v>
      </c>
      <c r="K31" s="61" t="n">
        <f aca="false">SUMIFS(OPmontant,OPcompte,$A31,OPdevise,$E31,OPcatégorie,Solde,OPdate,$J31)</f>
        <v>4883.39</v>
      </c>
      <c r="L31" s="58" t="n">
        <f aca="false">K31*cours_USD</f>
        <v>4225.597367</v>
      </c>
    </row>
    <row r="32" customFormat="false" ht="14.25" hidden="false" customHeight="true" outlineLevel="0" collapsed="false">
      <c r="A32" s="15" t="s">
        <v>126</v>
      </c>
      <c r="B32" s="53" t="s">
        <v>9</v>
      </c>
      <c r="C32" s="54" t="s">
        <v>37</v>
      </c>
      <c r="D32" s="55" t="s">
        <v>21</v>
      </c>
      <c r="E32" s="55" t="s">
        <v>103</v>
      </c>
      <c r="F32" s="56" t="s">
        <v>42</v>
      </c>
      <c r="G32" s="55" t="s">
        <v>45</v>
      </c>
      <c r="H32" s="57" t="n">
        <v>45653</v>
      </c>
      <c r="I32" s="60" t="n">
        <f aca="false">SUMIFS(OPmontant,OPcompte,$A32,OPdevise,$E32,OPcatégorie,Solde,OPdate,$H32)</f>
        <v>0</v>
      </c>
      <c r="J32" s="59" t="n">
        <f aca="false">_xlfn.MAXIFS(OPdate,OPcompte,$A32,OPdevise,$E32,OPcatégorie,Solde)</f>
        <v>46023</v>
      </c>
      <c r="K32" s="61" t="n">
        <f aca="false">SUMIFS(OPmontant,OPcompte,$A32,OPdevise,$E32,OPcatégorie,Solde,OPdate,$J32)</f>
        <v>273.54</v>
      </c>
      <c r="L32" s="58" t="n">
        <f aca="false">K32*cours_USD</f>
        <v>236.694162</v>
      </c>
    </row>
    <row r="33" customFormat="false" ht="14.25" hidden="false" customHeight="true" outlineLevel="0" collapsed="false">
      <c r="A33" s="15" t="s">
        <v>127</v>
      </c>
      <c r="B33" s="53" t="s">
        <v>9</v>
      </c>
      <c r="C33" s="54" t="s">
        <v>37</v>
      </c>
      <c r="D33" s="55" t="s">
        <v>20</v>
      </c>
      <c r="E33" s="55" t="s">
        <v>128</v>
      </c>
      <c r="F33" s="56" t="s">
        <v>42</v>
      </c>
      <c r="G33" s="55" t="s">
        <v>45</v>
      </c>
      <c r="H33" s="57" t="n">
        <v>45631</v>
      </c>
      <c r="I33" s="64" t="n">
        <f aca="false">SUMIFS(OPmontant,OPcompte,$A33,OPdevise,$E33,OPcatégorie,Solde,OPdate,$H33)</f>
        <v>0</v>
      </c>
      <c r="J33" s="59" t="n">
        <f aca="false">_xlfn.MAXIFS(OPdate,OPcompte,$A33,OPdevise,$E33,OPcatégorie,Solde)</f>
        <v>45735</v>
      </c>
      <c r="K33" s="65" t="n">
        <f aca="false">SUMIFS(OPmontant,OPcompte,$A33,OPdevise,$E33,OPcatégorie,Solde,OPdate,$J33)</f>
        <v>1696.63</v>
      </c>
      <c r="L33" s="58" t="n">
        <f aca="false">K33*cours_SGD</f>
        <v>1142.680305</v>
      </c>
    </row>
    <row r="34" customFormat="false" ht="14.25" hidden="false" customHeight="true" outlineLevel="0" collapsed="false">
      <c r="A34" s="15" t="s">
        <v>129</v>
      </c>
      <c r="B34" s="53" t="s">
        <v>9</v>
      </c>
      <c r="C34" s="54" t="s">
        <v>37</v>
      </c>
      <c r="D34" s="55" t="s">
        <v>19</v>
      </c>
      <c r="E34" s="55" t="s">
        <v>130</v>
      </c>
      <c r="F34" s="56" t="s">
        <v>42</v>
      </c>
      <c r="G34" s="55" t="s">
        <v>45</v>
      </c>
      <c r="H34" s="57" t="n">
        <v>45956</v>
      </c>
      <c r="I34" s="66" t="n">
        <f aca="false">SUMIFS(OPmontant,OPcompte,$A34,OPdevise,$E34,OPcatégorie,Solde,OPdate,$H34)</f>
        <v>2179.79</v>
      </c>
      <c r="J34" s="59" t="n">
        <f aca="false">_xlfn.MAXIFS(OPdate,OPcompte,$A34,OPdevise,$E34,OPcatégorie,Solde)</f>
        <v>45956</v>
      </c>
      <c r="K34" s="67" t="n">
        <f aca="false">SUMIFS(OPmontant,OPcompte,$A34,OPdevise,$E34,OPcatégorie,Solde,OPdate,$J34)</f>
        <v>2179.79</v>
      </c>
      <c r="L34" s="58" t="n">
        <f aca="false">K34*cours_SEK</f>
        <v>198.36089</v>
      </c>
    </row>
    <row r="35" customFormat="false" ht="14.25" hidden="false" customHeight="true" outlineLevel="0" collapsed="false">
      <c r="A35" s="15" t="s">
        <v>131</v>
      </c>
      <c r="B35" s="53" t="s">
        <v>9</v>
      </c>
      <c r="C35" s="54" t="s">
        <v>38</v>
      </c>
      <c r="D35" s="55" t="s">
        <v>21</v>
      </c>
      <c r="E35" s="55" t="s">
        <v>103</v>
      </c>
      <c r="F35" s="56" t="s">
        <v>42</v>
      </c>
      <c r="G35" s="55" t="s">
        <v>45</v>
      </c>
      <c r="H35" s="59" t="n">
        <f aca="false">_xlfn.MINIFS(OPdate,OPcompte,$A35,OPdevise,$E35,OPcatégorie,Solde)</f>
        <v>45621</v>
      </c>
      <c r="I35" s="60" t="n">
        <f aca="false">SUMIFS(OPmontant,OPcompte,$A35,OPdevise,$E35,OPcatégorie,Solde,OPdate,$H35)</f>
        <v>0</v>
      </c>
      <c r="J35" s="59" t="n">
        <f aca="false">_xlfn.MAXIFS(OPdate,OPcompte,$A35,OPdevise,$E35,OPcatégorie,Solde)</f>
        <v>46050</v>
      </c>
      <c r="K35" s="61" t="n">
        <f aca="false">SUMIFS(OPmontant,OPcompte,$A35,OPdevise,$E35,OPcatégorie,Solde,OPdate,$J35)</f>
        <v>67.53</v>
      </c>
      <c r="L35" s="58" t="n">
        <f aca="false">K35*cours_USD</f>
        <v>58.433709</v>
      </c>
    </row>
    <row r="36" customFormat="false" ht="14.25" hidden="false" customHeight="true" outlineLevel="0" collapsed="false">
      <c r="A36" s="15" t="s">
        <v>132</v>
      </c>
      <c r="B36" s="53" t="s">
        <v>8</v>
      </c>
      <c r="C36" s="54" t="s">
        <v>25</v>
      </c>
      <c r="D36" s="55" t="s">
        <v>8</v>
      </c>
      <c r="E36" s="55" t="s">
        <v>97</v>
      </c>
      <c r="F36" s="56" t="s">
        <v>40</v>
      </c>
      <c r="G36" s="55" t="s">
        <v>45</v>
      </c>
      <c r="H36" s="57" t="n">
        <v>42873</v>
      </c>
      <c r="I36" s="58" t="n">
        <v>31358.07</v>
      </c>
      <c r="J36" s="59" t="n">
        <f aca="false">_xlfn.MAXIFS(OPdate,OPcompte,$A36,OPdevise,$E36,OPcatégorie,Solde)</f>
        <v>46058</v>
      </c>
      <c r="K36" s="58" t="n">
        <f aca="false">SUMIFS(OPmontant,OPcompte,$A36,OPdevise,$E36,OPcatégorie,Solde,OPdate,$J36)</f>
        <v>21193.42</v>
      </c>
      <c r="L36" s="58" t="n">
        <f aca="false">K36</f>
        <v>21193.42</v>
      </c>
    </row>
    <row r="37" customFormat="false" ht="14.25" hidden="false" customHeight="true" outlineLevel="0" collapsed="false">
      <c r="A37" s="15" t="s">
        <v>133</v>
      </c>
      <c r="B37" s="53" t="s">
        <v>8</v>
      </c>
      <c r="C37" s="54" t="s">
        <v>25</v>
      </c>
      <c r="D37" s="55" t="s">
        <v>8</v>
      </c>
      <c r="E37" s="55" t="s">
        <v>97</v>
      </c>
      <c r="F37" s="56" t="s">
        <v>40</v>
      </c>
      <c r="G37" s="55" t="s">
        <v>45</v>
      </c>
      <c r="H37" s="57" t="n">
        <v>44155</v>
      </c>
      <c r="I37" s="58" t="n">
        <v>13972.43</v>
      </c>
      <c r="J37" s="59" t="n">
        <f aca="false">_xlfn.MAXIFS(OPdate,OPcompte,$A37,OPdevise,$E37,OPcatégorie,Solde)</f>
        <v>46057</v>
      </c>
      <c r="K37" s="58" t="n">
        <f aca="false">SUMIFS(OPmontant,OPcompte,$A37,OPdevise,$E37,OPcatégorie,Solde,OPdate,$J37)</f>
        <v>7900.42</v>
      </c>
      <c r="L37" s="58" t="n">
        <f aca="false">K37</f>
        <v>7900.42</v>
      </c>
    </row>
    <row r="38" customFormat="false" ht="14.25" hidden="false" customHeight="true" outlineLevel="0" collapsed="false">
      <c r="A38" s="15" t="s">
        <v>134</v>
      </c>
      <c r="B38" s="53" t="s">
        <v>8</v>
      </c>
      <c r="C38" s="54" t="s">
        <v>25</v>
      </c>
      <c r="D38" s="55" t="s">
        <v>8</v>
      </c>
      <c r="E38" s="55" t="s">
        <v>97</v>
      </c>
      <c r="F38" s="56" t="s">
        <v>42</v>
      </c>
      <c r="G38" s="55" t="s">
        <v>45</v>
      </c>
      <c r="H38" s="57" t="n">
        <v>45721</v>
      </c>
      <c r="I38" s="58" t="n">
        <v>9964.73</v>
      </c>
      <c r="J38" s="59" t="n">
        <f aca="false">_xlfn.MAXIFS(OPdate,OPcompte,$A38,OPdevise,$E38,OPcatégorie,Solde)</f>
        <v>45988</v>
      </c>
      <c r="K38" s="58" t="n">
        <f aca="false">SUMIFS(OPmontant,OPcompte,$A38,OPdevise,$E38,OPcatégorie,Solde,OPdate,$J38)</f>
        <v>0</v>
      </c>
      <c r="L38" s="58" t="n">
        <f aca="false">K38</f>
        <v>0</v>
      </c>
    </row>
    <row r="39" customFormat="false" ht="14.25" hidden="false" customHeight="true" outlineLevel="0" collapsed="false">
      <c r="A39" s="15" t="s">
        <v>135</v>
      </c>
      <c r="B39" s="53" t="s">
        <v>10</v>
      </c>
      <c r="C39" s="54" t="s">
        <v>27</v>
      </c>
      <c r="D39" s="55" t="s">
        <v>18</v>
      </c>
      <c r="E39" s="55" t="s">
        <v>136</v>
      </c>
      <c r="F39" s="56" t="s">
        <v>40</v>
      </c>
      <c r="G39" s="55" t="s">
        <v>44</v>
      </c>
      <c r="H39" s="57" t="n">
        <v>44916</v>
      </c>
      <c r="I39" s="68" t="n">
        <f aca="false">SUMIFS(OPmontant,OPcompte,$A39,OPdevise,$E39,OPcatégorie,Solde,OPdate,$H39)</f>
        <v>0</v>
      </c>
      <c r="J39" s="59" t="n">
        <f aca="false">_xlfn.MAXIFS(OPdate,OPcompte,$A39,OPdevise,$E39,OPcatégorie,Solde)</f>
        <v>45539</v>
      </c>
      <c r="K39" s="69" t="n">
        <f aca="false">SUMIFS(OPmontant,OPcompte,$A39,OPdevise,$E39,OPcatégorie,Solde,OPdate,$J39)</f>
        <v>1629960.72</v>
      </c>
      <c r="L39" s="58" t="n">
        <f aca="false">K39*cours_SAT</f>
        <v>999.0192248952</v>
      </c>
    </row>
    <row r="40" customFormat="false" ht="14.25" hidden="false" customHeight="true" outlineLevel="0" collapsed="false">
      <c r="A40" s="15" t="s">
        <v>137</v>
      </c>
      <c r="B40" s="53" t="s">
        <v>10</v>
      </c>
      <c r="C40" s="54" t="s">
        <v>27</v>
      </c>
      <c r="D40" s="55" t="s">
        <v>18</v>
      </c>
      <c r="E40" s="55" t="s">
        <v>136</v>
      </c>
      <c r="F40" s="56" t="s">
        <v>40</v>
      </c>
      <c r="G40" s="55" t="s">
        <v>44</v>
      </c>
      <c r="H40" s="57" t="n">
        <v>44967</v>
      </c>
      <c r="I40" s="68" t="n">
        <f aca="false">SUMIFS(OPmontant,OPcompte,$A40,OPdevise,$E40,OPcatégorie,Solde,OPdate,$H40)</f>
        <v>0</v>
      </c>
      <c r="J40" s="59" t="n">
        <f aca="false">_xlfn.MAXIFS(OPdate,OPcompte,$A40,OPdevise,$E40,OPcatégorie,Solde)</f>
        <v>45292</v>
      </c>
      <c r="K40" s="69" t="n">
        <f aca="false">SUMIFS(OPmontant,OPcompte,$A40,OPdevise,$E40,OPcatégorie,Solde,OPdate,$J40)</f>
        <v>5679.97</v>
      </c>
      <c r="L40" s="58" t="n">
        <f aca="false">K40*cours_SAT</f>
        <v>3.4813104127</v>
      </c>
    </row>
    <row r="41" customFormat="false" ht="14.25" hidden="false" customHeight="true" outlineLevel="0" collapsed="false">
      <c r="A41" s="15" t="s">
        <v>138</v>
      </c>
      <c r="B41" s="53" t="s">
        <v>10</v>
      </c>
      <c r="C41" s="54" t="s">
        <v>27</v>
      </c>
      <c r="D41" s="55" t="s">
        <v>18</v>
      </c>
      <c r="E41" s="55" t="s">
        <v>136</v>
      </c>
      <c r="F41" s="56" t="s">
        <v>40</v>
      </c>
      <c r="G41" s="55" t="s">
        <v>44</v>
      </c>
      <c r="H41" s="57" t="n">
        <v>44967</v>
      </c>
      <c r="I41" s="68" t="n">
        <f aca="false">SUMIFS(OPmontant,OPcompte,$A41,OPdevise,$E41,OPcatégorie,Solde,OPdate,$H41)</f>
        <v>0</v>
      </c>
      <c r="J41" s="59" t="n">
        <f aca="false">_xlfn.MAXIFS(OPdate,OPcompte,$A41,OPdevise,$E41,OPcatégorie,Solde)</f>
        <v>45538</v>
      </c>
      <c r="K41" s="69" t="n">
        <f aca="false">SUMIFS(OPmontant,OPcompte,$A41,OPdevise,$E41,OPcatégorie,Solde,OPdate,$J41)</f>
        <v>6129627.35</v>
      </c>
      <c r="L41" s="58" t="n">
        <f aca="false">K41*cours_SAT</f>
        <v>3756.9098990885</v>
      </c>
    </row>
    <row r="42" customFormat="false" ht="14.25" hidden="false" customHeight="true" outlineLevel="0" collapsed="false">
      <c r="A42" s="15" t="s">
        <v>139</v>
      </c>
      <c r="B42" s="53" t="s">
        <v>10</v>
      </c>
      <c r="C42" s="54" t="s">
        <v>27</v>
      </c>
      <c r="D42" s="55" t="s">
        <v>18</v>
      </c>
      <c r="E42" s="55" t="s">
        <v>136</v>
      </c>
      <c r="F42" s="56" t="s">
        <v>40</v>
      </c>
      <c r="G42" s="55" t="s">
        <v>44</v>
      </c>
      <c r="H42" s="57" t="n">
        <v>44967</v>
      </c>
      <c r="I42" s="68" t="n">
        <f aca="false">SUMIFS(OPmontant,OPcompte,$A42,OPdevise,$E42,OPcatégorie,Solde,OPdate,$H42)</f>
        <v>0</v>
      </c>
      <c r="J42" s="59" t="n">
        <f aca="false">_xlfn.MAXIFS(OPdate,OPcompte,$A42,OPdevise,$E42,OPcatégorie,Solde)</f>
        <v>45292</v>
      </c>
      <c r="K42" s="69" t="n">
        <f aca="false">SUMIFS(OPmontant,OPcompte,$A42,OPdevise,$E42,OPcatégorie,Solde,OPdate,$J42)</f>
        <v>49005.19</v>
      </c>
      <c r="L42" s="58" t="n">
        <f aca="false">K42*cours_SAT</f>
        <v>30.0357710029</v>
      </c>
    </row>
    <row r="43" customFormat="false" ht="14.25" hidden="false" customHeight="true" outlineLevel="0" collapsed="false">
      <c r="A43" s="15" t="s">
        <v>140</v>
      </c>
      <c r="B43" s="53" t="s">
        <v>10</v>
      </c>
      <c r="C43" s="54" t="s">
        <v>27</v>
      </c>
      <c r="D43" s="55" t="s">
        <v>23</v>
      </c>
      <c r="E43" s="55" t="s">
        <v>141</v>
      </c>
      <c r="F43" s="56" t="s">
        <v>40</v>
      </c>
      <c r="G43" s="55" t="s">
        <v>44</v>
      </c>
      <c r="H43" s="57" t="n">
        <v>44999</v>
      </c>
      <c r="I43" s="70" t="n">
        <f aca="false">SUMIFS(OPmontant,OPcompte,$A43,OPdevise,$E43,OPcatégorie,Solde,OPdate,$H43)</f>
        <v>0</v>
      </c>
      <c r="J43" s="59" t="n">
        <f aca="false">_xlfn.MAXIFS(OPdate,OPcompte,$A43,OPdevise,$E43,OPcatégorie,Solde)</f>
        <v>45830</v>
      </c>
      <c r="K43" s="71" t="n">
        <f aca="false">SUMIFS(OPmontant,OPcompte,$A43,OPdevise,$E43,OPcatégorie,Solde,OPdate,$J43)</f>
        <v>16.38747</v>
      </c>
      <c r="L43" s="58" t="n">
        <f aca="false">K43*cours_XMR</f>
        <v>4760.8877844</v>
      </c>
    </row>
    <row r="44" customFormat="false" ht="14.25" hidden="false" customHeight="true" outlineLevel="0" collapsed="false">
      <c r="A44" s="15" t="s">
        <v>142</v>
      </c>
      <c r="B44" s="53" t="s">
        <v>10</v>
      </c>
      <c r="C44" s="54" t="s">
        <v>27</v>
      </c>
      <c r="D44" s="55" t="s">
        <v>23</v>
      </c>
      <c r="E44" s="55" t="s">
        <v>141</v>
      </c>
      <c r="F44" s="56" t="s">
        <v>40</v>
      </c>
      <c r="G44" s="55" t="s">
        <v>44</v>
      </c>
      <c r="H44" s="57" t="n">
        <v>45826</v>
      </c>
      <c r="I44" s="70" t="n">
        <f aca="false">SUMIFS(OPmontant,OPcompte,$A44,OPdevise,$E44,OPcatégorie,Solde,OPdate,$H44)</f>
        <v>0</v>
      </c>
      <c r="J44" s="59" t="n">
        <f aca="false">_xlfn.MAXIFS(OPdate,OPcompte,$A44,OPdevise,$E44,OPcatégorie,Solde)</f>
        <v>46063</v>
      </c>
      <c r="K44" s="71" t="n">
        <f aca="false">SUMIFS(OPmontant,OPcompte,$A44,OPdevise,$E44,OPcatégorie,Solde,OPdate,$J44)</f>
        <v>2.92573</v>
      </c>
      <c r="L44" s="58" t="n">
        <f aca="false">K44*cours_XMR</f>
        <v>849.9830796</v>
      </c>
    </row>
    <row r="45" customFormat="false" ht="14.25" hidden="false" customHeight="true" outlineLevel="0" collapsed="false">
      <c r="A45" s="15" t="s">
        <v>143</v>
      </c>
      <c r="B45" s="53" t="s">
        <v>10</v>
      </c>
      <c r="C45" s="54" t="s">
        <v>33</v>
      </c>
      <c r="D45" s="55" t="s">
        <v>18</v>
      </c>
      <c r="E45" s="55" t="s">
        <v>136</v>
      </c>
      <c r="F45" s="56" t="s">
        <v>40</v>
      </c>
      <c r="G45" s="55" t="s">
        <v>45</v>
      </c>
      <c r="H45" s="57" t="n">
        <v>45855</v>
      </c>
      <c r="I45" s="68" t="n">
        <f aca="false">SUMIFS(OPmontant,OPcompte,$A45,OPdevise,$E45,OPcatégorie,Solde,OPdate,$H45)</f>
        <v>0</v>
      </c>
      <c r="J45" s="59" t="n">
        <f aca="false">_xlfn.MAXIFS(OPdate,OPcompte,$A45,OPdevise,$E45,OPcatégorie,Solde)</f>
        <v>45967</v>
      </c>
      <c r="K45" s="69" t="n">
        <f aca="false">SUMIFS(OPmontant,OPcompte,$A45,OPdevise,$E45,OPcatégorie,Solde,OPdate,$J45)</f>
        <v>858194.89</v>
      </c>
      <c r="L45" s="58" t="n">
        <f aca="false">K45*cours_SAT</f>
        <v>525.9962300299</v>
      </c>
    </row>
    <row r="46" customFormat="false" ht="14.25" hidden="false" customHeight="true" outlineLevel="0" collapsed="false">
      <c r="A46" s="15" t="s">
        <v>144</v>
      </c>
      <c r="B46" s="53" t="s">
        <v>10</v>
      </c>
      <c r="C46" s="54" t="s">
        <v>31</v>
      </c>
      <c r="D46" s="55" t="s">
        <v>18</v>
      </c>
      <c r="E46" s="55" t="s">
        <v>136</v>
      </c>
      <c r="F46" s="56" t="s">
        <v>40</v>
      </c>
      <c r="G46" s="55" t="s">
        <v>45</v>
      </c>
      <c r="H46" s="57" t="n">
        <v>45958</v>
      </c>
      <c r="I46" s="68" t="n">
        <f aca="false">SUMIFS(OPmontant,OPcompte,$A46,OPdevise,$E46,OPcatégorie,Solde,OPdate,$H46)</f>
        <v>0</v>
      </c>
      <c r="J46" s="59" t="n">
        <f aca="false">_xlfn.MAXIFS(OPdate,OPcompte,$A46,OPdevise,$E46,OPcatégorie,Solde)</f>
        <v>45959</v>
      </c>
      <c r="K46" s="69" t="n">
        <f aca="false">SUMIFS(OPmontant,OPcompte,$A46,OPdevise,$E46,OPcatégorie,Solde,OPdate,$J46)</f>
        <v>202182.39</v>
      </c>
      <c r="L46" s="58" t="n">
        <f aca="false">K46*cours_SAT</f>
        <v>123.9196086549</v>
      </c>
    </row>
    <row r="47" customFormat="false" ht="14.25" hidden="false" customHeight="true" outlineLevel="0" collapsed="false">
      <c r="A47" s="15"/>
      <c r="B47" s="53"/>
      <c r="C47" s="54"/>
      <c r="D47" s="55"/>
      <c r="E47" s="55"/>
      <c r="F47" s="56"/>
      <c r="G47" s="55"/>
      <c r="H47" s="57"/>
      <c r="I47" s="58"/>
      <c r="J47" s="59"/>
      <c r="K47" s="58"/>
      <c r="L47" s="58"/>
    </row>
    <row r="48" customFormat="false" ht="14.25" hidden="false" customHeight="true" outlineLevel="0" collapsed="false">
      <c r="A48" s="15"/>
      <c r="B48" s="53"/>
      <c r="C48" s="54"/>
      <c r="D48" s="55"/>
      <c r="E48" s="55"/>
      <c r="F48" s="56"/>
      <c r="G48" s="55"/>
      <c r="H48" s="57"/>
      <c r="I48" s="58"/>
      <c r="J48" s="59"/>
      <c r="K48" s="58"/>
      <c r="L48" s="58"/>
    </row>
    <row r="49" customFormat="false" ht="14.25" hidden="false" customHeight="true" outlineLevel="0" collapsed="false">
      <c r="A49" s="15"/>
      <c r="B49" s="53"/>
      <c r="C49" s="54"/>
      <c r="D49" s="55"/>
      <c r="E49" s="55"/>
      <c r="F49" s="56"/>
      <c r="G49" s="55"/>
      <c r="H49" s="57"/>
      <c r="I49" s="55"/>
      <c r="J49" s="59"/>
      <c r="K49" s="58"/>
      <c r="L49" s="58"/>
    </row>
    <row r="50" customFormat="false" ht="14.25" hidden="false" customHeight="true" outlineLevel="0" collapsed="false">
      <c r="A50" s="15" t="s">
        <v>145</v>
      </c>
      <c r="B50" s="53" t="s">
        <v>6</v>
      </c>
      <c r="C50" s="54" t="s">
        <v>29</v>
      </c>
      <c r="D50" s="55" t="s">
        <v>16</v>
      </c>
      <c r="E50" s="55" t="s">
        <v>146</v>
      </c>
      <c r="F50" s="56" t="s">
        <v>40</v>
      </c>
      <c r="G50" s="55" t="s">
        <v>44</v>
      </c>
      <c r="H50" s="57" t="n">
        <v>45048</v>
      </c>
      <c r="I50" s="72" t="n">
        <f aca="false">SUMIFS(OPmontant,OPcompte,$A50,OPdevise,$E50,OPcatégorie,Solde,OPdate,$H50)</f>
        <v>0</v>
      </c>
      <c r="J50" s="59" t="n">
        <f aca="false">_xlfn.MAXIFS(OPdate,OPcompte,$A50,OPdevise,$E50,OPcatégorie,Solde)</f>
        <v>45457</v>
      </c>
      <c r="K50" s="73" t="n">
        <f aca="false">SUMIFS(OPmontant,OPcompte,$A50,OPdevise,$E50,OPcatégorie,Solde,OPdate,$J50)</f>
        <v>74.88449</v>
      </c>
      <c r="L50" s="58" t="n">
        <f aca="false">K50*cours_OrPr</f>
        <v>10467.5681818414</v>
      </c>
    </row>
    <row r="51" customFormat="false" ht="14.25" hidden="false" customHeight="true" outlineLevel="0" collapsed="false">
      <c r="A51" s="15" t="s">
        <v>147</v>
      </c>
      <c r="B51" s="53" t="s">
        <v>6</v>
      </c>
      <c r="C51" s="54" t="s">
        <v>29</v>
      </c>
      <c r="D51" s="55" t="s">
        <v>16</v>
      </c>
      <c r="E51" s="55" t="s">
        <v>148</v>
      </c>
      <c r="F51" s="56" t="s">
        <v>40</v>
      </c>
      <c r="G51" s="55" t="s">
        <v>44</v>
      </c>
      <c r="H51" s="57" t="n">
        <v>45941</v>
      </c>
      <c r="I51" s="74" t="n">
        <f aca="false">SUMIFS(OPmontant,OPcompte,$A51,OPdevise,$E51,OPcatégorie,Solde,OPdate,$H51)</f>
        <v>3.78612</v>
      </c>
      <c r="J51" s="59" t="n">
        <f aca="false">_xlfn.MAXIFS(OPdate,OPcompte,$A51,OPdevise,$E51,OPcatégorie,Solde)</f>
        <v>45941</v>
      </c>
      <c r="K51" s="75" t="n">
        <f aca="false">SUMIFS(OPmontant,OPcompte,$A51,OPdevise,$E51,OPcatégorie,Solde,OPdate,$J51)</f>
        <v>3.78612</v>
      </c>
      <c r="L51" s="58" t="n">
        <f aca="false">K51*cours_AgJo</f>
        <v>4.0511484</v>
      </c>
    </row>
    <row r="52" customFormat="false" ht="14.25" hidden="false" customHeight="true" outlineLevel="0" collapsed="false">
      <c r="A52" s="15" t="s">
        <v>149</v>
      </c>
      <c r="B52" s="53" t="s">
        <v>6</v>
      </c>
      <c r="C52" s="54" t="s">
        <v>29</v>
      </c>
      <c r="D52" s="55" t="s">
        <v>16</v>
      </c>
      <c r="E52" s="55" t="s">
        <v>150</v>
      </c>
      <c r="F52" s="56" t="s">
        <v>40</v>
      </c>
      <c r="G52" s="55" t="s">
        <v>44</v>
      </c>
      <c r="H52" s="59" t="n">
        <f aca="false">_xlfn.MINIFS(OPdate,OPcompte,$A52,OPdevise,$E52,OPcatégorie,Solde)</f>
        <v>45292</v>
      </c>
      <c r="I52" s="76" t="n">
        <f aca="false">SUMIFS(OPmontant,OPcompte,$A52,OPdevise,$E52,OPcatégorie,Solde,OPdate,$H52)</f>
        <v>65.56184</v>
      </c>
      <c r="J52" s="59" t="n">
        <f aca="false">_xlfn.MAXIFS(OPdate,OPcompte,$A52,OPdevise,$E52,OPcatégorie,Solde)</f>
        <v>46084</v>
      </c>
      <c r="K52" s="77" t="n">
        <f aca="false">SUMIFS(OPmontant,OPcompte,$A52,OPdevise,$E52,OPcatégorie,Solde,OPdate,$J52)</f>
        <v>108.72</v>
      </c>
      <c r="L52" s="58" t="n">
        <f aca="false">K52*cours_OrJo</f>
        <v>7285.3272</v>
      </c>
    </row>
    <row r="53" customFormat="false" ht="14.25" hidden="false" customHeight="true" outlineLevel="0" collapsed="false">
      <c r="A53" s="15"/>
      <c r="B53" s="53"/>
      <c r="C53" s="54"/>
      <c r="D53" s="55"/>
      <c r="E53" s="55"/>
      <c r="F53" s="56"/>
      <c r="G53" s="55"/>
      <c r="H53" s="57"/>
      <c r="I53" s="58"/>
      <c r="J53" s="59"/>
      <c r="K53" s="58"/>
      <c r="L53" s="58"/>
    </row>
    <row r="54" customFormat="false" ht="14.25" hidden="false" customHeight="true" outlineLevel="0" collapsed="false">
      <c r="A54" s="15"/>
      <c r="B54" s="53"/>
      <c r="C54" s="54"/>
      <c r="D54" s="55"/>
      <c r="E54" s="55"/>
      <c r="F54" s="56"/>
      <c r="G54" s="55"/>
      <c r="H54" s="57"/>
      <c r="I54" s="58"/>
      <c r="J54" s="59"/>
      <c r="K54" s="58"/>
      <c r="L54" s="58"/>
    </row>
    <row r="55" customFormat="false" ht="14.25" hidden="false" customHeight="true" outlineLevel="0" collapsed="false">
      <c r="A55" s="15"/>
      <c r="B55" s="53"/>
      <c r="C55" s="54"/>
      <c r="D55" s="55"/>
      <c r="E55" s="55"/>
      <c r="F55" s="56"/>
      <c r="G55" s="55"/>
      <c r="H55" s="55"/>
      <c r="I55" s="55"/>
      <c r="J55" s="59"/>
      <c r="K55" s="58"/>
      <c r="L55" s="58"/>
    </row>
    <row r="56" customFormat="false" ht="14.25" hidden="false" customHeight="true" outlineLevel="0" collapsed="false">
      <c r="A56" s="15"/>
      <c r="B56" s="53"/>
      <c r="C56" s="54"/>
      <c r="D56" s="55"/>
      <c r="E56" s="55"/>
      <c r="F56" s="56"/>
      <c r="G56" s="55"/>
      <c r="H56" s="55"/>
      <c r="I56" s="55"/>
      <c r="J56" s="59"/>
      <c r="K56" s="58"/>
      <c r="L56" s="58"/>
    </row>
    <row r="57" customFormat="false" ht="14.25" hidden="false" customHeight="true" outlineLevel="0" collapsed="false">
      <c r="A57" s="15" t="s">
        <v>151</v>
      </c>
      <c r="B57" s="53" t="s">
        <v>13</v>
      </c>
      <c r="C57" s="54"/>
      <c r="D57" s="55"/>
      <c r="E57" s="55"/>
      <c r="F57" s="56"/>
      <c r="G57" s="55"/>
      <c r="H57" s="55"/>
      <c r="I57" s="55"/>
      <c r="J57" s="59"/>
      <c r="K57" s="58"/>
      <c r="L57" s="58"/>
    </row>
    <row r="58" customFormat="false" ht="14.25" hidden="false" customHeight="true" outlineLevel="0" collapsed="false">
      <c r="A58" s="15" t="s">
        <v>152</v>
      </c>
      <c r="B58" s="53" t="s">
        <v>13</v>
      </c>
      <c r="C58" s="54"/>
      <c r="D58" s="55"/>
      <c r="E58" s="55"/>
      <c r="F58" s="56"/>
      <c r="G58" s="55"/>
      <c r="H58" s="55"/>
      <c r="I58" s="55"/>
      <c r="J58" s="59"/>
      <c r="K58" s="58"/>
      <c r="L58" s="58"/>
    </row>
    <row r="59" customFormat="false" ht="14.25" hidden="false" customHeight="true" outlineLevel="0" collapsed="false">
      <c r="A59" s="15" t="s">
        <v>153</v>
      </c>
      <c r="B59" s="53" t="s">
        <v>13</v>
      </c>
      <c r="C59" s="54"/>
      <c r="D59" s="55"/>
      <c r="E59" s="55"/>
      <c r="F59" s="56"/>
      <c r="G59" s="55"/>
      <c r="H59" s="55"/>
      <c r="I59" s="55"/>
      <c r="J59" s="59"/>
      <c r="K59" s="58"/>
      <c r="L59" s="58"/>
    </row>
    <row r="60" customFormat="false" ht="14.25" hidden="false" customHeight="true" outlineLevel="0" collapsed="false">
      <c r="A60" s="15" t="s">
        <v>154</v>
      </c>
      <c r="B60" s="53" t="s">
        <v>13</v>
      </c>
      <c r="C60" s="54"/>
      <c r="D60" s="55"/>
      <c r="E60" s="55"/>
      <c r="F60" s="56"/>
      <c r="G60" s="55"/>
      <c r="H60" s="55"/>
      <c r="I60" s="55"/>
      <c r="J60" s="59"/>
      <c r="K60" s="58"/>
      <c r="L60" s="58"/>
    </row>
    <row r="61" customFormat="false" ht="14.25" hidden="false" customHeight="true" outlineLevel="0" collapsed="false">
      <c r="A61" s="15" t="s">
        <v>155</v>
      </c>
      <c r="B61" s="53" t="s">
        <v>13</v>
      </c>
      <c r="C61" s="54"/>
      <c r="D61" s="55"/>
      <c r="E61" s="55"/>
      <c r="F61" s="56"/>
      <c r="G61" s="55"/>
      <c r="H61" s="55"/>
      <c r="I61" s="55"/>
      <c r="J61" s="59"/>
      <c r="K61" s="58"/>
      <c r="L61" s="58"/>
    </row>
    <row r="62" customFormat="false" ht="14.25" hidden="false" customHeight="true" outlineLevel="0" collapsed="false">
      <c r="A62" s="15" t="s">
        <v>156</v>
      </c>
      <c r="B62" s="53" t="s">
        <v>13</v>
      </c>
      <c r="C62" s="54"/>
      <c r="D62" s="55"/>
      <c r="E62" s="55"/>
      <c r="F62" s="56"/>
      <c r="G62" s="55"/>
      <c r="H62" s="55"/>
      <c r="I62" s="55"/>
      <c r="J62" s="59"/>
      <c r="K62" s="58"/>
      <c r="L62" s="58"/>
    </row>
    <row r="63" customFormat="false" ht="14.25" hidden="false" customHeight="true" outlineLevel="0" collapsed="false">
      <c r="A63" s="15" t="s">
        <v>157</v>
      </c>
      <c r="B63" s="53" t="s">
        <v>13</v>
      </c>
      <c r="C63" s="54"/>
      <c r="D63" s="55"/>
      <c r="E63" s="55"/>
      <c r="F63" s="56"/>
      <c r="G63" s="55"/>
      <c r="H63" s="55"/>
      <c r="I63" s="55"/>
      <c r="J63" s="59"/>
      <c r="K63" s="58"/>
      <c r="L63" s="58"/>
    </row>
    <row r="64" customFormat="false" ht="16.5" hidden="false" customHeight="true" outlineLevel="0" collapsed="false">
      <c r="A64" s="15" t="s">
        <v>4</v>
      </c>
      <c r="B64" s="54"/>
      <c r="C64" s="54"/>
      <c r="D64" s="55"/>
      <c r="E64" s="55"/>
      <c r="F64" s="55"/>
      <c r="G64" s="55"/>
      <c r="H64" s="55"/>
      <c r="I64" s="55"/>
      <c r="J64" s="59"/>
      <c r="K64" s="58"/>
      <c r="L64" s="58"/>
    </row>
    <row r="65" customFormat="false" ht="17.25" hidden="false" customHeight="true" outlineLevel="0" collapsed="false">
      <c r="A65" s="78" t="s">
        <v>73</v>
      </c>
      <c r="B65" s="78"/>
      <c r="C65" s="31"/>
      <c r="D65" s="79"/>
      <c r="E65" s="79"/>
      <c r="F65" s="80"/>
      <c r="G65" s="80"/>
      <c r="H65" s="80"/>
      <c r="I65" s="81"/>
      <c r="J65" s="81"/>
      <c r="K65" s="81"/>
      <c r="L65" s="82" t="n">
        <f aca="false">ROUND(SUM(AVRmontant_solde_euro),2)</f>
        <v>167995.53</v>
      </c>
    </row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>
      <c r="S100" s="83"/>
    </row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L65">
    <cfRule type="expression" priority="6" aboveAverage="0" equalAverage="0" bottom="0" percent="0" rank="0" text="" dxfId="1">
      <formula>ISERROR(INDIRECT("RC",0))</formula>
    </cfRule>
  </conditionalFormatting>
  <conditionalFormatting sqref="L2">
    <cfRule type="expression" priority="7" aboveAverage="0" equalAverage="0" bottom="0" percent="0" rank="0" text="" dxfId="1">
      <formula>ISERROR(INDIRECT("RC",0))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5" width="33.52"/>
    <col collapsed="false" customWidth="true" hidden="false" outlineLevel="0" max="2" min="2" style="45" width="11.33"/>
    <col collapsed="false" customWidth="true" hidden="false" outlineLevel="0" max="3" min="3" style="45" width="15.33"/>
    <col collapsed="false" customWidth="true" hidden="false" outlineLevel="0" max="4" min="4" style="45" width="3"/>
    <col collapsed="false" customWidth="true" hidden="false" outlineLevel="0" max="5" min="5" style="84" width="31.68"/>
    <col collapsed="false" customWidth="true" hidden="false" outlineLevel="0" max="6" min="6" style="84" width="15.77"/>
    <col collapsed="false" customWidth="true" hidden="false" outlineLevel="0" max="7" min="7" style="84" width="12.84"/>
    <col collapsed="false" customWidth="true" hidden="false" outlineLevel="0" max="8" min="8" style="84" width="11.12"/>
    <col collapsed="false" customWidth="true" hidden="false" outlineLevel="0" max="9" min="9" style="84" width="13.16"/>
    <col collapsed="false" customWidth="true" hidden="false" outlineLevel="0" max="10" min="10" style="84" width="37"/>
    <col collapsed="false" customWidth="false" hidden="false" outlineLevel="0" max="16366" min="29" style="84" width="10.83"/>
    <col collapsed="false" customWidth="true" hidden="false" outlineLevel="0" max="16384" min="16367" style="84" width="11.53"/>
  </cols>
  <sheetData>
    <row r="1" customFormat="false" ht="16.5" hidden="false" customHeight="true" outlineLevel="0" collapsed="false">
      <c r="A1" s="85" t="str">
        <f aca="false">Contrôles!K$70</f>
        <v>⚠</v>
      </c>
      <c r="B1" s="13"/>
      <c r="C1" s="86" t="n">
        <f aca="false">C$2-365</f>
        <v>45940</v>
      </c>
      <c r="D1" s="86"/>
    </row>
    <row r="2" customFormat="false" ht="16.5" hidden="false" customHeight="true" outlineLevel="0" collapsed="false">
      <c r="A2" s="13"/>
      <c r="B2" s="13"/>
      <c r="C2" s="86" t="n">
        <f aca="true">TODAY()</f>
        <v>46305</v>
      </c>
      <c r="D2" s="86"/>
    </row>
    <row r="3" customFormat="false" ht="28.5" hidden="false" customHeight="true" outlineLevel="0" collapsed="false">
      <c r="A3" s="27" t="s">
        <v>158</v>
      </c>
      <c r="B3" s="27" t="s">
        <v>87</v>
      </c>
      <c r="C3" s="27" t="s">
        <v>159</v>
      </c>
      <c r="D3" s="27"/>
    </row>
    <row r="4" customFormat="false" ht="15" hidden="false" customHeight="true" outlineLevel="0" collapsed="false">
      <c r="A4" s="33" t="s">
        <v>4</v>
      </c>
      <c r="B4" s="17"/>
      <c r="C4" s="17"/>
      <c r="D4" s="17"/>
    </row>
    <row r="5" customFormat="false" ht="16.5" hidden="false" customHeight="true" outlineLevel="0" collapsed="false">
      <c r="A5" s="33" t="s">
        <v>160</v>
      </c>
      <c r="B5" s="56" t="s">
        <v>161</v>
      </c>
      <c r="C5" s="17" t="n">
        <f aca="false">SUMIF(CATposte,A5,CATaffectation)</f>
        <v>-21.17</v>
      </c>
      <c r="D5" s="17"/>
    </row>
    <row r="6" customFormat="false" ht="16.5" hidden="false" customHeight="true" outlineLevel="0" collapsed="false">
      <c r="A6" s="33" t="s">
        <v>162</v>
      </c>
      <c r="B6" s="56" t="s">
        <v>161</v>
      </c>
      <c r="C6" s="17" t="n">
        <f aca="false">SUMIF(CATposte,A6,CATaffectation)</f>
        <v>-1710.83</v>
      </c>
      <c r="D6" s="17"/>
    </row>
    <row r="7" customFormat="false" ht="16.5" hidden="false" customHeight="true" outlineLevel="0" collapsed="false">
      <c r="A7" s="33" t="s">
        <v>163</v>
      </c>
      <c r="B7" s="56" t="s">
        <v>161</v>
      </c>
      <c r="C7" s="17" t="n">
        <f aca="false">SUMIF(CATposte,A7,CATaffectation)</f>
        <v>-867.3</v>
      </c>
      <c r="D7" s="17"/>
    </row>
    <row r="8" customFormat="false" ht="16.5" hidden="false" customHeight="true" outlineLevel="0" collapsed="false">
      <c r="A8" s="33" t="s">
        <v>164</v>
      </c>
      <c r="B8" s="56" t="s">
        <v>161</v>
      </c>
      <c r="C8" s="17" t="n">
        <f aca="false">SUMIF(CATposte,A8,CATaffectation)</f>
        <v>-441.148</v>
      </c>
      <c r="D8" s="17"/>
    </row>
    <row r="9" customFormat="false" ht="16.5" hidden="false" customHeight="true" outlineLevel="0" collapsed="false">
      <c r="A9" s="33" t="s">
        <v>165</v>
      </c>
      <c r="B9" s="56" t="s">
        <v>161</v>
      </c>
      <c r="C9" s="17" t="n">
        <f aca="false">SUMIF(CATposte,A9,CATaffectation)</f>
        <v>-551.8331</v>
      </c>
      <c r="D9" s="17"/>
    </row>
    <row r="10" customFormat="false" ht="16.5" hidden="false" customHeight="true" outlineLevel="0" collapsed="false">
      <c r="A10" s="33" t="s">
        <v>166</v>
      </c>
      <c r="B10" s="56" t="s">
        <v>161</v>
      </c>
      <c r="C10" s="17" t="n">
        <f aca="false">SUMIF(CATposte,A10,CATaffectation)</f>
        <v>-147.4554</v>
      </c>
      <c r="D10" s="17"/>
    </row>
    <row r="11" customFormat="false" ht="16.5" hidden="false" customHeight="true" outlineLevel="0" collapsed="false">
      <c r="A11" s="33" t="s">
        <v>167</v>
      </c>
      <c r="B11" s="56" t="s">
        <v>161</v>
      </c>
      <c r="C11" s="17" t="n">
        <f aca="false">SUMIF(CATposte,A11,CATaffectation)</f>
        <v>-237.0796</v>
      </c>
      <c r="D11" s="17"/>
    </row>
    <row r="12" customFormat="false" ht="16.5" hidden="false" customHeight="true" outlineLevel="0" collapsed="false">
      <c r="A12" s="33" t="s">
        <v>168</v>
      </c>
      <c r="B12" s="56" t="s">
        <v>161</v>
      </c>
      <c r="C12" s="17" t="n">
        <f aca="false">SUMIF(CATposte,A12,CATaffectation)</f>
        <v>-217.9118717</v>
      </c>
      <c r="D12" s="17"/>
    </row>
    <row r="13" customFormat="false" ht="16.5" hidden="false" customHeight="true" outlineLevel="0" collapsed="false">
      <c r="A13" s="33" t="s">
        <v>169</v>
      </c>
      <c r="B13" s="56" t="s">
        <v>161</v>
      </c>
      <c r="C13" s="17" t="n">
        <f aca="false">SUMIF(CATposte,A13,CATaffectation)</f>
        <v>-271.126</v>
      </c>
      <c r="D13" s="17"/>
    </row>
    <row r="14" customFormat="false" ht="16.5" hidden="false" customHeight="true" outlineLevel="0" collapsed="false">
      <c r="A14" s="33" t="s">
        <v>170</v>
      </c>
      <c r="B14" s="56" t="s">
        <v>161</v>
      </c>
      <c r="C14" s="17" t="n">
        <f aca="false">SUMIF(CATposte,A14,CATaffectation)</f>
        <v>-11.55</v>
      </c>
      <c r="D14" s="17"/>
    </row>
    <row r="15" customFormat="false" ht="16.5" hidden="false" customHeight="true" outlineLevel="0" collapsed="false">
      <c r="A15" s="33" t="s">
        <v>171</v>
      </c>
      <c r="B15" s="56" t="s">
        <v>161</v>
      </c>
      <c r="C15" s="17" t="n">
        <f aca="false">SUMIF(CATposte,A15,CATaffectation)</f>
        <v>-503.85</v>
      </c>
      <c r="D15" s="17"/>
    </row>
    <row r="16" customFormat="false" ht="16.5" hidden="false" customHeight="true" outlineLevel="0" collapsed="false">
      <c r="A16" s="33" t="s">
        <v>172</v>
      </c>
      <c r="B16" s="56" t="s">
        <v>161</v>
      </c>
      <c r="C16" s="17" t="n">
        <f aca="false">SUMIF(CATposte,A16,CATaffectation)</f>
        <v>4318.42</v>
      </c>
      <c r="D16" s="17"/>
    </row>
    <row r="17" customFormat="false" ht="16.5" hidden="false" customHeight="true" outlineLevel="0" collapsed="false">
      <c r="A17" s="33" t="s">
        <v>173</v>
      </c>
      <c r="B17" s="56" t="s">
        <v>161</v>
      </c>
      <c r="C17" s="17" t="n">
        <f aca="false">SUMIF(CATposte,A17,CATaffectation)</f>
        <v>3318.83</v>
      </c>
      <c r="D17" s="17"/>
    </row>
    <row r="18" customFormat="false" ht="16.5" hidden="false" customHeight="true" outlineLevel="0" collapsed="false">
      <c r="A18" s="33" t="s">
        <v>174</v>
      </c>
      <c r="B18" s="56" t="s">
        <v>161</v>
      </c>
      <c r="C18" s="17" t="n">
        <f aca="false">SUMIF(CATposte,A18,CATaffectation)</f>
        <v>-65.7979</v>
      </c>
      <c r="D18" s="17"/>
    </row>
    <row r="19" customFormat="false" ht="16.5" hidden="false" customHeight="true" outlineLevel="0" collapsed="false">
      <c r="A19" s="33" t="s">
        <v>175</v>
      </c>
      <c r="B19" s="56" t="s">
        <v>161</v>
      </c>
      <c r="C19" s="17" t="n">
        <f aca="false">SUMIF(CATposte,A19,CATaffectation)</f>
        <v>1398.721483</v>
      </c>
      <c r="D19" s="17"/>
    </row>
    <row r="20" customFormat="false" ht="16.5" hidden="false" customHeight="true" outlineLevel="0" collapsed="false">
      <c r="A20" s="33" t="s">
        <v>176</v>
      </c>
      <c r="B20" s="56" t="s">
        <v>177</v>
      </c>
      <c r="C20" s="17" t="n">
        <f aca="false">SUMIF(CATposte,A20,CATaffectation)</f>
        <v>46.6311492</v>
      </c>
      <c r="D20" s="17"/>
    </row>
    <row r="21" customFormat="false" ht="16.5" hidden="false" customHeight="true" outlineLevel="0" collapsed="false">
      <c r="A21" s="33" t="s">
        <v>178</v>
      </c>
      <c r="B21" s="56" t="s">
        <v>177</v>
      </c>
      <c r="C21" s="17" t="n">
        <f aca="false">SUMIF(CATposte,A21,CATaffectation)</f>
        <v>0</v>
      </c>
      <c r="D21" s="17"/>
    </row>
    <row r="22" customFormat="false" ht="16.5" hidden="false" customHeight="true" outlineLevel="0" collapsed="false">
      <c r="A22" s="33" t="s">
        <v>4</v>
      </c>
      <c r="B22" s="56"/>
      <c r="C22" s="17"/>
      <c r="D22" s="17"/>
    </row>
    <row r="23" customFormat="false" ht="17.25" hidden="false" customHeight="true" outlineLevel="0" collapsed="false">
      <c r="A23" s="87" t="s">
        <v>179</v>
      </c>
      <c r="B23" s="78"/>
      <c r="C23" s="81" t="n">
        <f aca="false">SUM(POSTESmontant)</f>
        <v>4035.5507605</v>
      </c>
      <c r="D23" s="88"/>
    </row>
    <row r="24" customFormat="false" ht="16.5" hidden="false" customHeight="true" outlineLevel="0" collapsed="false">
      <c r="A24" s="89" t="s">
        <v>180</v>
      </c>
      <c r="B24" s="90"/>
      <c r="C24" s="91" t="n">
        <f aca="false">SUMIF(POSTEStype,"Fixe",POSTESmontant)</f>
        <v>3988.9196113</v>
      </c>
      <c r="D24" s="92"/>
    </row>
    <row r="25" customFormat="false" ht="17.25" hidden="false" customHeight="true" outlineLevel="0" collapsed="false">
      <c r="A25" s="89" t="s">
        <v>181</v>
      </c>
      <c r="B25" s="90"/>
      <c r="C25" s="91" t="n">
        <f aca="false">C$24/12</f>
        <v>332.409967608333</v>
      </c>
      <c r="D25" s="93"/>
    </row>
    <row r="26" customFormat="false" ht="16.5" hidden="false" customHeight="true" outlineLevel="0" collapsed="false">
      <c r="A26" s="89" t="s">
        <v>182</v>
      </c>
      <c r="B26" s="90"/>
      <c r="C26" s="94" t="n">
        <f aca="false">ROUND(C$23-I$100,2)</f>
        <v>0</v>
      </c>
      <c r="D26" s="95"/>
    </row>
    <row r="28" customFormat="false" ht="18.75" hidden="false" customHeight="true" outlineLevel="0" collapsed="false">
      <c r="E28" s="96" t="s">
        <v>68</v>
      </c>
      <c r="F28" s="96"/>
      <c r="G28" s="96"/>
      <c r="H28" s="96"/>
      <c r="I28" s="96"/>
      <c r="J28" s="96"/>
    </row>
    <row r="29" customFormat="false" ht="37.5" hidden="false" customHeight="true" outlineLevel="0" collapsed="false">
      <c r="E29" s="97" t="s">
        <v>183</v>
      </c>
      <c r="F29" s="98" t="s">
        <v>97</v>
      </c>
      <c r="G29" s="27" t="s">
        <v>184</v>
      </c>
      <c r="H29" s="52" t="s">
        <v>185</v>
      </c>
      <c r="I29" s="27" t="s">
        <v>186</v>
      </c>
      <c r="J29" s="27" t="s">
        <v>158</v>
      </c>
    </row>
    <row r="30" customFormat="false" ht="15" hidden="false" customHeight="true" outlineLevel="0" collapsed="false">
      <c r="E30" s="97" t="s">
        <v>187</v>
      </c>
      <c r="F30" s="99" t="n">
        <f aca="false">INDEX(COTcours,MATCH($F$29,COTcode,0))</f>
        <v>1</v>
      </c>
      <c r="G30" s="13"/>
      <c r="H30" s="100"/>
      <c r="I30" s="101"/>
      <c r="J30" s="101"/>
    </row>
    <row r="31" customFormat="false" ht="15" hidden="false" customHeight="true" outlineLevel="0" collapsed="false">
      <c r="E31" s="33" t="s">
        <v>4</v>
      </c>
      <c r="F31" s="17"/>
      <c r="G31" s="17"/>
      <c r="H31" s="102"/>
      <c r="I31" s="17"/>
      <c r="J31" s="103"/>
    </row>
    <row r="32" customFormat="false" ht="16.5" hidden="false" customHeight="true" outlineLevel="0" collapsed="false">
      <c r="E32" s="33" t="s">
        <v>188</v>
      </c>
      <c r="F32" s="17" t="n">
        <f aca="false">SUMIFS(OPmontant,OPdevise,F$29,OPcatégorie,$E32,OPdate,"&gt;"&amp;$C$2-365)</f>
        <v>-2109.23</v>
      </c>
      <c r="G32" s="17" t="n">
        <f aca="false">SUMPRODUCT(SUMIFS(OPmontant,OPcatégorie,$E32,OPdate,"&gt;"&amp;$C$2-365,OPdevise,COTcode)*COTcours)</f>
        <v>-538.4027557292</v>
      </c>
      <c r="H32" s="102"/>
      <c r="I32" s="17"/>
      <c r="J32" s="103"/>
    </row>
    <row r="33" customFormat="false" ht="16.5" hidden="false" customHeight="true" outlineLevel="0" collapsed="false">
      <c r="E33" s="33" t="s">
        <v>189</v>
      </c>
      <c r="F33" s="17" t="n">
        <f aca="false">SUMIFS(OPmontant,OPdevise,F$29,OPcatégorie,$E33,OPdate,"&gt;"&amp;$C$2-365)</f>
        <v>-888.71</v>
      </c>
      <c r="G33" s="17" t="n">
        <f aca="false">SUMPRODUCT(SUMIFS(OPmontant,OPcatégorie,$E33,OPdate,"&gt;"&amp;$C$2-365,OPdevise,COTcode)*COTcours)</f>
        <v>-199.2597985</v>
      </c>
      <c r="H33" s="102"/>
      <c r="I33" s="17"/>
      <c r="J33" s="103"/>
    </row>
    <row r="34" customFormat="false" ht="16.5" hidden="false" customHeight="true" outlineLevel="0" collapsed="false">
      <c r="E34" s="33" t="s">
        <v>190</v>
      </c>
      <c r="F34" s="17" t="n">
        <f aca="false">SUMIFS(OPmontant,OPdevise,F$29,OPcatégorie,$E34,OPdate,"&gt;"&amp;$C$2-365)</f>
        <v>0</v>
      </c>
      <c r="G34" s="17" t="n">
        <f aca="false">SUMPRODUCT(SUMIFS(OPmontant,OPcatégorie,$E34,OPdate,"&gt;"&amp;$C$2-365,OPdevise,COTcode)*COTcours)</f>
        <v>0</v>
      </c>
      <c r="H34" s="17"/>
      <c r="I34" s="17"/>
      <c r="J34" s="53"/>
    </row>
    <row r="35" customFormat="false" ht="16.5" hidden="false" customHeight="true" outlineLevel="0" collapsed="false">
      <c r="E35" s="33" t="s">
        <v>191</v>
      </c>
      <c r="F35" s="17" t="n">
        <f aca="false">SUMIFS(OPmontant,OPdevise,F$29,OPcatégorie,$E35,OPdate,"&gt;"&amp;$C$2-365)</f>
        <v>0</v>
      </c>
      <c r="G35" s="17" t="n">
        <f aca="false">SUMPRODUCT(SUMIFS(OPmontant,OPcatégorie,$E35,OPdate,"&gt;"&amp;$C$2-365,OPdevise,COTcode)*COTcours)</f>
        <v>0</v>
      </c>
      <c r="H35" s="17"/>
      <c r="I35" s="17"/>
      <c r="J35" s="53"/>
    </row>
    <row r="36" customFormat="false" ht="16.5" hidden="false" customHeight="true" outlineLevel="0" collapsed="false">
      <c r="E36" s="33" t="s">
        <v>192</v>
      </c>
      <c r="F36" s="17" t="n">
        <f aca="false">SUMIFS(OPmontant,OPdevise,F$29,OPcatégorie,$E36,OPdate,"&gt;"&amp;$C$2-365)</f>
        <v>0</v>
      </c>
      <c r="G36" s="17" t="n">
        <f aca="false">SUMPRODUCT(SUMIFS(OPmontant,OPcatégorie,$E36,OPdate,"&gt;"&amp;$C$2-365,OPdevise,COTcode)*COTcours)</f>
        <v>0</v>
      </c>
      <c r="H36" s="17"/>
      <c r="I36" s="17"/>
      <c r="J36" s="53"/>
    </row>
    <row r="37" customFormat="false" ht="16.5" hidden="false" customHeight="true" outlineLevel="0" collapsed="false">
      <c r="E37" s="33" t="s">
        <v>193</v>
      </c>
      <c r="F37" s="17" t="n">
        <f aca="false">SUMIFS(OPmontant,OPdevise,F$29,OPcatégorie,$E37,OPdate,"&gt;"&amp;$C$2-365)</f>
        <v>0</v>
      </c>
      <c r="G37" s="17" t="n">
        <f aca="false">SUMPRODUCT(SUMIFS(OPmontant,OPcatégorie,$E37,OPdate,"&gt;"&amp;$C$2-365,OPdevise,COTcode)*COTcours)</f>
        <v>0</v>
      </c>
      <c r="H37" s="102"/>
      <c r="I37" s="17"/>
      <c r="J37" s="103"/>
    </row>
    <row r="38" customFormat="false" ht="16.5" hidden="false" customHeight="true" outlineLevel="0" collapsed="false">
      <c r="E38" s="33" t="s">
        <v>12</v>
      </c>
      <c r="F38" s="17" t="n">
        <f aca="false">SUMIFS(OPmontant,OPdevise,F$29,OPcatégorie,$E38,OPdate,"&gt;"&amp;$C$2-365)</f>
        <v>-12.92</v>
      </c>
      <c r="G38" s="17" t="n">
        <f aca="false">SUMPRODUCT(SUMIFS(OPmontant,OPcatégorie,$E38,OPdate,"&gt;"&amp;$C$2-365,OPdevise,COTcode)*COTcours)</f>
        <v>-12.92</v>
      </c>
      <c r="H38" s="104" t="n">
        <v>1</v>
      </c>
      <c r="I38" s="17" t="n">
        <f aca="false">G38*H38</f>
        <v>-12.92</v>
      </c>
      <c r="J38" s="53" t="s">
        <v>160</v>
      </c>
    </row>
    <row r="39" customFormat="false" ht="16.5" hidden="false" customHeight="true" outlineLevel="0" collapsed="false">
      <c r="E39" s="33" t="s">
        <v>194</v>
      </c>
      <c r="F39" s="17" t="n">
        <f aca="false">SUMIFS(OPmontant,OPdevise,F$29,OPcatégorie,$E39,OPdate,"&gt;"&amp;$C$2-365)</f>
        <v>3082.05</v>
      </c>
      <c r="G39" s="17" t="n">
        <f aca="false">SUMPRODUCT(SUMIFS(OPmontant,OPcatégorie,$E39,OPdate,"&gt;"&amp;$C$2-365,OPdevise,COTcode)*COTcours)</f>
        <v>3082.05</v>
      </c>
      <c r="H39" s="104" t="n">
        <v>1</v>
      </c>
      <c r="I39" s="17" t="n">
        <f aca="false">G39*H39</f>
        <v>3082.05</v>
      </c>
      <c r="J39" s="53" t="s">
        <v>172</v>
      </c>
    </row>
    <row r="40" customFormat="false" ht="16.5" hidden="false" customHeight="true" outlineLevel="0" collapsed="false">
      <c r="E40" s="33" t="s">
        <v>195</v>
      </c>
      <c r="F40" s="17" t="n">
        <f aca="false">SUMIFS(OPmontant,OPdevise,F$29,OPcatégorie,$E40,OPdate,"&gt;"&amp;$C$2-365)</f>
        <v>0</v>
      </c>
      <c r="G40" s="17" t="n">
        <f aca="false">SUMPRODUCT(SUMIFS(OPmontant,OPcatégorie,$E40,OPdate,"&gt;"&amp;$C$2-365,OPdevise,COTcode)*COTcours)</f>
        <v>0</v>
      </c>
      <c r="H40" s="104" t="n">
        <v>1</v>
      </c>
      <c r="I40" s="17" t="n">
        <f aca="false">G40*H40</f>
        <v>0</v>
      </c>
      <c r="J40" s="53" t="s">
        <v>160</v>
      </c>
    </row>
    <row r="41" customFormat="false" ht="16.5" hidden="false" customHeight="true" outlineLevel="0" collapsed="false">
      <c r="E41" s="33" t="s">
        <v>196</v>
      </c>
      <c r="F41" s="17" t="n">
        <f aca="false">SUMIFS(OPmontant,OPdevise,F$29,OPcatégorie,$E41,OPdate,"&gt;"&amp;$C$2-365)</f>
        <v>0</v>
      </c>
      <c r="G41" s="17" t="n">
        <f aca="false">SUMPRODUCT(SUMIFS(OPmontant,OPcatégorie,$E41,OPdate,"&gt;"&amp;$C$2-365,OPdevise,COTcode)*COTcours)</f>
        <v>0</v>
      </c>
      <c r="H41" s="104" t="n">
        <v>1</v>
      </c>
      <c r="I41" s="17" t="n">
        <f aca="false">G41*H41</f>
        <v>0</v>
      </c>
      <c r="J41" s="53" t="s">
        <v>196</v>
      </c>
    </row>
    <row r="42" customFormat="false" ht="16.5" hidden="false" customHeight="true" outlineLevel="0" collapsed="false">
      <c r="E42" s="33" t="s">
        <v>197</v>
      </c>
      <c r="F42" s="17" t="n">
        <f aca="false">SUMIFS(OPmontant,OPdevise,F$29,OPcatégorie,$E42,OPdate,"&gt;"&amp;$C$2-365)</f>
        <v>-153.08</v>
      </c>
      <c r="G42" s="17" t="n">
        <f aca="false">SUMPRODUCT(SUMIFS(OPmontant,OPcatégorie,$E42,OPdate,"&gt;"&amp;$C$2-365,OPdevise,COTcode)*COTcours)</f>
        <v>-153.08</v>
      </c>
      <c r="H42" s="104" t="n">
        <v>0.15</v>
      </c>
      <c r="I42" s="17" t="n">
        <f aca="false">G42*H42</f>
        <v>-22.962</v>
      </c>
      <c r="J42" s="53" t="s">
        <v>164</v>
      </c>
    </row>
    <row r="43" customFormat="false" ht="16.5" hidden="false" customHeight="true" outlineLevel="0" collapsed="false">
      <c r="E43" s="33"/>
      <c r="F43" s="17"/>
      <c r="G43" s="17" t="n">
        <f aca="false">SUMPRODUCT(SUMIFS(OPmontant,OPcatégorie,$E43,OPdate,"&gt;"&amp;$C$2-365,OPdevise,COTcode)*COTcours)</f>
        <v>0</v>
      </c>
      <c r="H43" s="104" t="n">
        <v>0.23</v>
      </c>
      <c r="I43" s="17" t="n">
        <f aca="false">G42*H43</f>
        <v>-35.2084</v>
      </c>
      <c r="J43" s="53" t="s">
        <v>166</v>
      </c>
    </row>
    <row r="44" customFormat="false" ht="16.5" hidden="false" customHeight="true" outlineLevel="0" collapsed="false">
      <c r="E44" s="33"/>
      <c r="F44" s="17"/>
      <c r="G44" s="17" t="n">
        <f aca="false">SUMPRODUCT(SUMIFS(OPmontant,OPcatégorie,$E44,OPdate,"&gt;"&amp;$C$2-365,OPdevise,COTcode)*COTcours)</f>
        <v>0</v>
      </c>
      <c r="H44" s="104" t="n">
        <v>0.62</v>
      </c>
      <c r="I44" s="17" t="n">
        <f aca="false">G42*H44</f>
        <v>-94.9096</v>
      </c>
      <c r="J44" s="53" t="s">
        <v>167</v>
      </c>
    </row>
    <row r="45" customFormat="false" ht="16.5" hidden="false" customHeight="true" outlineLevel="0" collapsed="false">
      <c r="E45" s="33" t="s">
        <v>168</v>
      </c>
      <c r="F45" s="17" t="n">
        <f aca="false">SUMIFS(OPmontant,OPdevise,F$29,OPcatégorie,$E45,OPdate,"&gt;"&amp;$C$2-365)</f>
        <v>-120.87</v>
      </c>
      <c r="G45" s="17" t="n">
        <f aca="false">SUMPRODUCT(SUMIFS(OPmontant,OPcatégorie,$E45,OPdate,"&gt;"&amp;$C$2-365,OPdevise,COTcode)*COTcours)</f>
        <v>-217.9118717</v>
      </c>
      <c r="H45" s="104" t="n">
        <v>1</v>
      </c>
      <c r="I45" s="17" t="n">
        <f aca="false">G45*H45</f>
        <v>-217.9118717</v>
      </c>
      <c r="J45" s="53" t="s">
        <v>168</v>
      </c>
    </row>
    <row r="46" customFormat="false" ht="16.5" hidden="false" customHeight="true" outlineLevel="0" collapsed="false">
      <c r="E46" s="33" t="s">
        <v>41</v>
      </c>
      <c r="F46" s="17" t="n">
        <f aca="false">SUMIFS(OPmontant,OPdevise,F$29,OPcatégorie,$E46,OPdate,"&gt;"&amp;$C$2-365)</f>
        <v>-27.51</v>
      </c>
      <c r="G46" s="17" t="n">
        <f aca="false">SUMPRODUCT(SUMIFS(OPmontant,OPcatégorie,$E46,OPdate,"&gt;"&amp;$C$2-365,OPdevise,COTcode)*COTcours)</f>
        <v>-27.51</v>
      </c>
      <c r="H46" s="104" t="n">
        <v>1</v>
      </c>
      <c r="I46" s="17" t="n">
        <f aca="false">G46*H46</f>
        <v>-27.51</v>
      </c>
      <c r="J46" s="53" t="s">
        <v>169</v>
      </c>
    </row>
    <row r="47" customFormat="false" ht="16.5" hidden="false" customHeight="true" outlineLevel="0" collapsed="false">
      <c r="E47" s="33" t="s">
        <v>198</v>
      </c>
      <c r="F47" s="17" t="n">
        <f aca="false">SUMIFS(OPmontant,OPdevise,F$29,OPcatégorie,$E47,OPdate,"&gt;"&amp;$C$2-365)</f>
        <v>997.16</v>
      </c>
      <c r="G47" s="17" t="n">
        <f aca="false">SUMPRODUCT(SUMIFS(OPmontant,OPcatégorie,$E47,OPdate,"&gt;"&amp;$C$2-365,OPdevise,COTcode)*COTcours)</f>
        <v>997.16</v>
      </c>
      <c r="H47" s="104" t="n">
        <v>1</v>
      </c>
      <c r="I47" s="17" t="n">
        <f aca="false">G47*H47</f>
        <v>997.16</v>
      </c>
      <c r="J47" s="53" t="s">
        <v>173</v>
      </c>
    </row>
    <row r="48" customFormat="false" ht="16.5" hidden="false" customHeight="true" outlineLevel="0" collapsed="false">
      <c r="E48" s="33" t="s">
        <v>199</v>
      </c>
      <c r="F48" s="17" t="n">
        <f aca="false">SUMIFS(OPmontant,OPdevise,F$29,OPcatégorie,$E48,OPdate,"&gt;"&amp;$C$2-365)</f>
        <v>216.07</v>
      </c>
      <c r="G48" s="17" t="n">
        <f aca="false">SUMPRODUCT(SUMIFS(OPmontant,OPcatégorie,$E48,OPdate,"&gt;"&amp;$C$2-365,OPdevise,COTcode)*COTcours)</f>
        <v>217.878477</v>
      </c>
      <c r="H48" s="104" t="n">
        <v>1</v>
      </c>
      <c r="I48" s="17" t="n">
        <f aca="false">G48*H48</f>
        <v>217.878477</v>
      </c>
      <c r="J48" s="53" t="s">
        <v>175</v>
      </c>
    </row>
    <row r="49" customFormat="false" ht="16.5" hidden="false" customHeight="true" outlineLevel="0" collapsed="false">
      <c r="E49" s="33" t="s">
        <v>200</v>
      </c>
      <c r="F49" s="17" t="n">
        <f aca="false">SUMIFS(OPmontant,OPdevise,F$29,OPcatégorie,$E49,OPdate,"&gt;"&amp;$C$2-365)</f>
        <v>0</v>
      </c>
      <c r="G49" s="17" t="n">
        <f aca="false">SUMPRODUCT(SUMIFS(OPmontant,OPcatégorie,$E49,OPdate,"&gt;"&amp;$C$2-365,OPdevise,COTcode)*COTcours)</f>
        <v>0</v>
      </c>
      <c r="H49" s="104" t="n">
        <v>1</v>
      </c>
      <c r="I49" s="17" t="n">
        <f aca="false">G49*H49</f>
        <v>0</v>
      </c>
      <c r="J49" s="53" t="s">
        <v>167</v>
      </c>
    </row>
    <row r="50" customFormat="false" ht="16.5" hidden="false" customHeight="true" outlineLevel="0" collapsed="false">
      <c r="E50" s="33" t="s">
        <v>201</v>
      </c>
      <c r="F50" s="17" t="n">
        <f aca="false">SUMIFS(OPmontant,OPdevise,F$29,OPcatégorie,$E50,OPdate,"&gt;"&amp;$C$2-365)</f>
        <v>428.22</v>
      </c>
      <c r="G50" s="17" t="n">
        <f aca="false">SUMPRODUCT(SUMIFS(OPmontant,OPcatégorie,$E50,OPdate,"&gt;"&amp;$C$2-365,OPdevise,COTcode)*COTcours)</f>
        <v>428.22</v>
      </c>
      <c r="H50" s="104" t="n">
        <v>1</v>
      </c>
      <c r="I50" s="17" t="n">
        <f aca="false">G50*H50</f>
        <v>428.22</v>
      </c>
      <c r="J50" s="53" t="s">
        <v>173</v>
      </c>
    </row>
    <row r="51" customFormat="false" ht="16.5" hidden="false" customHeight="true" outlineLevel="0" collapsed="false">
      <c r="E51" s="33" t="s">
        <v>176</v>
      </c>
      <c r="F51" s="17" t="n">
        <f aca="false">SUMIFS(OPmontant,OPdevise,F$29,OPcatégorie,$E51,OPdate,"&gt;"&amp;$C$2-365)</f>
        <v>0</v>
      </c>
      <c r="G51" s="17" t="n">
        <f aca="false">SUMPRODUCT(SUMIFS(OPmontant,OPcatégorie,$E51,OPdate,"&gt;"&amp;$C$2-365,OPdevise,COTcode)*COTcours)</f>
        <v>0</v>
      </c>
      <c r="H51" s="104" t="n">
        <v>1</v>
      </c>
      <c r="I51" s="17" t="n">
        <f aca="false">G51*H51</f>
        <v>0</v>
      </c>
      <c r="J51" s="53" t="s">
        <v>176</v>
      </c>
    </row>
    <row r="52" customFormat="false" ht="16.5" hidden="false" customHeight="true" outlineLevel="0" collapsed="false">
      <c r="E52" s="33" t="s">
        <v>160</v>
      </c>
      <c r="F52" s="17" t="n">
        <f aca="false">SUMIFS(OPmontant,OPdevise,F$29,OPcatégorie,$E52,OPdate,"&gt;"&amp;$C$2-365)</f>
        <v>-8.25</v>
      </c>
      <c r="G52" s="17" t="n">
        <f aca="false">SUMPRODUCT(SUMIFS(OPmontant,OPcatégorie,$E52,OPdate,"&gt;"&amp;$C$2-365,OPdevise,COTcode)*COTcours)</f>
        <v>-8.25</v>
      </c>
      <c r="H52" s="104" t="n">
        <v>1</v>
      </c>
      <c r="I52" s="17" t="n">
        <f aca="false">G52*H52</f>
        <v>-8.25</v>
      </c>
      <c r="J52" s="53" t="s">
        <v>160</v>
      </c>
    </row>
    <row r="53" customFormat="false" ht="16.5" hidden="false" customHeight="true" outlineLevel="0" collapsed="false">
      <c r="E53" s="33" t="s">
        <v>202</v>
      </c>
      <c r="F53" s="17" t="n">
        <f aca="false">SUMIFS(OPmontant,OPdevise,F$29,OPcatégorie,$E53,OPdate,"&gt;"&amp;$C$2-365)</f>
        <v>-88.63</v>
      </c>
      <c r="G53" s="17" t="n">
        <f aca="false">SUMPRODUCT(SUMIFS(OPmontant,OPcatégorie,$E53,OPdate,"&gt;"&amp;$C$2-365,OPdevise,COTcode)*COTcours)</f>
        <v>-88.63</v>
      </c>
      <c r="H53" s="104" t="n">
        <v>0.9</v>
      </c>
      <c r="I53" s="17" t="n">
        <f aca="false">G53*H53</f>
        <v>-79.767</v>
      </c>
      <c r="J53" s="53" t="s">
        <v>165</v>
      </c>
    </row>
    <row r="54" customFormat="false" ht="16.5" hidden="false" customHeight="true" outlineLevel="0" collapsed="false">
      <c r="E54" s="33"/>
      <c r="F54" s="17"/>
      <c r="G54" s="17" t="n">
        <f aca="false">SUMPRODUCT(SUMIFS(OPmontant,OPcatégorie,$E54,OPdate,"&gt;"&amp;$C$2-365,OPdevise,COTcode)*COTcours)</f>
        <v>0</v>
      </c>
      <c r="H54" s="104" t="n">
        <v>0.1</v>
      </c>
      <c r="I54" s="17" t="n">
        <f aca="false">G53*H54</f>
        <v>-8.863</v>
      </c>
      <c r="J54" s="53" t="s">
        <v>166</v>
      </c>
    </row>
    <row r="55" customFormat="false" ht="16.5" hidden="false" customHeight="true" outlineLevel="0" collapsed="false">
      <c r="E55" s="33" t="s">
        <v>203</v>
      </c>
      <c r="F55" s="17" t="n">
        <f aca="false">SUMIFS(OPmontant,OPdevise,F$29,OPcatégorie,$E55,OPdate,"&gt;"&amp;$C$2-365)</f>
        <v>-215.64</v>
      </c>
      <c r="G55" s="17" t="n">
        <f aca="false">SUMPRODUCT(SUMIFS(OPmontant,OPcatégorie,$E55,OPdate,"&gt;"&amp;$C$2-365,OPdevise,COTcode)*COTcours)</f>
        <v>-215.64</v>
      </c>
      <c r="H55" s="104" t="n">
        <v>0.9</v>
      </c>
      <c r="I55" s="17" t="n">
        <f aca="false">G55*H55</f>
        <v>-194.076</v>
      </c>
      <c r="J55" s="53" t="s">
        <v>164</v>
      </c>
    </row>
    <row r="56" customFormat="false" ht="16.5" hidden="false" customHeight="true" outlineLevel="0" collapsed="false">
      <c r="E56" s="33"/>
      <c r="F56" s="17"/>
      <c r="G56" s="17" t="n">
        <f aca="false">SUMPRODUCT(SUMIFS(OPmontant,OPcatégorie,$E56,OPdate,"&gt;"&amp;$C$2-365,OPdevise,COTcode)*COTcours)</f>
        <v>0</v>
      </c>
      <c r="H56" s="104" t="n">
        <v>0.1</v>
      </c>
      <c r="I56" s="17" t="n">
        <f aca="false">G55*H56</f>
        <v>-21.564</v>
      </c>
      <c r="J56" s="53" t="s">
        <v>166</v>
      </c>
    </row>
    <row r="57" customFormat="false" ht="16.5" hidden="false" customHeight="true" outlineLevel="0" collapsed="false">
      <c r="E57" s="33" t="s">
        <v>204</v>
      </c>
      <c r="F57" s="17" t="n">
        <f aca="false">SUMIFS(OPmontant,OPdevise,F$29,OPcatégorie,$E57,OPdate,"&gt;"&amp;$C$2-365)</f>
        <v>-15.44</v>
      </c>
      <c r="G57" s="17" t="n">
        <f aca="false">SUMPRODUCT(SUMIFS(OPmontant,OPcatégorie,$E57,OPdate,"&gt;"&amp;$C$2-365,OPdevise,COTcode)*COTcours)</f>
        <v>-19.195402</v>
      </c>
      <c r="H57" s="104" t="n">
        <v>1</v>
      </c>
      <c r="I57" s="17" t="n">
        <f aca="false">G57*H57</f>
        <v>-19.195402</v>
      </c>
      <c r="J57" s="53" t="s">
        <v>175</v>
      </c>
    </row>
    <row r="58" customFormat="false" ht="16.5" hidden="false" customHeight="true" outlineLevel="0" collapsed="false">
      <c r="E58" s="33" t="s">
        <v>205</v>
      </c>
      <c r="F58" s="17" t="n">
        <f aca="false">SUMIFS(OPmontant,OPdevise,F$29,OPcatégorie,$E58,OPdate,"&gt;"&amp;$C$2-365)</f>
        <v>-22.54</v>
      </c>
      <c r="G58" s="17" t="n">
        <f aca="false">SUMPRODUCT(SUMIFS(OPmontant,OPcatégorie,$E58,OPdate,"&gt;"&amp;$C$2-365,OPdevise,COTcode)*COTcours)</f>
        <v>-22.54</v>
      </c>
      <c r="H58" s="104" t="n">
        <v>1</v>
      </c>
      <c r="I58" s="17" t="n">
        <f aca="false">G58*H58</f>
        <v>-22.54</v>
      </c>
      <c r="J58" s="53" t="s">
        <v>169</v>
      </c>
    </row>
    <row r="59" customFormat="false" ht="16.5" hidden="false" customHeight="true" outlineLevel="0" collapsed="false">
      <c r="E59" s="33" t="s">
        <v>206</v>
      </c>
      <c r="F59" s="17" t="n">
        <f aca="false">SUMIFS(OPmontant,OPdevise,F$29,OPcatégorie,$E59,OPdate,"&gt;"&amp;$C$2-365)</f>
        <v>1893.45</v>
      </c>
      <c r="G59" s="17" t="n">
        <f aca="false">SUMPRODUCT(SUMIFS(OPmontant,OPcatégorie,$E59,OPdate,"&gt;"&amp;$C$2-365,OPdevise,COTcode)*COTcours)</f>
        <v>1893.45</v>
      </c>
      <c r="H59" s="104" t="n">
        <v>1</v>
      </c>
      <c r="I59" s="17" t="n">
        <f aca="false">G59*H59</f>
        <v>1893.45</v>
      </c>
      <c r="J59" s="53" t="s">
        <v>173</v>
      </c>
    </row>
    <row r="60" customFormat="false" ht="16.5" hidden="false" customHeight="true" outlineLevel="0" collapsed="false">
      <c r="E60" s="33" t="s">
        <v>207</v>
      </c>
      <c r="F60" s="17" t="n">
        <f aca="false">SUMIFS(OPmontant,OPdevise,F$29,OPcatégorie,$E60,OPdate,"&gt;"&amp;$C$2-365)</f>
        <v>-57.26</v>
      </c>
      <c r="G60" s="17" t="n">
        <f aca="false">SUMPRODUCT(SUMIFS(OPmontant,OPcatégorie,$E60,OPdate,"&gt;"&amp;$C$2-365,OPdevise,COTcode)*COTcours)</f>
        <v>-57.26</v>
      </c>
      <c r="H60" s="104" t="n">
        <v>1</v>
      </c>
      <c r="I60" s="17" t="n">
        <f aca="false">G60*H60</f>
        <v>-57.26</v>
      </c>
      <c r="J60" s="53" t="s">
        <v>164</v>
      </c>
    </row>
    <row r="61" customFormat="false" ht="16.5" hidden="false" customHeight="true" outlineLevel="0" collapsed="false">
      <c r="E61" s="33" t="s">
        <v>208</v>
      </c>
      <c r="F61" s="17" t="n">
        <f aca="false">SUMIFS(OPmontant,OPdevise,F$29,OPcatégorie,$E61,OPdate,"&gt;"&amp;$C$2-365)</f>
        <v>-214.75</v>
      </c>
      <c r="G61" s="17" t="n">
        <f aca="false">SUMPRODUCT(SUMIFS(OPmontant,OPcatégorie,$E61,OPdate,"&gt;"&amp;$C$2-365,OPdevise,COTcode)*COTcours)</f>
        <v>-214.75</v>
      </c>
      <c r="H61" s="104" t="n">
        <v>0.75</v>
      </c>
      <c r="I61" s="17" t="n">
        <f aca="false">G61*H61</f>
        <v>-161.0625</v>
      </c>
      <c r="J61" s="53" t="s">
        <v>165</v>
      </c>
    </row>
    <row r="62" customFormat="false" ht="16.5" hidden="false" customHeight="true" outlineLevel="0" collapsed="false">
      <c r="E62" s="33"/>
      <c r="F62" s="17"/>
      <c r="G62" s="17" t="n">
        <f aca="false">SUMPRODUCT(SUMIFS(OPmontant,OPcatégorie,$E62,OPdate,"&gt;"&amp;$C$2-365,OPdevise,COTcode)*COTcours)</f>
        <v>0</v>
      </c>
      <c r="H62" s="104" t="n">
        <v>0.25</v>
      </c>
      <c r="I62" s="17" t="n">
        <f aca="false">G61*H62</f>
        <v>-53.6875</v>
      </c>
      <c r="J62" s="53" t="s">
        <v>174</v>
      </c>
    </row>
    <row r="63" customFormat="false" ht="16.5" hidden="false" customHeight="true" outlineLevel="0" collapsed="false">
      <c r="E63" s="33" t="s">
        <v>171</v>
      </c>
      <c r="F63" s="17" t="n">
        <f aca="false">SUMIFS(OPmontant,OPdevise,F$29,OPcatégorie,$E63,OPdate,"&gt;"&amp;$C$2-365)</f>
        <v>-503.85</v>
      </c>
      <c r="G63" s="17" t="n">
        <f aca="false">SUMPRODUCT(SUMIFS(OPmontant,OPcatégorie,$E63,OPdate,"&gt;"&amp;$C$2-365,OPdevise,COTcode)*COTcours)</f>
        <v>-503.85</v>
      </c>
      <c r="H63" s="104" t="n">
        <v>1</v>
      </c>
      <c r="I63" s="17" t="n">
        <f aca="false">G63*H63</f>
        <v>-503.85</v>
      </c>
      <c r="J63" s="53" t="s">
        <v>171</v>
      </c>
    </row>
    <row r="64" customFormat="false" ht="16.5" hidden="false" customHeight="true" outlineLevel="0" collapsed="false">
      <c r="E64" s="33" t="s">
        <v>209</v>
      </c>
      <c r="F64" s="17" t="n">
        <f aca="false">SUMIFS(OPmontant,OPdevise,F$29,OPcatégorie,$E64,OPdate,"&gt;"&amp;$C$2-365)</f>
        <v>963.5</v>
      </c>
      <c r="G64" s="17" t="n">
        <f aca="false">SUMPRODUCT(SUMIFS(OPmontant,OPcatégorie,$E64,OPdate,"&gt;"&amp;$C$2-365,OPdevise,COTcode)*COTcours)</f>
        <v>1200.038408</v>
      </c>
      <c r="H64" s="104" t="n">
        <v>1</v>
      </c>
      <c r="I64" s="17" t="n">
        <f aca="false">G64*H64</f>
        <v>1200.038408</v>
      </c>
      <c r="J64" s="53" t="s">
        <v>175</v>
      </c>
    </row>
    <row r="65" customFormat="false" ht="16.5" hidden="false" customHeight="true" outlineLevel="0" collapsed="false">
      <c r="E65" s="33" t="s">
        <v>164</v>
      </c>
      <c r="F65" s="17" t="n">
        <f aca="false">SUMIFS(OPmontant,OPdevise,F$29,OPcatégorie,$E65,OPdate,"&gt;"&amp;$C$2-365)</f>
        <v>-166.85</v>
      </c>
      <c r="G65" s="17" t="n">
        <f aca="false">SUMPRODUCT(SUMIFS(OPmontant,OPcatégorie,$E65,OPdate,"&gt;"&amp;$C$2-365,OPdevise,COTcode)*COTcours)</f>
        <v>-166.85</v>
      </c>
      <c r="H65" s="104" t="n">
        <v>1</v>
      </c>
      <c r="I65" s="17" t="n">
        <f aca="false">G65*H65</f>
        <v>-166.85</v>
      </c>
      <c r="J65" s="53" t="s">
        <v>164</v>
      </c>
    </row>
    <row r="66" customFormat="false" ht="16.5" hidden="false" customHeight="true" outlineLevel="0" collapsed="false">
      <c r="E66" s="33" t="s">
        <v>210</v>
      </c>
      <c r="F66" s="17" t="n">
        <f aca="false">SUMIFS(OPmontant,OPdevise,F$29,OPcatégorie,$E66,OPdate,"&gt;"&amp;$C$2-365)</f>
        <v>-0.8</v>
      </c>
      <c r="G66" s="17" t="n">
        <f aca="false">SUMPRODUCT(SUMIFS(OPmontant,OPcatégorie,$E66,OPdate,"&gt;"&amp;$C$2-365,OPdevise,COTcode)*COTcours)</f>
        <v>-0.8</v>
      </c>
      <c r="H66" s="104" t="n">
        <v>1</v>
      </c>
      <c r="I66" s="17" t="n">
        <f aca="false">G66*H66</f>
        <v>-0.8</v>
      </c>
      <c r="J66" s="53" t="s">
        <v>169</v>
      </c>
    </row>
    <row r="67" customFormat="false" ht="16.5" hidden="false" customHeight="true" outlineLevel="0" collapsed="false">
      <c r="E67" s="33" t="s">
        <v>211</v>
      </c>
      <c r="F67" s="17" t="n">
        <f aca="false">SUMIFS(OPmontant,OPdevise,F$29,OPcatégorie,$E67,OPdate,"&gt;"&amp;$C$2-365)</f>
        <v>-9.57</v>
      </c>
      <c r="G67" s="17" t="n">
        <f aca="false">SUMPRODUCT(SUMIFS(OPmontant,OPcatégorie,$E67,OPdate,"&gt;"&amp;$C$2-365,OPdevise,COTcode)*COTcours)</f>
        <v>-9.57</v>
      </c>
      <c r="H67" s="104" t="n">
        <v>1</v>
      </c>
      <c r="I67" s="17" t="n">
        <f aca="false">G67*H67</f>
        <v>-9.57</v>
      </c>
      <c r="J67" s="53" t="s">
        <v>170</v>
      </c>
    </row>
    <row r="68" customFormat="false" ht="16.5" hidden="false" customHeight="true" outlineLevel="0" collapsed="false">
      <c r="E68" s="33" t="s">
        <v>212</v>
      </c>
      <c r="F68" s="17" t="n">
        <f aca="false">SUMIFS(OPmontant,OPdevise,F$29,OPcatégorie,$E68,OPdate,"&gt;"&amp;$C$2-365)</f>
        <v>-67.28</v>
      </c>
      <c r="G68" s="17" t="n">
        <f aca="false">SUMPRODUCT(SUMIFS(OPmontant,OPcatégorie,$E68,OPdate,"&gt;"&amp;$C$2-365,OPdevise,COTcode)*COTcours)</f>
        <v>-67.28</v>
      </c>
      <c r="H68" s="104" t="n">
        <v>0.82</v>
      </c>
      <c r="I68" s="17" t="n">
        <f aca="false">G68*H68</f>
        <v>-55.1696</v>
      </c>
      <c r="J68" s="53" t="s">
        <v>165</v>
      </c>
    </row>
    <row r="69" customFormat="false" ht="16.5" hidden="false" customHeight="true" outlineLevel="0" collapsed="false">
      <c r="E69" s="33"/>
      <c r="F69" s="17"/>
      <c r="G69" s="17" t="n">
        <f aca="false">SUMPRODUCT(SUMIFS(OPmontant,OPcatégorie,$E69,OPdate,"&gt;"&amp;$C$2-365,OPdevise,COTcode)*COTcours)</f>
        <v>0</v>
      </c>
      <c r="H69" s="104" t="n">
        <v>0.18</v>
      </c>
      <c r="I69" s="17" t="n">
        <f aca="false">G68*H69</f>
        <v>-12.1104</v>
      </c>
      <c r="J69" s="53" t="s">
        <v>174</v>
      </c>
    </row>
    <row r="70" customFormat="false" ht="16.5" hidden="false" customHeight="true" outlineLevel="0" collapsed="false">
      <c r="E70" s="33" t="s">
        <v>165</v>
      </c>
      <c r="F70" s="17" t="n">
        <f aca="false">SUMIFS(OPmontant,OPdevise,F$29,OPcatégorie,$E70,OPdate,"&gt;"&amp;$C$2-365)</f>
        <v>-217.09</v>
      </c>
      <c r="G70" s="17" t="n">
        <f aca="false">SUMPRODUCT(SUMIFS(OPmontant,OPcatégorie,$E70,OPdate,"&gt;"&amp;$C$2-365,OPdevise,COTcode)*COTcours)</f>
        <v>-217.09</v>
      </c>
      <c r="H70" s="104" t="n">
        <v>1</v>
      </c>
      <c r="I70" s="17" t="n">
        <f aca="false">G70*H70</f>
        <v>-217.09</v>
      </c>
      <c r="J70" s="53" t="s">
        <v>165</v>
      </c>
    </row>
    <row r="71" customFormat="false" ht="16.5" hidden="false" customHeight="true" outlineLevel="0" collapsed="false">
      <c r="E71" s="33" t="s">
        <v>162</v>
      </c>
      <c r="F71" s="17" t="n">
        <f aca="false">SUMIFS(OPmontant,OPdevise,F$29,OPcatégorie,$E71,OPdate,"&gt;"&amp;$C$2-365)</f>
        <v>-1702.83</v>
      </c>
      <c r="G71" s="17" t="n">
        <f aca="false">SUMPRODUCT(SUMIFS(OPmontant,OPcatégorie,$E71,OPdate,"&gt;"&amp;$C$2-365,OPdevise,COTcode)*COTcours)</f>
        <v>-1702.83</v>
      </c>
      <c r="H71" s="104" t="n">
        <v>1</v>
      </c>
      <c r="I71" s="17" t="n">
        <f aca="false">G71*H71</f>
        <v>-1702.83</v>
      </c>
      <c r="J71" s="53" t="s">
        <v>162</v>
      </c>
    </row>
    <row r="72" customFormat="false" ht="16.5" hidden="false" customHeight="true" outlineLevel="0" collapsed="false">
      <c r="E72" s="33" t="s">
        <v>42</v>
      </c>
      <c r="F72" s="17" t="n">
        <f aca="false">SUMIFS(OPmontant,OPdevise,F$29,OPcatégorie,$E72,OPdate,"&gt;"&amp;$C$2-365)</f>
        <v>-120.14</v>
      </c>
      <c r="G72" s="17" t="n">
        <f aca="false">SUMPRODUCT(SUMIFS(OPmontant,OPcatégorie,$E72,OPdate,"&gt;"&amp;$C$2-365,OPdevise,COTcode)*COTcours)</f>
        <v>-120.14</v>
      </c>
      <c r="H72" s="104" t="n">
        <v>1</v>
      </c>
      <c r="I72" s="17" t="n">
        <f aca="false">G72*H72</f>
        <v>-120.14</v>
      </c>
      <c r="J72" s="53" t="s">
        <v>169</v>
      </c>
    </row>
    <row r="73" customFormat="false" ht="16.5" hidden="false" customHeight="true" outlineLevel="0" collapsed="false">
      <c r="E73" s="33" t="s">
        <v>213</v>
      </c>
      <c r="F73" s="17" t="n">
        <f aca="false">SUMIFS(OPmontant,OPdevise,F$29,OPcatégorie,$E73,OPdate,"&gt;"&amp;$C$2-365)</f>
        <v>-867.3</v>
      </c>
      <c r="G73" s="17" t="n">
        <f aca="false">SUMPRODUCT(SUMIFS(OPmontant,OPcatégorie,$E73,OPdate,"&gt;"&amp;$C$2-365,OPdevise,COTcode)*COTcours)</f>
        <v>-867.3</v>
      </c>
      <c r="H73" s="104" t="n">
        <v>1</v>
      </c>
      <c r="I73" s="17" t="n">
        <f aca="false">G73*H73</f>
        <v>-867.3</v>
      </c>
      <c r="J73" s="53" t="s">
        <v>163</v>
      </c>
    </row>
    <row r="74" customFormat="false" ht="16.5" hidden="false" customHeight="true" outlineLevel="0" collapsed="false">
      <c r="E74" s="33" t="s">
        <v>214</v>
      </c>
      <c r="F74" s="17" t="n">
        <f aca="false">SUMIFS(OPmontant,OPdevise,F$29,OPcatégorie,$E74,OPdate,"&gt;"&amp;$C$2-365)</f>
        <v>0</v>
      </c>
      <c r="G74" s="17" t="n">
        <f aca="false">SUMPRODUCT(SUMIFS(OPmontant,OPcatégorie,$E74,OPdate,"&gt;"&amp;$C$2-365,OPdevise,COTcode)*COTcours)</f>
        <v>0</v>
      </c>
      <c r="H74" s="104" t="n">
        <v>1</v>
      </c>
      <c r="I74" s="17" t="n">
        <f aca="false">G74*H74</f>
        <v>0</v>
      </c>
      <c r="J74" s="53" t="s">
        <v>167</v>
      </c>
    </row>
    <row r="75" customFormat="false" ht="16.5" hidden="false" customHeight="true" outlineLevel="0" collapsed="false">
      <c r="E75" s="33" t="s">
        <v>215</v>
      </c>
      <c r="F75" s="17" t="n">
        <f aca="false">SUMIFS(OPmontant,OPdevise,F$29,OPcatégorie,$E75,OPdate,"&gt;"&amp;$C$2-365)</f>
        <v>1099.77</v>
      </c>
      <c r="G75" s="17" t="n">
        <f aca="false">SUMPRODUCT(SUMIFS(OPmontant,OPcatégorie,$E75,OPdate,"&gt;"&amp;$C$2-365,OPdevise,COTcode)*COTcours)</f>
        <v>1099.77</v>
      </c>
      <c r="H75" s="104" t="n">
        <v>1</v>
      </c>
      <c r="I75" s="17" t="n">
        <f aca="false">G75*H75</f>
        <v>1099.77</v>
      </c>
      <c r="J75" s="53" t="s">
        <v>172</v>
      </c>
    </row>
    <row r="76" customFormat="false" ht="16.5" hidden="false" customHeight="true" outlineLevel="0" collapsed="false">
      <c r="E76" s="33" t="s">
        <v>216</v>
      </c>
      <c r="F76" s="17" t="n">
        <f aca="false">SUMIFS(OPmontant,OPdevise,F$29,OPcatégorie,$E76,OPdate,"&gt;"&amp;$C$2-365)</f>
        <v>0</v>
      </c>
      <c r="G76" s="17" t="n">
        <f aca="false">SUMPRODUCT(SUMIFS(OPmontant,OPcatégorie,$E76,OPdate,"&gt;"&amp;$C$2-365,OPdevise,COTcode)*COTcours)</f>
        <v>0</v>
      </c>
      <c r="H76" s="104" t="n">
        <v>1</v>
      </c>
      <c r="I76" s="17" t="n">
        <f aca="false">G76*H76</f>
        <v>0</v>
      </c>
      <c r="J76" s="53" t="s">
        <v>167</v>
      </c>
    </row>
    <row r="77" customFormat="false" ht="16.5" hidden="false" customHeight="true" outlineLevel="0" collapsed="false">
      <c r="E77" s="33" t="s">
        <v>217</v>
      </c>
      <c r="F77" s="17" t="n">
        <f aca="false">SUMIFS(OPmontant,OPdevise,F$29,OPcatégorie,$E77,OPdate,"&gt;"&amp;$C$2-365)</f>
        <v>-42.9</v>
      </c>
      <c r="G77" s="17" t="n">
        <f aca="false">SUMPRODUCT(SUMIFS(OPmontant,OPcatégorie,$E77,OPdate,"&gt;"&amp;$C$2-365,OPdevise,COTcode)*COTcours)</f>
        <v>-42.9</v>
      </c>
      <c r="H77" s="104" t="n">
        <v>0.66</v>
      </c>
      <c r="I77" s="17" t="n">
        <f aca="false">G77*H77</f>
        <v>-28.314</v>
      </c>
      <c r="J77" s="53" t="s">
        <v>165</v>
      </c>
    </row>
    <row r="78" customFormat="false" ht="16.5" hidden="false" customHeight="true" outlineLevel="0" collapsed="false">
      <c r="E78" s="33"/>
      <c r="F78" s="17"/>
      <c r="G78" s="17" t="n">
        <f aca="false">SUMPRODUCT(SUMIFS(OPmontant,OPcatégorie,$E78,OPdate,"&gt;"&amp;$C$2-365,OPdevise,COTcode)*COTcours)</f>
        <v>0</v>
      </c>
      <c r="H78" s="104" t="n">
        <v>0.34</v>
      </c>
      <c r="I78" s="17" t="n">
        <f aca="false">G77*H78</f>
        <v>-14.586</v>
      </c>
      <c r="J78" s="53" t="s">
        <v>169</v>
      </c>
    </row>
    <row r="79" customFormat="false" ht="16.5" hidden="false" customHeight="true" outlineLevel="0" collapsed="false">
      <c r="E79" s="33" t="s">
        <v>218</v>
      </c>
      <c r="F79" s="17" t="n">
        <f aca="false">SUMIFS(OPmontant,OPdevise,F$29,OPcatégorie,$E79,OPdate,"&gt;"&amp;$C$2-365)</f>
        <v>-21.56</v>
      </c>
      <c r="G79" s="17" t="n">
        <f aca="false">SUMPRODUCT(SUMIFS(OPmontant,OPcatégorie,$E79,OPdate,"&gt;"&amp;$C$2-365,OPdevise,COTcode)*COTcours)</f>
        <v>-21.56</v>
      </c>
      <c r="H79" s="104" t="n">
        <v>1</v>
      </c>
      <c r="I79" s="17" t="n">
        <f aca="false">G79*H79</f>
        <v>-21.56</v>
      </c>
      <c r="J79" s="53" t="s">
        <v>169</v>
      </c>
    </row>
    <row r="80" customFormat="false" ht="16.5" hidden="false" customHeight="true" outlineLevel="0" collapsed="false">
      <c r="E80" s="33" t="s">
        <v>219</v>
      </c>
      <c r="F80" s="17" t="n">
        <f aca="false">SUMIFS(OPmontant,OPdevise,F$29,OPcatégorie,$E80,OPdate,"&gt;"&amp;$C$2-365)</f>
        <v>-8</v>
      </c>
      <c r="G80" s="17" t="n">
        <f aca="false">SUMPRODUCT(SUMIFS(OPmontant,OPcatégorie,$E80,OPdate,"&gt;"&amp;$C$2-365,OPdevise,COTcode)*COTcours)</f>
        <v>-8</v>
      </c>
      <c r="H80" s="104" t="n">
        <v>1</v>
      </c>
      <c r="I80" s="17" t="n">
        <f aca="false">G80*H80</f>
        <v>-8</v>
      </c>
      <c r="J80" s="53" t="s">
        <v>162</v>
      </c>
    </row>
    <row r="81" customFormat="false" ht="16.5" hidden="false" customHeight="true" outlineLevel="0" collapsed="false">
      <c r="E81" s="33" t="s">
        <v>220</v>
      </c>
      <c r="F81" s="17" t="n">
        <f aca="false">SUMIFS(OPmontant,OPdevise,F$29,OPcatégorie,$E81,OPdate,"&gt;"&amp;$C$2-365)</f>
        <v>0</v>
      </c>
      <c r="G81" s="17" t="n">
        <f aca="false">SUMPRODUCT(SUMIFS(OPmontant,OPcatégorie,$E81,OPdate,"&gt;"&amp;$C$2-365,OPdevise,COTcode)*COTcours)</f>
        <v>0</v>
      </c>
      <c r="H81" s="104" t="n">
        <v>1</v>
      </c>
      <c r="I81" s="17" t="n">
        <f aca="false">G81*H81</f>
        <v>0</v>
      </c>
      <c r="J81" s="53" t="s">
        <v>164</v>
      </c>
    </row>
    <row r="82" customFormat="false" ht="16.5" hidden="false" customHeight="true" outlineLevel="0" collapsed="false">
      <c r="E82" s="33" t="s">
        <v>221</v>
      </c>
      <c r="F82" s="17" t="n">
        <f aca="false">SUMIFS(OPmontant,OPdevise,F$29,OPcatégorie,$E82,OPdate,"&gt;"&amp;$C$2-365)</f>
        <v>-22.9</v>
      </c>
      <c r="G82" s="17" t="n">
        <f aca="false">SUMPRODUCT(SUMIFS(OPmontant,OPcatégorie,$E82,OPdate,"&gt;"&amp;$C$2-365,OPdevise,COTcode)*COTcours)</f>
        <v>-22.9</v>
      </c>
      <c r="H82" s="104" t="n">
        <v>1</v>
      </c>
      <c r="I82" s="17" t="n">
        <f aca="false">G82*H82</f>
        <v>-22.9</v>
      </c>
      <c r="J82" s="53" t="s">
        <v>169</v>
      </c>
    </row>
    <row r="83" customFormat="false" ht="16.5" hidden="false" customHeight="true" outlineLevel="0" collapsed="false">
      <c r="E83" s="33" t="s">
        <v>222</v>
      </c>
      <c r="F83" s="17" t="n">
        <f aca="false">SUMIFS(OPmontant,OPdevise,F$29,OPcatégorie,$E83,OPdate,"&gt;"&amp;$C$2-365)</f>
        <v>-13.55</v>
      </c>
      <c r="G83" s="17" t="n">
        <f aca="false">SUMPRODUCT(SUMIFS(OPmontant,OPcatégorie,$E83,OPdate,"&gt;"&amp;$C$2-365,OPdevise,COTcode)*COTcours)</f>
        <v>-13.55</v>
      </c>
      <c r="H83" s="104" t="n">
        <v>1</v>
      </c>
      <c r="I83" s="17" t="n">
        <f aca="false">G83*H83</f>
        <v>-13.55</v>
      </c>
      <c r="J83" s="53" t="s">
        <v>169</v>
      </c>
    </row>
    <row r="84" customFormat="false" ht="16.5" hidden="false" customHeight="true" outlineLevel="0" collapsed="false">
      <c r="E84" s="33" t="s">
        <v>223</v>
      </c>
      <c r="F84" s="17" t="n">
        <f aca="false">SUMIFS(OPmontant,OPdevise,F$29,OPcatégorie,$E84,OPdate,"&gt;"&amp;$C$2-365)</f>
        <v>0</v>
      </c>
      <c r="G84" s="17" t="n">
        <f aca="false">SUMPRODUCT(SUMIFS(OPmontant,OPcatégorie,$E84,OPdate,"&gt;"&amp;$C$2-365,OPdevise,COTcode)*COTcours)</f>
        <v>46.6311492</v>
      </c>
      <c r="H84" s="104" t="n">
        <v>1</v>
      </c>
      <c r="I84" s="17" t="n">
        <f aca="false">G84*H84</f>
        <v>46.6311492</v>
      </c>
      <c r="J84" s="53" t="s">
        <v>176</v>
      </c>
    </row>
    <row r="85" customFormat="false" ht="16.5" hidden="false" customHeight="true" outlineLevel="0" collapsed="false">
      <c r="E85" s="33" t="s">
        <v>224</v>
      </c>
      <c r="F85" s="17" t="n">
        <f aca="false">SUMIFS(OPmontant,OPdevise,F$29,OPcatégorie,$E85,OPdate,"&gt;"&amp;$C$2-365)</f>
        <v>136.6</v>
      </c>
      <c r="G85" s="17" t="n">
        <f aca="false">SUMPRODUCT(SUMIFS(OPmontant,OPcatégorie,$E85,OPdate,"&gt;"&amp;$C$2-365,OPdevise,COTcode)*COTcours)</f>
        <v>136.6</v>
      </c>
      <c r="H85" s="104" t="n">
        <v>1</v>
      </c>
      <c r="I85" s="17" t="n">
        <f aca="false">G85*H85</f>
        <v>136.6</v>
      </c>
      <c r="J85" s="53" t="s">
        <v>172</v>
      </c>
    </row>
    <row r="86" customFormat="false" ht="16.5" hidden="false" customHeight="true" outlineLevel="0" collapsed="false">
      <c r="E86" s="33" t="s">
        <v>225</v>
      </c>
      <c r="F86" s="17" t="n">
        <f aca="false">SUMIFS(OPmontant,OPdevise,F$29,OPcatégorie,$E86,OPdate,"&gt;"&amp;$C$2-365)</f>
        <v>-1.98</v>
      </c>
      <c r="G86" s="17" t="n">
        <f aca="false">SUMPRODUCT(SUMIFS(OPmontant,OPcatégorie,$E86,OPdate,"&gt;"&amp;$C$2-365,OPdevise,COTcode)*COTcours)</f>
        <v>-1.98</v>
      </c>
      <c r="H86" s="104" t="n">
        <v>1</v>
      </c>
      <c r="I86" s="17" t="n">
        <f aca="false">G86*H86</f>
        <v>-1.98</v>
      </c>
      <c r="J86" s="53" t="s">
        <v>170</v>
      </c>
    </row>
    <row r="87" customFormat="false" ht="16.5" hidden="false" customHeight="true" outlineLevel="0" collapsed="false">
      <c r="E87" s="33" t="s">
        <v>178</v>
      </c>
      <c r="F87" s="17" t="n">
        <f aca="false">SUMIFS(OPmontant,OPdevise,F$29,OPcatégorie,$E87,OPdate,"&gt;"&amp;$C$2-365)</f>
        <v>0</v>
      </c>
      <c r="G87" s="17" t="n">
        <f aca="false">SUMPRODUCT(SUMIFS(OPmontant,OPcatégorie,$E87,OPdate,"&gt;"&amp;$C$2-365,OPdevise,COTcode)*COTcours)</f>
        <v>0</v>
      </c>
      <c r="H87" s="104" t="n">
        <v>1</v>
      </c>
      <c r="I87" s="17" t="n">
        <f aca="false">G87*H87</f>
        <v>0</v>
      </c>
      <c r="J87" s="53" t="s">
        <v>178</v>
      </c>
    </row>
    <row r="88" customFormat="false" ht="16.5" hidden="false" customHeight="true" outlineLevel="0" collapsed="false">
      <c r="E88" s="33" t="s">
        <v>167</v>
      </c>
      <c r="F88" s="17" t="n">
        <f aca="false">SUMIFS(OPmontant,OPdevise,F$29,OPcatégorie,$E88,OPdate,"&gt;"&amp;$C$2-365)</f>
        <v>-142.17</v>
      </c>
      <c r="G88" s="17" t="n">
        <f aca="false">SUMPRODUCT(SUMIFS(OPmontant,OPcatégorie,$E88,OPdate,"&gt;"&amp;$C$2-365,OPdevise,COTcode)*COTcours)</f>
        <v>-142.17</v>
      </c>
      <c r="H88" s="104" t="n">
        <v>1</v>
      </c>
      <c r="I88" s="17" t="n">
        <f aca="false">G88*H88</f>
        <v>-142.17</v>
      </c>
      <c r="J88" s="53" t="s">
        <v>167</v>
      </c>
    </row>
    <row r="89" customFormat="false" ht="16.5" hidden="false" customHeight="true" outlineLevel="0" collapsed="false">
      <c r="E89" s="33" t="s">
        <v>226</v>
      </c>
      <c r="F89" s="17" t="n">
        <f aca="false">SUMIFS(OPmontant,OPdevise,F$29,OPcatégorie,$E89,OPdate,"&gt;"&amp;$C$2-365)</f>
        <v>-10.43</v>
      </c>
      <c r="G89" s="17" t="n">
        <f aca="false">SUMPRODUCT(SUMIFS(OPmontant,OPcatégorie,$E89,OPdate,"&gt;"&amp;$C$2-365,OPdevise,COTcode)*COTcours)</f>
        <v>-10.43</v>
      </c>
      <c r="H89" s="104" t="n">
        <v>1</v>
      </c>
      <c r="I89" s="17" t="n">
        <f aca="false">G89*H89</f>
        <v>-10.43</v>
      </c>
      <c r="J89" s="53" t="s">
        <v>165</v>
      </c>
    </row>
    <row r="90" customFormat="false" ht="16.5" hidden="false" customHeight="true" outlineLevel="0" collapsed="false">
      <c r="E90" s="33" t="s">
        <v>227</v>
      </c>
      <c r="F90" s="17" t="n">
        <f aca="false">SUMIFS(OPmontant,OPdevise,F$29,OPcatégorie,$E90,OPdate,"&gt;"&amp;$C$2-365)</f>
        <v>-27.54</v>
      </c>
      <c r="G90" s="17" t="n">
        <f aca="false">SUMPRODUCT(SUMIFS(OPmontant,OPcatégorie,$E90,OPdate,"&gt;"&amp;$C$2-365,OPdevise,COTcode)*COTcours)</f>
        <v>-27.54</v>
      </c>
      <c r="H90" s="104" t="n">
        <v>1</v>
      </c>
      <c r="I90" s="17" t="n">
        <f aca="false">G90*H90</f>
        <v>-27.54</v>
      </c>
      <c r="J90" s="53" t="s">
        <v>169</v>
      </c>
    </row>
    <row r="91" customFormat="false" ht="16.5" hidden="false" customHeight="true" outlineLevel="0" collapsed="false">
      <c r="E91" s="33" t="s">
        <v>228</v>
      </c>
      <c r="F91" s="17" t="n">
        <f aca="false">SUMIFS(OPmontant,OPdevise,F$29,OPcatégorie,$E91,OPdate,"&gt;"&amp;$C$2-365)</f>
        <v>0</v>
      </c>
      <c r="G91" s="17" t="n">
        <f aca="false">SUMPRODUCT(SUMIFS(OPmontant,OPcatégorie,$E91,OPdate,"&gt;"&amp;$C$2-365,OPdevise,COTcode)*COTcours)</f>
        <v>0</v>
      </c>
      <c r="H91" s="104" t="n">
        <v>1</v>
      </c>
      <c r="I91" s="17" t="n">
        <f aca="false">G91*H91</f>
        <v>0</v>
      </c>
      <c r="J91" s="53" t="s">
        <v>164</v>
      </c>
    </row>
    <row r="92" customFormat="false" ht="16.5" hidden="false" customHeight="true" outlineLevel="0" collapsed="false">
      <c r="E92" s="33" t="s">
        <v>229</v>
      </c>
      <c r="F92" s="17" t="n">
        <f aca="false">SUMIFS(OPmontant,OPdevise,F$29,OPcatégorie,$E92,OPdate,"&gt;"&amp;$C$2-365)</f>
        <v>0</v>
      </c>
      <c r="G92" s="17" t="n">
        <f aca="false">SUMPRODUCT(SUMIFS(OPmontant,OPcatégorie,$E92,OPdate,"&gt;"&amp;$C$2-365,OPdevise,COTcode)*COTcours)</f>
        <v>0</v>
      </c>
      <c r="H92" s="104" t="n">
        <v>1</v>
      </c>
      <c r="I92" s="17" t="n">
        <f aca="false">G92*H92</f>
        <v>0</v>
      </c>
      <c r="J92" s="53" t="s">
        <v>172</v>
      </c>
    </row>
    <row r="93" customFormat="false" ht="16.5" hidden="false" customHeight="true" outlineLevel="0" collapsed="false">
      <c r="E93" s="33" t="s">
        <v>230</v>
      </c>
      <c r="F93" s="17" t="n">
        <f aca="false">SUMIFS(OPmontant,OPdevise,F$29,OPcatégorie,$E93,OPdate,"&gt;"&amp;$C$2-365)</f>
        <v>0</v>
      </c>
      <c r="G93" s="17" t="n">
        <f aca="false">SUMPRODUCT(SUMIFS(OPmontant,OPcatégorie,$E93,OPdate,"&gt;"&amp;$C$2-365,OPdevise,COTcode)*COTcours)</f>
        <v>0</v>
      </c>
      <c r="H93" s="104" t="n">
        <v>1</v>
      </c>
      <c r="I93" s="17" t="n">
        <f aca="false">G93*H93</f>
        <v>0</v>
      </c>
      <c r="J93" s="53" t="s">
        <v>166</v>
      </c>
    </row>
    <row r="94" customFormat="false" ht="16.5" hidden="false" customHeight="true" outlineLevel="0" collapsed="false">
      <c r="E94" s="33" t="s">
        <v>231</v>
      </c>
      <c r="F94" s="17" t="n">
        <f aca="false">SUMIFS(OPmontant,OPdevise,F$29,OPcatégorie,$E94,OPdate,"&gt;"&amp;$C$2-365)</f>
        <v>-81.82</v>
      </c>
      <c r="G94" s="17" t="n">
        <f aca="false">SUMPRODUCT(SUMIFS(OPmontant,OPcatégorie,$E94,OPdate,"&gt;"&amp;$C$2-365,OPdevise,COTcode)*COTcours)</f>
        <v>-81.82</v>
      </c>
      <c r="H94" s="104" t="n">
        <v>1</v>
      </c>
      <c r="I94" s="17" t="n">
        <f aca="false">G94*H94</f>
        <v>-81.82</v>
      </c>
      <c r="J94" s="53" t="s">
        <v>166</v>
      </c>
    </row>
    <row r="95" customFormat="false" ht="16.5" hidden="false" customHeight="true" outlineLevel="0" collapsed="false">
      <c r="E95" s="33" t="s">
        <v>174</v>
      </c>
      <c r="F95" s="17" t="n">
        <f aca="false">SUMIFS(OPmontant,OPdevise,F$29,OPcatégorie,$E95,OPdate,"&gt;"&amp;$C$2-365)</f>
        <v>0</v>
      </c>
      <c r="G95" s="17" t="n">
        <f aca="false">SUMPRODUCT(SUMIFS(OPmontant,OPcatégorie,$E95,OPdate,"&gt;"&amp;$C$2-365,OPdevise,COTcode)*COTcours)</f>
        <v>0</v>
      </c>
      <c r="H95" s="104" t="n">
        <v>1</v>
      </c>
      <c r="I95" s="17" t="n">
        <f aca="false">G95*H95</f>
        <v>0</v>
      </c>
      <c r="J95" s="53" t="s">
        <v>174</v>
      </c>
    </row>
    <row r="96" customFormat="false" ht="17.25" hidden="false" customHeight="true" outlineLevel="0" collapsed="false">
      <c r="E96" s="33" t="s">
        <v>4</v>
      </c>
      <c r="F96" s="17"/>
      <c r="G96" s="17"/>
      <c r="H96" s="17"/>
      <c r="I96" s="17"/>
      <c r="J96" s="53"/>
    </row>
    <row r="97" customFormat="false" ht="19.5" hidden="false" customHeight="true" outlineLevel="0" collapsed="false">
      <c r="E97" s="87" t="s">
        <v>73</v>
      </c>
      <c r="F97" s="81" t="n">
        <f aca="false">SUM(CATmontant)</f>
        <v>853.43</v>
      </c>
      <c r="G97" s="81" t="n">
        <f aca="false">SUM(CATtotal_euro)</f>
        <v>3297.8882062708</v>
      </c>
      <c r="H97" s="105"/>
      <c r="I97" s="81"/>
      <c r="J97" s="105"/>
    </row>
    <row r="98" customFormat="false" ht="18" hidden="false" customHeight="true" outlineLevel="0" collapsed="false">
      <c r="E98" s="89" t="s">
        <v>232</v>
      </c>
      <c r="F98" s="91" t="n">
        <f aca="false">SUMIFS(OPmontant,OPdevise,F$29,OPdate,"&gt;"&amp;$C$2-365,OPcatégorie,"&lt;&gt;"&amp;Spéciale)</f>
        <v>853.43</v>
      </c>
      <c r="G98" s="91" t="n">
        <f aca="false">SUMPRODUCT(SUMIFS(OPmontant,OPdate,"&gt;"&amp;$C$2-365,OPcatégorie,"&lt;&gt;"&amp;Spéciale,OPdevise,COTcode)*COTcours)</f>
        <v>3297.8882062708</v>
      </c>
      <c r="H98" s="106"/>
      <c r="I98" s="91"/>
      <c r="J98" s="106"/>
    </row>
    <row r="99" customFormat="false" ht="16.5" hidden="false" customHeight="true" outlineLevel="0" collapsed="false">
      <c r="E99" s="89" t="s">
        <v>233</v>
      </c>
      <c r="F99" s="91" t="n">
        <f aca="false">ROUND(F$97-F$98,2)</f>
        <v>0</v>
      </c>
      <c r="G99" s="94" t="n">
        <f aca="false">ROUND(G$97-G$98,2)</f>
        <v>0</v>
      </c>
      <c r="H99" s="106"/>
      <c r="I99" s="91"/>
      <c r="J99" s="106"/>
    </row>
    <row r="100" customFormat="false" ht="21.75" hidden="false" customHeight="true" outlineLevel="0" collapsed="false">
      <c r="E100" s="89" t="s">
        <v>234</v>
      </c>
      <c r="F100" s="91" t="n">
        <f aca="false">SUMIFS(CATmontant,CATnom,"&lt;&gt;@*")</f>
        <v>3851.37</v>
      </c>
      <c r="G100" s="91" t="n">
        <f aca="false">SUMIFS(CATtotal_euro,CATnom,"&lt;&gt;@*")</f>
        <v>4035.5507605</v>
      </c>
      <c r="H100" s="106"/>
      <c r="I100" s="94" t="n">
        <f aca="false">SUMIFS(CATaffectation,CATnom,"&lt;&gt;@*")</f>
        <v>4035.5507605</v>
      </c>
      <c r="J100" s="106"/>
    </row>
    <row r="101" customFormat="false" ht="16.5" hidden="false" customHeight="true" outlineLevel="0" collapsed="false">
      <c r="E101" s="89" t="s">
        <v>235</v>
      </c>
      <c r="F101" s="91" t="n">
        <f aca="false">F$100*INDEX(COTcours,MATCH($F$29,COTcode,0))</f>
        <v>3851.37</v>
      </c>
      <c r="G101" s="91" t="n">
        <f aca="false">SUM(F$101)</f>
        <v>3851.37</v>
      </c>
      <c r="H101" s="106"/>
      <c r="I101" s="91"/>
      <c r="J101" s="106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28:J28"/>
  </mergeCells>
  <conditionalFormatting sqref="I100">
    <cfRule type="cellIs" priority="2" operator="notEqual" aboveAverage="0" equalAverage="0" bottom="0" percent="0" rank="0" text="" dxfId="3">
      <formula>$G$100</formula>
    </cfRule>
    <cfRule type="cellIs" priority="3" operator="notEqual" aboveAverage="0" equalAverage="0" bottom="0" percent="0" rank="0" text="" dxfId="3">
      <formula>$G$100</formula>
    </cfRule>
  </conditionalFormatting>
  <conditionalFormatting sqref="C26 G99">
    <cfRule type="cellIs" priority="4" operator="notEqual" aboveAverage="0" equalAverage="0" bottom="0" percent="0" rank="0" text="" dxfId="4">
      <formula>0</formula>
    </cfRule>
  </conditionalFormatting>
  <conditionalFormatting sqref="H38:H95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32:F95">
    <cfRule type="expression" priority="8" aboveAverage="0" equalAverage="0" bottom="0" percent="0" rank="0" text="" dxfId="6">
      <formula>$F$29="EUR"</formula>
    </cfRule>
    <cfRule type="expression" priority="9" aboveAverage="0" equalAverage="0" bottom="0" percent="0" rank="0" text="" dxfId="7">
      <formula>$F$29="USD"</formula>
    </cfRule>
    <cfRule type="expression" priority="10" aboveAverage="0" equalAverage="0" bottom="0" percent="0" rank="0" text="" dxfId="8">
      <formula>$F$29="CHF"</formula>
    </cfRule>
    <cfRule type="expression" priority="11" aboveAverage="0" equalAverage="0" bottom="0" percent="0" rank="0" text="" dxfId="9">
      <formula>$F$29="JPY"</formula>
    </cfRule>
    <cfRule type="expression" priority="12" aboveAverage="0" equalAverage="0" bottom="0" percent="0" rank="0" text="" dxfId="10">
      <formula>$F$29="SGD"</formula>
    </cfRule>
    <cfRule type="expression" priority="13" aboveAverage="0" equalAverage="0" bottom="0" percent="0" rank="0" text="" dxfId="11">
      <formula>$F$29="SEK"</formula>
    </cfRule>
    <cfRule type="expression" priority="14" aboveAverage="0" equalAverage="0" bottom="0" percent="0" rank="0" text="" dxfId="12">
      <formula>$F$29="XAU"</formula>
    </cfRule>
    <cfRule type="expression" priority="15" aboveAverage="0" equalAverage="0" bottom="0" percent="0" rank="0" text="" dxfId="13">
      <formula>$F$29="XAG"</formula>
    </cfRule>
    <cfRule type="expression" priority="16" aboveAverage="0" equalAverage="0" bottom="0" percent="0" rank="0" text="" dxfId="14">
      <formula>$F$29="OrPr"</formula>
    </cfRule>
    <cfRule type="expression" priority="17" aboveAverage="0" equalAverage="0" bottom="0" percent="0" rank="0" text="" dxfId="15">
      <formula>$F$29="AgPr"</formula>
    </cfRule>
    <cfRule type="expression" priority="18" aboveAverage="0" equalAverage="0" bottom="0" percent="0" rank="0" text="" dxfId="16">
      <formula>$F$29="OrJo"</formula>
    </cfRule>
    <cfRule type="expression" priority="19" aboveAverage="0" equalAverage="0" bottom="0" percent="0" rank="0" text="" dxfId="17">
      <formula>$F$29="AgJo"</formula>
    </cfRule>
    <cfRule type="expression" priority="20" aboveAverage="0" equalAverage="0" bottom="0" percent="0" rank="0" text="" dxfId="18">
      <formula>$F$29="BTC"</formula>
    </cfRule>
    <cfRule type="expression" priority="21" aboveAverage="0" equalAverage="0" bottom="0" percent="0" rank="0" text="" dxfId="19">
      <formula>$F$29="XMR"</formula>
    </cfRule>
    <cfRule type="expression" priority="22" aboveAverage="0" equalAverage="0" bottom="0" percent="0" rank="0" text="" dxfId="20">
      <formula>$F$29="SAT"</formula>
    </cfRule>
  </conditionalFormatting>
  <conditionalFormatting sqref="F97:F100">
    <cfRule type="expression" priority="23" aboveAverage="0" equalAverage="0" bottom="0" percent="0" rank="0" text="" dxfId="6">
      <formula>$F$29="EUR"</formula>
    </cfRule>
    <cfRule type="expression" priority="24" aboveAverage="0" equalAverage="0" bottom="0" percent="0" rank="0" text="" dxfId="21">
      <formula>$F$29="USD"</formula>
    </cfRule>
    <cfRule type="expression" priority="25" aboveAverage="0" equalAverage="0" bottom="0" percent="0" rank="0" text="" dxfId="22">
      <formula>$F$29="CHF"</formula>
    </cfRule>
    <cfRule type="expression" priority="26" aboveAverage="0" equalAverage="0" bottom="0" percent="0" rank="0" text="" dxfId="23">
      <formula>$F$29="JPY"</formula>
    </cfRule>
    <cfRule type="expression" priority="27" aboveAverage="0" equalAverage="0" bottom="0" percent="0" rank="0" text="" dxfId="24">
      <formula>$F$29="SGD"</formula>
    </cfRule>
    <cfRule type="expression" priority="28" aboveAverage="0" equalAverage="0" bottom="0" percent="0" rank="0" text="" dxfId="25">
      <formula>$F$29="SEK"</formula>
    </cfRule>
    <cfRule type="expression" priority="29" aboveAverage="0" equalAverage="0" bottom="0" percent="0" rank="0" text="" dxfId="26">
      <formula>$F$29="XAU"</formula>
    </cfRule>
    <cfRule type="expression" priority="30" aboveAverage="0" equalAverage="0" bottom="0" percent="0" rank="0" text="" dxfId="27">
      <formula>$F$29="XAG"</formula>
    </cfRule>
    <cfRule type="expression" priority="31" aboveAverage="0" equalAverage="0" bottom="0" percent="0" rank="0" text="" dxfId="28">
      <formula>$F$29="OrPr"</formula>
    </cfRule>
    <cfRule type="expression" priority="32" aboveAverage="0" equalAverage="0" bottom="0" percent="0" rank="0" text="" dxfId="29">
      <formula>$F$29="AgPr"</formula>
    </cfRule>
    <cfRule type="expression" priority="33" aboveAverage="0" equalAverage="0" bottom="0" percent="0" rank="0" text="" dxfId="30">
      <formula>$F$29="OrJo"</formula>
    </cfRule>
    <cfRule type="expression" priority="34" aboveAverage="0" equalAverage="0" bottom="0" percent="0" rank="0" text="" dxfId="31">
      <formula>$F$29="AgJo"</formula>
    </cfRule>
    <cfRule type="expression" priority="35" aboveAverage="0" equalAverage="0" bottom="0" percent="0" rank="0" text="" dxfId="32">
      <formula>$F$29="BTC"</formula>
    </cfRule>
    <cfRule type="expression" priority="36" aboveAverage="0" equalAverage="0" bottom="0" percent="0" rank="0" text="" dxfId="33">
      <formula>$F$29="XMR"</formula>
    </cfRule>
    <cfRule type="expression" priority="37" aboveAverage="0" equalAverage="0" bottom="0" percent="0" rank="0" text="" dxfId="34">
      <formula>$F$29="SAT"</formula>
    </cfRule>
  </conditionalFormatting>
  <dataValidations count="1">
    <dataValidation allowBlank="true" errorStyle="stop" operator="equal" showDropDown="false" showErrorMessage="true" showInputMessage="false" sqref="F29" type="list">
      <formula1>Cotations!$E$4:$E$18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84" width="25.15"/>
    <col collapsed="false" customWidth="true" hidden="false" outlineLevel="0" max="2" min="2" style="84" width="31.42"/>
    <col collapsed="false" customWidth="true" hidden="false" outlineLevel="0" max="3" min="3" style="84" width="28.57"/>
    <col collapsed="false" customWidth="true" hidden="false" outlineLevel="0" max="4" min="4" style="84" width="15.09"/>
    <col collapsed="false" customWidth="true" hidden="false" outlineLevel="0" max="5" min="5" style="107" width="17.62"/>
    <col collapsed="false" customWidth="true" hidden="false" outlineLevel="0" max="6" min="6" style="84" width="13.67"/>
    <col collapsed="false" customWidth="true" hidden="false" outlineLevel="0" max="7" min="7" style="107" width="9.16"/>
    <col collapsed="false" customWidth="true" hidden="false" outlineLevel="0" max="8" min="8" style="84" width="15.66"/>
    <col collapsed="false" customWidth="true" hidden="false" outlineLevel="0" max="9" min="9" style="84" width="17.74"/>
    <col collapsed="false" customWidth="true" hidden="false" outlineLevel="0" max="10" min="10" style="84" width="15.66"/>
    <col collapsed="false" customWidth="true" hidden="false" outlineLevel="0" max="11" min="11" style="107" width="17.74"/>
    <col collapsed="false" customWidth="true" hidden="false" outlineLevel="0" max="12" min="12" style="107" width="13.67"/>
    <col collapsed="false" customWidth="false" hidden="false" outlineLevel="0" max="16379" min="13" style="84" width="13.16"/>
    <col collapsed="false" customWidth="true" hidden="false" outlineLevel="0" max="16384" min="16380" style="84" width="11.53"/>
  </cols>
  <sheetData>
    <row r="1" customFormat="false" ht="16.5" hidden="false" customHeight="true" outlineLevel="0" collapsed="false">
      <c r="A1" s="108" t="str">
        <f aca="false">Contrôles!$K70</f>
        <v>⚠</v>
      </c>
      <c r="B1" s="48" t="s">
        <v>236</v>
      </c>
      <c r="C1" s="13"/>
      <c r="D1" s="97"/>
      <c r="E1" s="13"/>
      <c r="F1" s="97"/>
      <c r="G1" s="13"/>
      <c r="H1" s="13"/>
      <c r="I1" s="13"/>
      <c r="J1" s="97"/>
      <c r="K1" s="97"/>
    </row>
    <row r="2" customFormat="false" ht="16.5" hidden="false" customHeight="true" outlineLevel="0" collapsed="false">
      <c r="A2" s="48"/>
      <c r="B2" s="48" t="s">
        <v>237</v>
      </c>
      <c r="C2" s="48"/>
      <c r="D2" s="97"/>
      <c r="E2" s="13"/>
      <c r="F2" s="97"/>
      <c r="G2" s="13"/>
      <c r="H2" s="13"/>
      <c r="I2" s="13"/>
      <c r="J2" s="48"/>
      <c r="K2" s="13"/>
    </row>
    <row r="3" customFormat="false" ht="16.5" hidden="false" customHeight="true" outlineLevel="0" collapsed="false">
      <c r="A3" s="48"/>
      <c r="B3" s="21" t="str">
        <f aca="false">IF(OR(ISERROR(E109),ISERROR(K109)),"✗","✓")</f>
        <v>✓</v>
      </c>
      <c r="C3" s="48"/>
      <c r="D3" s="97"/>
      <c r="E3" s="109" t="n">
        <f aca="false">E109</f>
        <v>17165.3392753255</v>
      </c>
      <c r="F3" s="97"/>
      <c r="G3" s="110" t="n">
        <f aca="false">G109</f>
        <v>43831</v>
      </c>
      <c r="H3" s="48"/>
      <c r="I3" s="13"/>
      <c r="J3" s="48"/>
      <c r="K3" s="13"/>
    </row>
    <row r="4" customFormat="false" ht="24.75" hidden="false" customHeight="true" outlineLevel="0" collapsed="false">
      <c r="A4" s="111" t="s">
        <v>238</v>
      </c>
      <c r="B4" s="27" t="s">
        <v>77</v>
      </c>
      <c r="C4" s="27" t="s">
        <v>239</v>
      </c>
      <c r="D4" s="27" t="s">
        <v>90</v>
      </c>
      <c r="E4" s="112" t="s">
        <v>240</v>
      </c>
      <c r="F4" s="27" t="s">
        <v>241</v>
      </c>
      <c r="G4" s="52" t="s">
        <v>242</v>
      </c>
      <c r="H4" s="27" t="s">
        <v>243</v>
      </c>
      <c r="I4" s="85" t="s">
        <v>244</v>
      </c>
      <c r="J4" s="52" t="s">
        <v>245</v>
      </c>
      <c r="K4" s="85" t="s">
        <v>246</v>
      </c>
    </row>
    <row r="5" customFormat="false" ht="16.5" hidden="false" customHeight="true" outlineLevel="0" collapsed="false">
      <c r="A5" s="33" t="s">
        <v>4</v>
      </c>
      <c r="B5" s="53"/>
      <c r="C5" s="53"/>
      <c r="D5" s="53"/>
      <c r="E5" s="53"/>
      <c r="F5" s="53"/>
      <c r="G5" s="53"/>
      <c r="H5" s="53"/>
      <c r="I5" s="53"/>
      <c r="J5" s="53"/>
      <c r="K5" s="53"/>
    </row>
    <row r="6" customFormat="false" ht="16.5" hidden="false" customHeight="true" outlineLevel="0" collapsed="false">
      <c r="A6" s="113" t="s">
        <v>247</v>
      </c>
      <c r="B6" s="53"/>
      <c r="C6" s="53"/>
      <c r="D6" s="53"/>
      <c r="E6" s="53"/>
      <c r="F6" s="53"/>
      <c r="G6" s="53"/>
      <c r="H6" s="53"/>
      <c r="I6" s="53"/>
      <c r="J6" s="53"/>
      <c r="K6" s="53"/>
    </row>
    <row r="7" customFormat="false" ht="16.5" hidden="false" customHeight="true" outlineLevel="0" collapsed="false">
      <c r="A7" s="33"/>
      <c r="B7" s="53"/>
      <c r="C7" s="53"/>
      <c r="D7" s="53"/>
      <c r="E7" s="53"/>
      <c r="F7" s="53"/>
      <c r="G7" s="53"/>
      <c r="H7" s="53"/>
      <c r="I7" s="53"/>
      <c r="J7" s="53"/>
      <c r="K7" s="53"/>
    </row>
    <row r="8" customFormat="false" ht="16.5" hidden="false" customHeight="true" outlineLevel="0" collapsed="false">
      <c r="A8" s="113" t="s">
        <v>248</v>
      </c>
      <c r="B8" s="53" t="s">
        <v>96</v>
      </c>
      <c r="C8" s="53" t="s">
        <v>75</v>
      </c>
      <c r="D8" s="53"/>
      <c r="E8" s="114"/>
      <c r="F8" s="53"/>
      <c r="G8" s="115"/>
      <c r="H8" s="116"/>
      <c r="I8" s="116"/>
      <c r="J8" s="115"/>
      <c r="K8" s="114"/>
    </row>
    <row r="9" customFormat="false" ht="16.5" hidden="false" customHeight="true" outlineLevel="0" collapsed="false">
      <c r="A9" s="113" t="s">
        <v>248</v>
      </c>
      <c r="B9" s="53" t="s">
        <v>96</v>
      </c>
      <c r="C9" s="53" t="s">
        <v>249</v>
      </c>
      <c r="D9" s="53" t="s">
        <v>97</v>
      </c>
      <c r="E9" s="114" t="n">
        <f aca="false">K9-(H9+I9)</f>
        <v>868.440000000002</v>
      </c>
      <c r="F9" s="53"/>
      <c r="G9" s="115" t="n">
        <v>44346</v>
      </c>
      <c r="H9" s="116" t="n">
        <v>29090.19</v>
      </c>
      <c r="I9" s="116" t="n">
        <f aca="false">SUMIFS(OPmontant,OPcompte,$B9,OPdevise,$D9,OPcatégorie,"&lt;&gt;"&amp;Spéciale,OPlibellé,$C9,OPdate,"&gt;="&amp;$G9)</f>
        <v>-29564.27</v>
      </c>
      <c r="J9" s="115" t="n">
        <v>46085</v>
      </c>
      <c r="K9" s="114" t="n">
        <v>394.36</v>
      </c>
    </row>
    <row r="10" customFormat="false" ht="16.5" hidden="false" customHeight="true" outlineLevel="0" collapsed="false">
      <c r="A10" s="113" t="s">
        <v>248</v>
      </c>
      <c r="B10" s="53" t="s">
        <v>96</v>
      </c>
      <c r="C10" s="53" t="s">
        <v>250</v>
      </c>
      <c r="D10" s="53" t="s">
        <v>97</v>
      </c>
      <c r="E10" s="114" t="n">
        <f aca="false">K10-(H10+I10)</f>
        <v>-187.34</v>
      </c>
      <c r="F10" s="53"/>
      <c r="G10" s="115" t="n">
        <v>44346</v>
      </c>
      <c r="H10" s="116" t="n">
        <v>0</v>
      </c>
      <c r="I10" s="116" t="n">
        <f aca="false">SUMIFS(OPmontant,OPcompte,$B10,OPdevise,$D10,OPcatégorie,"&lt;&gt;"&amp;Spéciale,OPlibellé,$C10,OPdate,"&gt;="&amp;$G10)</f>
        <v>7021.03</v>
      </c>
      <c r="J10" s="115" t="n">
        <v>46085</v>
      </c>
      <c r="K10" s="114" t="n">
        <v>6833.69</v>
      </c>
    </row>
    <row r="11" customFormat="false" ht="16.5" hidden="false" customHeight="true" outlineLevel="0" collapsed="false">
      <c r="A11" s="113" t="s">
        <v>248</v>
      </c>
      <c r="B11" s="53" t="s">
        <v>96</v>
      </c>
      <c r="C11" s="53" t="s">
        <v>251</v>
      </c>
      <c r="D11" s="53" t="s">
        <v>97</v>
      </c>
      <c r="E11" s="114" t="n">
        <f aca="false">K11-(H11+I11)</f>
        <v>796.18</v>
      </c>
      <c r="F11" s="53"/>
      <c r="G11" s="115" t="n">
        <v>44942</v>
      </c>
      <c r="H11" s="116" t="n">
        <v>0</v>
      </c>
      <c r="I11" s="116" t="n">
        <f aca="false">SUMIFS(OPmontant,OPcompte,$B11,OPdevise,$D11,OPcatégorie,"&lt;&gt;"&amp;Spéciale,OPlibellé,$C11,OPdate,"&gt;="&amp;$G11)</f>
        <v>6000.87</v>
      </c>
      <c r="J11" s="115" t="n">
        <v>46085</v>
      </c>
      <c r="K11" s="114" t="n">
        <v>6797.05</v>
      </c>
    </row>
    <row r="12" customFormat="false" ht="16.5" hidden="false" customHeight="true" outlineLevel="0" collapsed="false">
      <c r="A12" s="113" t="s">
        <v>248</v>
      </c>
      <c r="B12" s="53" t="s">
        <v>96</v>
      </c>
      <c r="C12" s="53" t="s">
        <v>252</v>
      </c>
      <c r="D12" s="53" t="s">
        <v>97</v>
      </c>
      <c r="E12" s="114" t="n">
        <f aca="false">K12-(H12+I12)</f>
        <v>428.6</v>
      </c>
      <c r="F12" s="53"/>
      <c r="G12" s="115" t="n">
        <v>45152</v>
      </c>
      <c r="H12" s="116" t="n">
        <v>0</v>
      </c>
      <c r="I12" s="116" t="n">
        <f aca="false">SUMIFS(OPmontant,OPcompte,$B12,OPdevise,$D12,OPcatégorie,"&lt;&gt;"&amp;Spéciale,OPlibellé,$C12,OPdate,"&gt;="&amp;$G12)</f>
        <v>3984.15</v>
      </c>
      <c r="J12" s="115" t="n">
        <v>46085</v>
      </c>
      <c r="K12" s="114" t="n">
        <v>4412.75</v>
      </c>
    </row>
    <row r="13" customFormat="false" ht="16.5" hidden="false" customHeight="true" outlineLevel="0" collapsed="false">
      <c r="A13" s="113" t="s">
        <v>248</v>
      </c>
      <c r="B13" s="53" t="s">
        <v>96</v>
      </c>
      <c r="C13" s="53" t="s">
        <v>253</v>
      </c>
      <c r="D13" s="53" t="s">
        <v>97</v>
      </c>
      <c r="E13" s="114" t="n">
        <f aca="false">K13-(H13+I13)</f>
        <v>256.98</v>
      </c>
      <c r="F13" s="53"/>
      <c r="G13" s="115" t="n">
        <v>45546</v>
      </c>
      <c r="H13" s="116" t="n">
        <v>0</v>
      </c>
      <c r="I13" s="116" t="n">
        <f aca="false">SUMIFS(OPmontant,OPcompte,$B13,OPdevise,$D13,OPcatégorie,"&lt;&gt;"&amp;Spéciale,OPlibellé,$C13,OPdate,"&gt;="&amp;$G13)</f>
        <v>3565.28</v>
      </c>
      <c r="J13" s="115" t="n">
        <v>46085</v>
      </c>
      <c r="K13" s="114" t="n">
        <v>3822.26</v>
      </c>
    </row>
    <row r="14" customFormat="false" ht="16.5" hidden="false" customHeight="true" outlineLevel="0" collapsed="false">
      <c r="A14" s="113" t="s">
        <v>248</v>
      </c>
      <c r="B14" s="33" t="s">
        <v>96</v>
      </c>
      <c r="C14" s="33" t="s">
        <v>73</v>
      </c>
      <c r="D14" s="33" t="s">
        <v>97</v>
      </c>
      <c r="E14" s="117" t="n">
        <f aca="false">K14-(H14+I14)</f>
        <v>2162.86</v>
      </c>
      <c r="F14" s="33"/>
      <c r="G14" s="118" t="n">
        <f aca="false">MIN(G9:G13)</f>
        <v>44346</v>
      </c>
      <c r="H14" s="119" t="n">
        <f aca="false">SUMPRODUCT(H9:H13*IFERROR(INDEX(COTcours,MATCH(D9:D13,COTcode,0)),1))/IFERROR(INDEX(COTcours,MATCH(D14,COTcode,0)),1)</f>
        <v>29090.19</v>
      </c>
      <c r="I14" s="119" t="n">
        <f aca="false">SUMPRODUCT(I9:I13*IFERROR(INDEX(COTcours,MATCH(D9:D13,COTcode,0)),1))/IFERROR(INDEX(COTcours,MATCH(D14,COTcode,0)),1)</f>
        <v>-8992.94</v>
      </c>
      <c r="J14" s="118" t="n">
        <f aca="false">J13</f>
        <v>46085</v>
      </c>
      <c r="K14" s="117" t="n">
        <f aca="false">SUMPRODUCT(K9:K13*IFERROR(INDEX(COTcours,MATCH(D9:D13,COTcode,0)),1))/IFERROR(INDEX(COTcours,MATCH(D14,COTcode,0)),1)</f>
        <v>22260.11</v>
      </c>
    </row>
    <row r="15" customFormat="false" ht="16.5" hidden="false" customHeight="true" outlineLevel="0" collapsed="false">
      <c r="A15" s="113" t="s">
        <v>248</v>
      </c>
      <c r="B15" s="33" t="s">
        <v>96</v>
      </c>
      <c r="C15" s="33" t="s">
        <v>254</v>
      </c>
      <c r="D15" s="33" t="s">
        <v>97</v>
      </c>
      <c r="E15" s="117" t="n">
        <f aca="false">K15-(H15+I15)</f>
        <v>2162.78</v>
      </c>
      <c r="F15" s="33"/>
      <c r="G15" s="118" t="n">
        <f aca="false">_xlfn.MINIFS(OPdate,OPcompte,$B15,OPdevise,D15,OPcatégorie,Solde)</f>
        <v>44238</v>
      </c>
      <c r="H15" s="119" t="n">
        <f aca="false">SUMIFS(OPmontant,OPcompte,$B15,OPdevise,$D15,OPdate,$G15,OPcatégorie,Solde)</f>
        <v>29164.18</v>
      </c>
      <c r="I15" s="119" t="n">
        <f aca="false">I14</f>
        <v>-8992.94</v>
      </c>
      <c r="J15" s="118" t="n">
        <f aca="false">_xlfn.MAXIFS(OPdate,OPcompte,$B15,OPdevise,$D15,OPcatégorie,Solde)</f>
        <v>46026</v>
      </c>
      <c r="K15" s="117" t="n">
        <f aca="false">SUMIFS(OPmontant,OPcompte,$B15,OPdevise,$D15,OPcatégorie,Solde,OPdate,J15)</f>
        <v>22334.02</v>
      </c>
    </row>
    <row r="16" customFormat="false" ht="16.5" hidden="false" customHeight="true" outlineLevel="0" collapsed="false">
      <c r="A16" s="113" t="s">
        <v>248</v>
      </c>
      <c r="B16" s="33" t="s">
        <v>96</v>
      </c>
      <c r="C16" s="33" t="s">
        <v>78</v>
      </c>
      <c r="D16" s="33" t="s">
        <v>97</v>
      </c>
      <c r="E16" s="117" t="n">
        <f aca="false">K16-(H16+I16)</f>
        <v>2088.87</v>
      </c>
      <c r="F16" s="33"/>
      <c r="G16" s="118" t="n">
        <f aca="false">G15</f>
        <v>44238</v>
      </c>
      <c r="H16" s="119" t="n">
        <f aca="false">H15</f>
        <v>29164.18</v>
      </c>
      <c r="I16" s="119" t="n">
        <f aca="false">I15</f>
        <v>-8992.94</v>
      </c>
      <c r="J16" s="118" t="n">
        <f aca="false">IF(J14&gt;J15,J14,J15)</f>
        <v>46085</v>
      </c>
      <c r="K16" s="117" t="n">
        <f aca="false">IF(J14&gt;J15,K14,K15)</f>
        <v>22260.11</v>
      </c>
    </row>
    <row r="17" customFormat="false" ht="16.5" hidden="false" customHeight="true" outlineLevel="0" collapsed="false">
      <c r="A17" s="33"/>
      <c r="B17" s="53"/>
      <c r="C17" s="53"/>
      <c r="D17" s="53"/>
      <c r="E17" s="53"/>
      <c r="F17" s="53"/>
      <c r="G17" s="53"/>
      <c r="H17" s="53"/>
      <c r="I17" s="53"/>
      <c r="J17" s="53"/>
      <c r="K17" s="53"/>
    </row>
    <row r="18" customFormat="false" ht="16.5" hidden="false" customHeight="true" outlineLevel="0" collapsed="false">
      <c r="A18" s="113" t="s">
        <v>248</v>
      </c>
      <c r="B18" s="53" t="s">
        <v>98</v>
      </c>
      <c r="C18" s="53" t="s">
        <v>75</v>
      </c>
      <c r="D18" s="53"/>
      <c r="E18" s="114"/>
      <c r="F18" s="53"/>
      <c r="G18" s="115"/>
      <c r="H18" s="116"/>
      <c r="I18" s="116"/>
      <c r="J18" s="115"/>
      <c r="K18" s="114"/>
    </row>
    <row r="19" customFormat="false" ht="16.5" hidden="false" customHeight="true" outlineLevel="0" collapsed="false">
      <c r="A19" s="113" t="s">
        <v>248</v>
      </c>
      <c r="B19" s="53" t="s">
        <v>98</v>
      </c>
      <c r="C19" s="53" t="s">
        <v>249</v>
      </c>
      <c r="D19" s="53" t="s">
        <v>97</v>
      </c>
      <c r="E19" s="114" t="n">
        <f aca="false">K19-(H19+I19)</f>
        <v>709.629999999998</v>
      </c>
      <c r="F19" s="53"/>
      <c r="G19" s="115" t="n">
        <v>44320</v>
      </c>
      <c r="H19" s="116" t="n">
        <v>15281.85</v>
      </c>
      <c r="I19" s="116" t="n">
        <f aca="false">SUMIFS(OPmontant,OPcompte,$B19,OPdevise,$D19,OPcatégorie,"&lt;&gt;"&amp;Spéciale,OPlibellé,$C19,OPdate,"&gt;="&amp;$G19)</f>
        <v>-15557.36</v>
      </c>
      <c r="J19" s="115" t="n">
        <v>46085</v>
      </c>
      <c r="K19" s="114" t="n">
        <v>434.12</v>
      </c>
    </row>
    <row r="20" customFormat="false" ht="16.5" hidden="false" customHeight="true" outlineLevel="0" collapsed="false">
      <c r="A20" s="113" t="s">
        <v>248</v>
      </c>
      <c r="B20" s="53" t="s">
        <v>98</v>
      </c>
      <c r="C20" s="53" t="s">
        <v>255</v>
      </c>
      <c r="D20" s="53" t="s">
        <v>97</v>
      </c>
      <c r="E20" s="114" t="n">
        <f aca="false">K20-(H20+I20)</f>
        <v>-5.01999999999998</v>
      </c>
      <c r="F20" s="53"/>
      <c r="G20" s="115" t="n">
        <v>44320</v>
      </c>
      <c r="H20" s="116" t="n">
        <v>0</v>
      </c>
      <c r="I20" s="116" t="n">
        <f aca="false">SUMIFS(OPmontant,OPcompte,$B20,OPdevise,$D20,OPcatégorie,"&lt;&gt;"&amp;Spéciale,OPlibellé,$C20,OPdate,"&gt;="&amp;$G20)</f>
        <v>5.01999999999998</v>
      </c>
      <c r="J20" s="115" t="n">
        <v>45934</v>
      </c>
      <c r="K20" s="114" t="n">
        <v>0</v>
      </c>
    </row>
    <row r="21" customFormat="false" ht="16.5" hidden="false" customHeight="true" outlineLevel="0" collapsed="false">
      <c r="A21" s="113" t="s">
        <v>248</v>
      </c>
      <c r="B21" s="53" t="s">
        <v>98</v>
      </c>
      <c r="C21" s="53" t="s">
        <v>256</v>
      </c>
      <c r="D21" s="53" t="s">
        <v>97</v>
      </c>
      <c r="E21" s="114" t="n">
        <f aca="false">K21-(H21+I21)</f>
        <v>248.93</v>
      </c>
      <c r="F21" s="53"/>
      <c r="G21" s="115" t="n">
        <v>44352</v>
      </c>
      <c r="H21" s="116" t="n">
        <v>0</v>
      </c>
      <c r="I21" s="116" t="n">
        <f aca="false">SUMIFS(OPmontant,OPcompte,$B21,OPdevise,$D21,OPcatégorie,"&lt;&gt;"&amp;Spéciale,OPlibellé,$C21,OPdate,"&gt;="&amp;$G21)</f>
        <v>-248.93</v>
      </c>
      <c r="J21" s="115" t="n">
        <v>45934</v>
      </c>
      <c r="K21" s="114" t="n">
        <v>0</v>
      </c>
    </row>
    <row r="22" customFormat="false" ht="16.5" hidden="false" customHeight="true" outlineLevel="0" collapsed="false">
      <c r="A22" s="113" t="s">
        <v>248</v>
      </c>
      <c r="B22" s="53" t="s">
        <v>98</v>
      </c>
      <c r="C22" s="53" t="s">
        <v>257</v>
      </c>
      <c r="D22" s="53" t="s">
        <v>97</v>
      </c>
      <c r="E22" s="114" t="n">
        <f aca="false">K22-(H22+I22)</f>
        <v>187.51</v>
      </c>
      <c r="F22" s="53"/>
      <c r="G22" s="115" t="n">
        <v>45148</v>
      </c>
      <c r="H22" s="116" t="n">
        <v>0</v>
      </c>
      <c r="I22" s="116" t="n">
        <f aca="false">SUMIFS(OPmontant,OPcompte,$B22,OPdevise,$D22,OPcatégorie,"&lt;&gt;"&amp;Spéciale,OPlibellé,$C22,OPdate,"&gt;="&amp;$G22)</f>
        <v>-187.51</v>
      </c>
      <c r="J22" s="115" t="n">
        <v>45934</v>
      </c>
      <c r="K22" s="114" t="n">
        <v>0</v>
      </c>
    </row>
    <row r="23" customFormat="false" ht="16.5" hidden="false" customHeight="true" outlineLevel="0" collapsed="false">
      <c r="A23" s="113" t="s">
        <v>248</v>
      </c>
      <c r="B23" s="53" t="s">
        <v>98</v>
      </c>
      <c r="C23" s="53" t="s">
        <v>258</v>
      </c>
      <c r="D23" s="53" t="s">
        <v>97</v>
      </c>
      <c r="E23" s="114" t="n">
        <f aca="false">K23-(H23+I23)</f>
        <v>1406.61</v>
      </c>
      <c r="F23" s="53"/>
      <c r="G23" s="115" t="n">
        <v>45546</v>
      </c>
      <c r="H23" s="116" t="n">
        <v>0</v>
      </c>
      <c r="I23" s="116" t="n">
        <f aca="false">SUMIFS(OPmontant,OPcompte,$B23,OPdevise,$D23,OPcatégorie,"&lt;&gt;"&amp;Spéciale,OPlibellé,$C23,OPdate,"&gt;="&amp;$G23)</f>
        <v>9987.91</v>
      </c>
      <c r="J23" s="115" t="n">
        <v>46085</v>
      </c>
      <c r="K23" s="114" t="n">
        <v>11394.52</v>
      </c>
    </row>
    <row r="24" customFormat="false" ht="16.5" hidden="false" customHeight="true" outlineLevel="0" collapsed="false">
      <c r="A24" s="113" t="s">
        <v>248</v>
      </c>
      <c r="B24" s="53" t="s">
        <v>98</v>
      </c>
      <c r="C24" s="53" t="s">
        <v>251</v>
      </c>
      <c r="D24" s="53" t="s">
        <v>97</v>
      </c>
      <c r="E24" s="114" t="n">
        <f aca="false">K24-(H24+I24)</f>
        <v>775.7</v>
      </c>
      <c r="F24" s="53"/>
      <c r="G24" s="115" t="n">
        <v>44942</v>
      </c>
      <c r="H24" s="116" t="n">
        <v>0</v>
      </c>
      <c r="I24" s="116" t="n">
        <f aca="false">SUMIFS(OPmontant,OPcompte,$B24,OPdevise,$D24,OPcatégorie,"&lt;&gt;"&amp;Spéciale,OPlibellé,$C24,OPdate,"&gt;="&amp;$G24)</f>
        <v>6000.87</v>
      </c>
      <c r="J24" s="115" t="n">
        <v>46085</v>
      </c>
      <c r="K24" s="114" t="n">
        <v>6776.57</v>
      </c>
    </row>
    <row r="25" customFormat="false" ht="16.5" hidden="false" customHeight="true" outlineLevel="0" collapsed="false">
      <c r="A25" s="113" t="s">
        <v>248</v>
      </c>
      <c r="B25" s="33" t="s">
        <v>98</v>
      </c>
      <c r="C25" s="33" t="s">
        <v>73</v>
      </c>
      <c r="D25" s="33" t="s">
        <v>97</v>
      </c>
      <c r="E25" s="117" t="n">
        <f aca="false">K25-(H25+I25)</f>
        <v>3323.36</v>
      </c>
      <c r="F25" s="33"/>
      <c r="G25" s="118" t="n">
        <f aca="false">MIN(G19:G24)</f>
        <v>44320</v>
      </c>
      <c r="H25" s="119" t="n">
        <f aca="false">SUMPRODUCT(H19:H24*IFERROR(INDEX(COTcours,MATCH(D19:D24,COTcode,0)),1))/IFERROR(INDEX(COTcours,MATCH(D25,COTcode,0)),1)</f>
        <v>15281.85</v>
      </c>
      <c r="I25" s="119" t="n">
        <f aca="false">SUMPRODUCT(I19:I24*IFERROR(INDEX(COTcours,MATCH(D19:D24,COTcode,0)),1))/IFERROR(INDEX(COTcours,MATCH(D25,COTcode,0)),1)</f>
        <v>0</v>
      </c>
      <c r="J25" s="118" t="n">
        <f aca="false">J24</f>
        <v>46085</v>
      </c>
      <c r="K25" s="117" t="n">
        <f aca="false">SUMPRODUCT(K19:K24*IFERROR(INDEX(COTcours,MATCH(D19:D24,COTcode,0)),1))/IFERROR(INDEX(COTcours,MATCH(D25,COTcode,0)),1)</f>
        <v>18605.21</v>
      </c>
    </row>
    <row r="26" customFormat="false" ht="16.5" hidden="false" customHeight="true" outlineLevel="0" collapsed="false">
      <c r="A26" s="113" t="s">
        <v>248</v>
      </c>
      <c r="B26" s="33" t="s">
        <v>98</v>
      </c>
      <c r="C26" s="33" t="s">
        <v>254</v>
      </c>
      <c r="D26" s="33" t="s">
        <v>97</v>
      </c>
      <c r="E26" s="117" t="n">
        <f aca="false">K26-(H26+I26)</f>
        <v>2950.75</v>
      </c>
      <c r="F26" s="33"/>
      <c r="G26" s="118" t="n">
        <f aca="false">_xlfn.MINIFS(OPdate,OPcompte,$B26,OPdevise,D26,OPcatégorie,Solde)</f>
        <v>44214</v>
      </c>
      <c r="H26" s="119" t="n">
        <f aca="false">SUMIFS(OPmontant,OPcompte,$B26,OPdevise,$D26,OPdate,$G26,OPcatégorie,Solde)</f>
        <v>15311.21</v>
      </c>
      <c r="I26" s="119" t="n">
        <f aca="false">I25</f>
        <v>0</v>
      </c>
      <c r="J26" s="118" t="n">
        <f aca="false">_xlfn.MAXIFS(OPdate,OPcompte,$B26,OPdevise,$D26,OPcatégorie,Solde)</f>
        <v>46027</v>
      </c>
      <c r="K26" s="117" t="n">
        <f aca="false">SUMIFS(OPmontant,OPcompte,$B26,OPdevise,$D26,OPcatégorie,Solde,OPdate,J26)</f>
        <v>18261.96</v>
      </c>
    </row>
    <row r="27" customFormat="false" ht="16.5" hidden="false" customHeight="true" outlineLevel="0" collapsed="false">
      <c r="A27" s="113" t="s">
        <v>248</v>
      </c>
      <c r="B27" s="33" t="s">
        <v>98</v>
      </c>
      <c r="C27" s="33" t="s">
        <v>78</v>
      </c>
      <c r="D27" s="33" t="s">
        <v>97</v>
      </c>
      <c r="E27" s="117" t="n">
        <f aca="false">K27-(H27+I27)</f>
        <v>3294</v>
      </c>
      <c r="F27" s="33"/>
      <c r="G27" s="118" t="n">
        <f aca="false">G26</f>
        <v>44214</v>
      </c>
      <c r="H27" s="119" t="n">
        <f aca="false">H26</f>
        <v>15311.21</v>
      </c>
      <c r="I27" s="119" t="n">
        <f aca="false">I26</f>
        <v>0</v>
      </c>
      <c r="J27" s="118" t="n">
        <f aca="false">IF(J25&gt;J26,J25,J26)</f>
        <v>46085</v>
      </c>
      <c r="K27" s="117" t="n">
        <f aca="false">IF(J25&gt;J26,K25,K26)</f>
        <v>18605.21</v>
      </c>
    </row>
    <row r="28" customFormat="false" ht="16.5" hidden="false" customHeight="true" outlineLevel="0" collapsed="false">
      <c r="A28" s="33"/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customFormat="false" ht="16.5" hidden="false" customHeight="true" outlineLevel="0" collapsed="false">
      <c r="A29" s="113" t="s">
        <v>248</v>
      </c>
      <c r="B29" s="53" t="s">
        <v>99</v>
      </c>
      <c r="C29" s="53" t="s">
        <v>75</v>
      </c>
      <c r="D29" s="53"/>
      <c r="E29" s="114"/>
      <c r="F29" s="53"/>
      <c r="G29" s="115"/>
      <c r="H29" s="116"/>
      <c r="I29" s="116"/>
      <c r="J29" s="115"/>
      <c r="K29" s="114"/>
    </row>
    <row r="30" customFormat="false" ht="16.5" hidden="false" customHeight="true" outlineLevel="0" collapsed="false">
      <c r="A30" s="113" t="s">
        <v>248</v>
      </c>
      <c r="B30" s="53" t="s">
        <v>99</v>
      </c>
      <c r="C30" s="53" t="s">
        <v>259</v>
      </c>
      <c r="D30" s="53" t="s">
        <v>97</v>
      </c>
      <c r="E30" s="114" t="n">
        <f aca="false">K30-(H30+I30)</f>
        <v>879.87</v>
      </c>
      <c r="F30" s="53"/>
      <c r="G30" s="115" t="n">
        <v>44172</v>
      </c>
      <c r="H30" s="116" t="n">
        <v>3529.5</v>
      </c>
      <c r="I30" s="116" t="n">
        <f aca="false">SUMIFS(OPmontant,OPcompte,$B30,OPdevise,$D30,OPcatégorie,"&lt;&gt;"&amp;Spéciale,OPlibellé,$C30,OPdate,"&gt;="&amp;$G30)</f>
        <v>-1332.05</v>
      </c>
      <c r="J30" s="115" t="n">
        <v>46120</v>
      </c>
      <c r="K30" s="114" t="n">
        <v>3077.32</v>
      </c>
    </row>
    <row r="31" customFormat="false" ht="16.5" hidden="false" customHeight="true" outlineLevel="0" collapsed="false">
      <c r="A31" s="113" t="s">
        <v>248</v>
      </c>
      <c r="B31" s="53" t="s">
        <v>99</v>
      </c>
      <c r="C31" s="53" t="s">
        <v>260</v>
      </c>
      <c r="D31" s="53" t="s">
        <v>97</v>
      </c>
      <c r="E31" s="114" t="n">
        <f aca="false">K31-(H31+I31)</f>
        <v>117.57</v>
      </c>
      <c r="F31" s="53"/>
      <c r="G31" s="115" t="n">
        <v>44344</v>
      </c>
      <c r="H31" s="116" t="n">
        <v>0</v>
      </c>
      <c r="I31" s="116" t="n">
        <f aca="false">SUMIFS(OPmontant,OPcompte,$B31,OPdevise,$D31,OPcatégorie,"&lt;&gt;"&amp;Spéciale,OPlibellé,$C31,OPdate,"&gt;="&amp;$G31)</f>
        <v>2030.52</v>
      </c>
      <c r="J31" s="115" t="n">
        <v>46120</v>
      </c>
      <c r="K31" s="114" t="n">
        <v>2148.09</v>
      </c>
    </row>
    <row r="32" customFormat="false" ht="16.5" hidden="false" customHeight="true" outlineLevel="0" collapsed="false">
      <c r="A32" s="113" t="s">
        <v>248</v>
      </c>
      <c r="B32" s="53" t="s">
        <v>99</v>
      </c>
      <c r="C32" s="53" t="s">
        <v>261</v>
      </c>
      <c r="D32" s="53" t="s">
        <v>97</v>
      </c>
      <c r="E32" s="114" t="n">
        <f aca="false">K32-(H32+I32)</f>
        <v>402.57</v>
      </c>
      <c r="F32" s="53"/>
      <c r="G32" s="115" t="n">
        <v>44172</v>
      </c>
      <c r="H32" s="116" t="n">
        <v>3169.57</v>
      </c>
      <c r="I32" s="116" t="n">
        <f aca="false">SUMIFS(OPmontant,OPcompte,$B32,OPdevise,$D32,OPcatégorie,"&lt;&gt;"&amp;Spéciale,OPlibellé,$C32,OPdate,"&gt;="&amp;$G32)</f>
        <v>-1006.99</v>
      </c>
      <c r="J32" s="115" t="n">
        <v>46120</v>
      </c>
      <c r="K32" s="114" t="n">
        <v>2565.15</v>
      </c>
    </row>
    <row r="33" customFormat="false" ht="16.5" hidden="false" customHeight="true" outlineLevel="0" collapsed="false">
      <c r="A33" s="113" t="s">
        <v>248</v>
      </c>
      <c r="B33" s="53" t="s">
        <v>99</v>
      </c>
      <c r="C33" s="53" t="s">
        <v>262</v>
      </c>
      <c r="D33" s="53" t="s">
        <v>97</v>
      </c>
      <c r="E33" s="114" t="n">
        <f aca="false">K33-(H33+I33)</f>
        <v>-1237.1</v>
      </c>
      <c r="F33" s="53"/>
      <c r="G33" s="115" t="n">
        <v>43998</v>
      </c>
      <c r="H33" s="116" t="n">
        <v>102.62</v>
      </c>
      <c r="I33" s="116" t="n">
        <f aca="false">SUMIFS(OPmontant,OPcompte,$B33,OPdevise,$D33,OPcatégorie,"&lt;&gt;"&amp;Spéciale,OPlibellé,$C33,OPdate,"&gt;="&amp;$G33)</f>
        <v>10000.91</v>
      </c>
      <c r="J33" s="115" t="n">
        <v>46120</v>
      </c>
      <c r="K33" s="114" t="n">
        <v>8866.43</v>
      </c>
    </row>
    <row r="34" customFormat="false" ht="16.5" hidden="false" customHeight="true" outlineLevel="0" collapsed="false">
      <c r="A34" s="113" t="s">
        <v>248</v>
      </c>
      <c r="B34" s="53" t="s">
        <v>99</v>
      </c>
      <c r="C34" s="53" t="s">
        <v>263</v>
      </c>
      <c r="D34" s="53" t="s">
        <v>97</v>
      </c>
      <c r="E34" s="114" t="n">
        <f aca="false">K34-(H34+I34)</f>
        <v>-2006.11</v>
      </c>
      <c r="F34" s="53"/>
      <c r="G34" s="115" t="n">
        <v>44172</v>
      </c>
      <c r="H34" s="116" t="n">
        <v>14024.5</v>
      </c>
      <c r="I34" s="116" t="n">
        <f aca="false">SUMIFS(OPmontant,OPcompte,$B34,OPdevise,$D34,OPcatégorie,"&lt;&gt;"&amp;Spéciale,OPlibellé,$C34,OPdate,"&gt;="&amp;$G34)</f>
        <v>-12018.39</v>
      </c>
      <c r="J34" s="115" t="n">
        <v>45817</v>
      </c>
      <c r="K34" s="114" t="n">
        <v>0</v>
      </c>
    </row>
    <row r="35" customFormat="false" ht="16.5" hidden="false" customHeight="true" outlineLevel="0" collapsed="false">
      <c r="A35" s="113" t="s">
        <v>248</v>
      </c>
      <c r="B35" s="53" t="s">
        <v>99</v>
      </c>
      <c r="C35" s="53" t="s">
        <v>264</v>
      </c>
      <c r="D35" s="53" t="s">
        <v>97</v>
      </c>
      <c r="E35" s="114" t="n">
        <f aca="false">K35-(H35+I35)</f>
        <v>2564.83</v>
      </c>
      <c r="F35" s="53"/>
      <c r="G35" s="115" t="n">
        <v>44172</v>
      </c>
      <c r="H35" s="116" t="n">
        <v>6034.12</v>
      </c>
      <c r="I35" s="116" t="n">
        <f aca="false">SUMIFS(OPmontant,OPcompte,$B35,OPdevise,$D35,OPcatégorie,"&lt;&gt;"&amp;Spéciale,OPlibellé,$C35,OPdate,"&gt;="&amp;$G35)</f>
        <v>-7690.85</v>
      </c>
      <c r="J35" s="115" t="n">
        <v>46120</v>
      </c>
      <c r="K35" s="114" t="n">
        <v>908.1</v>
      </c>
    </row>
    <row r="36" customFormat="false" ht="16.5" hidden="false" customHeight="true" outlineLevel="0" collapsed="false">
      <c r="A36" s="113" t="s">
        <v>248</v>
      </c>
      <c r="B36" s="33" t="s">
        <v>99</v>
      </c>
      <c r="C36" s="33" t="s">
        <v>73</v>
      </c>
      <c r="D36" s="33" t="s">
        <v>97</v>
      </c>
      <c r="E36" s="117" t="n">
        <f aca="false">K36-(H36+I36)</f>
        <v>721.629999999997</v>
      </c>
      <c r="F36" s="33"/>
      <c r="G36" s="118" t="n">
        <f aca="false">MIN(G30:G35)</f>
        <v>43998</v>
      </c>
      <c r="H36" s="119" t="n">
        <f aca="false">SUMPRODUCT(H30:H35*IFERROR(INDEX(COTcours,MATCH(D30:D35,COTcode,0)),1))/IFERROR(INDEX(COTcours,MATCH(D36,COTcode,0)),1)</f>
        <v>26860.31</v>
      </c>
      <c r="I36" s="119" t="n">
        <f aca="false">SUMPRODUCT(I30:I35*IFERROR(INDEX(COTcours,MATCH(D30:D35,COTcode,0)),1))/IFERROR(INDEX(COTcours,MATCH(D36,COTcode,0)),1)</f>
        <v>-10016.85</v>
      </c>
      <c r="J36" s="118" t="n">
        <f aca="false">J35</f>
        <v>46120</v>
      </c>
      <c r="K36" s="117" t="n">
        <f aca="false">SUMPRODUCT(K30:K35*IFERROR(INDEX(COTcours,MATCH(D30:D35,COTcode,0)),1))/IFERROR(INDEX(COTcours,MATCH(D36,COTcode,0)),1)</f>
        <v>17565.09</v>
      </c>
    </row>
    <row r="37" customFormat="false" ht="16.5" hidden="false" customHeight="true" outlineLevel="0" collapsed="false">
      <c r="A37" s="113" t="s">
        <v>248</v>
      </c>
      <c r="B37" s="33" t="s">
        <v>99</v>
      </c>
      <c r="C37" s="33" t="s">
        <v>254</v>
      </c>
      <c r="D37" s="33" t="s">
        <v>97</v>
      </c>
      <c r="E37" s="117" t="n">
        <f aca="false">K37-(H37+I37)</f>
        <v>909.48</v>
      </c>
      <c r="F37" s="33"/>
      <c r="G37" s="118" t="n">
        <f aca="false">_xlfn.MINIFS(OPdate,OPcompte,$B37,OPdevise,D37,OPcatégorie,Solde)</f>
        <v>43831</v>
      </c>
      <c r="H37" s="119" t="n">
        <f aca="false">SUMIFS(OPmontant,OPcompte,$B37,OPdevise,$D37,OPdate,$G37,OPcatégorie,Solde)</f>
        <v>26801.73</v>
      </c>
      <c r="I37" s="119" t="n">
        <f aca="false">I36</f>
        <v>-10016.85</v>
      </c>
      <c r="J37" s="118" t="n">
        <f aca="false">_xlfn.MAXIFS(OPdate,OPcompte,$B37,OPdevise,$D37,OPcatégorie,Solde)</f>
        <v>46055</v>
      </c>
      <c r="K37" s="117" t="n">
        <f aca="false">SUMIFS(OPmontant,OPcompte,$B37,OPdevise,$D37,OPcatégorie,Solde,OPdate,J37)</f>
        <v>17694.36</v>
      </c>
    </row>
    <row r="38" customFormat="false" ht="16.5" hidden="false" customHeight="true" outlineLevel="0" collapsed="false">
      <c r="A38" s="113" t="s">
        <v>248</v>
      </c>
      <c r="B38" s="33" t="s">
        <v>99</v>
      </c>
      <c r="C38" s="33" t="s">
        <v>78</v>
      </c>
      <c r="D38" s="33" t="s">
        <v>97</v>
      </c>
      <c r="E38" s="117" t="n">
        <f aca="false">K38-(H38+I38)</f>
        <v>780.209999999999</v>
      </c>
      <c r="F38" s="33"/>
      <c r="G38" s="118" t="n">
        <f aca="false">G37</f>
        <v>43831</v>
      </c>
      <c r="H38" s="119" t="n">
        <f aca="false">H37</f>
        <v>26801.73</v>
      </c>
      <c r="I38" s="119" t="n">
        <f aca="false">I37</f>
        <v>-10016.85</v>
      </c>
      <c r="J38" s="118" t="n">
        <f aca="false">IF(J36&gt;J37,J36,J37)</f>
        <v>46120</v>
      </c>
      <c r="K38" s="117" t="n">
        <f aca="false">IF(J36&gt;J37,K36,K37)</f>
        <v>17565.09</v>
      </c>
    </row>
    <row r="39" customFormat="false" ht="16.5" hidden="false" customHeight="true" outlineLevel="0" collapsed="false">
      <c r="A39" s="33"/>
      <c r="B39" s="53"/>
      <c r="C39" s="53"/>
      <c r="D39" s="53"/>
      <c r="E39" s="53"/>
      <c r="F39" s="53"/>
      <c r="G39" s="53"/>
      <c r="H39" s="53"/>
      <c r="I39" s="53"/>
      <c r="J39" s="53"/>
      <c r="K39" s="53"/>
    </row>
    <row r="40" customFormat="false" ht="16.5" hidden="false" customHeight="true" outlineLevel="0" collapsed="false">
      <c r="A40" s="113" t="s">
        <v>248</v>
      </c>
      <c r="B40" s="53" t="s">
        <v>100</v>
      </c>
      <c r="C40" s="53" t="s">
        <v>75</v>
      </c>
      <c r="D40" s="53"/>
      <c r="E40" s="114"/>
      <c r="F40" s="53"/>
      <c r="G40" s="115"/>
      <c r="H40" s="116"/>
      <c r="I40" s="116"/>
      <c r="J40" s="115"/>
      <c r="K40" s="114"/>
    </row>
    <row r="41" customFormat="false" ht="16.5" hidden="false" customHeight="true" outlineLevel="0" collapsed="false">
      <c r="A41" s="113" t="s">
        <v>248</v>
      </c>
      <c r="B41" s="53" t="s">
        <v>100</v>
      </c>
      <c r="C41" s="53" t="s">
        <v>265</v>
      </c>
      <c r="D41" s="53" t="s">
        <v>97</v>
      </c>
      <c r="E41" s="114" t="n">
        <f aca="false">K41-(H41+I41)</f>
        <v>81.32</v>
      </c>
      <c r="F41" s="53"/>
      <c r="G41" s="115" t="n">
        <v>45516</v>
      </c>
      <c r="H41" s="116" t="n">
        <v>0</v>
      </c>
      <c r="I41" s="116" t="n">
        <f aca="false">SUMIFS(OPmontant,OPcompte,$B41,OPdevise,$D41,OPcatégorie,"&lt;&gt;"&amp;Spéciale,OPlibellé,$C41,OPdate,"&gt;="&amp;$G41)</f>
        <v>239.09</v>
      </c>
      <c r="J41" s="115" t="n">
        <v>46120</v>
      </c>
      <c r="K41" s="114" t="n">
        <v>320.41</v>
      </c>
    </row>
    <row r="42" customFormat="false" ht="16.5" hidden="false" customHeight="true" outlineLevel="0" collapsed="false">
      <c r="A42" s="113" t="s">
        <v>248</v>
      </c>
      <c r="B42" s="53" t="s">
        <v>100</v>
      </c>
      <c r="C42" s="53" t="s">
        <v>266</v>
      </c>
      <c r="D42" s="53" t="s">
        <v>97</v>
      </c>
      <c r="E42" s="114" t="n">
        <f aca="false">K42-(H42+I42)</f>
        <v>21.67</v>
      </c>
      <c r="F42" s="53"/>
      <c r="G42" s="115" t="n">
        <v>45516</v>
      </c>
      <c r="H42" s="116" t="n">
        <v>0</v>
      </c>
      <c r="I42" s="116" t="n">
        <f aca="false">SUMIFS(OPmontant,OPcompte,$B42,OPdevise,$D42,OPcatégorie,"&lt;&gt;"&amp;Spéciale,OPlibellé,$C42,OPdate,"&gt;="&amp;$G42)</f>
        <v>197.3</v>
      </c>
      <c r="J42" s="115" t="n">
        <v>46120</v>
      </c>
      <c r="K42" s="114" t="n">
        <v>218.97</v>
      </c>
    </row>
    <row r="43" customFormat="false" ht="16.5" hidden="false" customHeight="true" outlineLevel="0" collapsed="false">
      <c r="A43" s="113" t="s">
        <v>248</v>
      </c>
      <c r="B43" s="53" t="s">
        <v>100</v>
      </c>
      <c r="C43" s="53" t="s">
        <v>267</v>
      </c>
      <c r="D43" s="53" t="s">
        <v>97</v>
      </c>
      <c r="E43" s="114" t="n">
        <f aca="false">K43-(H43+I43)</f>
        <v>20.03</v>
      </c>
      <c r="F43" s="53"/>
      <c r="G43" s="115" t="n">
        <v>45533</v>
      </c>
      <c r="H43" s="116" t="n">
        <v>0</v>
      </c>
      <c r="I43" s="116" t="n">
        <f aca="false">SUMIFS(OPmontant,OPcompte,$B43,OPdevise,$D43,OPcatégorie,"&lt;&gt;"&amp;Spéciale,OPlibellé,$C43,OPdate,"&gt;="&amp;$G43)</f>
        <v>185.05</v>
      </c>
      <c r="J43" s="115" t="n">
        <v>46120</v>
      </c>
      <c r="K43" s="114" t="n">
        <v>205.08</v>
      </c>
    </row>
    <row r="44" customFormat="false" ht="16.5" hidden="false" customHeight="true" outlineLevel="0" collapsed="false">
      <c r="A44" s="113" t="s">
        <v>248</v>
      </c>
      <c r="B44" s="53" t="s">
        <v>100</v>
      </c>
      <c r="C44" s="53" t="s">
        <v>268</v>
      </c>
      <c r="D44" s="53" t="s">
        <v>97</v>
      </c>
      <c r="E44" s="114" t="n">
        <f aca="false">K44-(H44+I44)</f>
        <v>-6.34000000000003</v>
      </c>
      <c r="F44" s="53"/>
      <c r="G44" s="115" t="n">
        <v>45953</v>
      </c>
      <c r="H44" s="116" t="n">
        <v>0</v>
      </c>
      <c r="I44" s="116" t="n">
        <f aca="false">SUMIFS(OPmontant,OPcompte,$B44,OPdevise,$D44,OPcatégorie,"&lt;&gt;"&amp;Spéciale,OPlibellé,$C44,OPdate,"&gt;="&amp;$G44)</f>
        <v>359.72</v>
      </c>
      <c r="J44" s="115" t="n">
        <v>46120</v>
      </c>
      <c r="K44" s="114" t="n">
        <v>353.38</v>
      </c>
    </row>
    <row r="45" customFormat="false" ht="16.5" hidden="false" customHeight="true" outlineLevel="0" collapsed="false">
      <c r="A45" s="113" t="s">
        <v>248</v>
      </c>
      <c r="B45" s="53" t="s">
        <v>100</v>
      </c>
      <c r="C45" s="53" t="s">
        <v>269</v>
      </c>
      <c r="D45" s="53" t="s">
        <v>97</v>
      </c>
      <c r="E45" s="114" t="n">
        <f aca="false">K45-(H45+I45)</f>
        <v>19.47</v>
      </c>
      <c r="F45" s="53"/>
      <c r="G45" s="115" t="n">
        <v>45533</v>
      </c>
      <c r="H45" s="116" t="n">
        <v>0</v>
      </c>
      <c r="I45" s="116" t="n">
        <f aca="false">SUMIFS(OPmontant,OPcompte,$B45,OPdevise,$D45,OPcatégorie,"&lt;&gt;"&amp;Spéciale,OPlibellé,$C45,OPdate,"&gt;="&amp;$G45)</f>
        <v>476.42</v>
      </c>
      <c r="J45" s="115" t="n">
        <v>46120</v>
      </c>
      <c r="K45" s="114" t="n">
        <v>495.89</v>
      </c>
    </row>
    <row r="46" customFormat="false" ht="16.5" hidden="false" customHeight="true" outlineLevel="0" collapsed="false">
      <c r="A46" s="113" t="s">
        <v>248</v>
      </c>
      <c r="B46" s="53" t="s">
        <v>100</v>
      </c>
      <c r="C46" s="53" t="s">
        <v>270</v>
      </c>
      <c r="D46" s="53" t="s">
        <v>97</v>
      </c>
      <c r="E46" s="114" t="n">
        <f aca="false">K46-(H46+I46)</f>
        <v>-86.96</v>
      </c>
      <c r="F46" s="53"/>
      <c r="G46" s="115" t="n">
        <v>45516</v>
      </c>
      <c r="H46" s="116" t="n">
        <v>0</v>
      </c>
      <c r="I46" s="116" t="n">
        <f aca="false">SUMIFS(OPmontant,OPcompte,$B46,OPdevise,$D46,OPcatégorie,"&lt;&gt;"&amp;Spéciale,OPlibellé,$C46,OPdate,"&gt;="&amp;$G46)</f>
        <v>214.07</v>
      </c>
      <c r="J46" s="115" t="n">
        <v>46120</v>
      </c>
      <c r="K46" s="114" t="n">
        <v>127.11</v>
      </c>
    </row>
    <row r="47" customFormat="false" ht="16.5" hidden="false" customHeight="true" outlineLevel="0" collapsed="false">
      <c r="A47" s="113" t="s">
        <v>248</v>
      </c>
      <c r="B47" s="53" t="s">
        <v>100</v>
      </c>
      <c r="C47" s="53" t="s">
        <v>271</v>
      </c>
      <c r="D47" s="53" t="s">
        <v>97</v>
      </c>
      <c r="E47" s="114" t="n">
        <f aca="false">K47-(H47+I47)</f>
        <v>31.7</v>
      </c>
      <c r="F47" s="53"/>
      <c r="G47" s="115" t="n">
        <v>45516</v>
      </c>
      <c r="H47" s="116" t="n">
        <v>0</v>
      </c>
      <c r="I47" s="116" t="n">
        <f aca="false">SUMIFS(OPmontant,OPcompte,$B47,OPdevise,$D47,OPcatégorie,"&lt;&gt;"&amp;Spéciale,OPlibellé,$C47,OPdate,"&gt;="&amp;$G47)</f>
        <v>230.4</v>
      </c>
      <c r="J47" s="115" t="n">
        <v>46120</v>
      </c>
      <c r="K47" s="114" t="n">
        <v>262.1</v>
      </c>
    </row>
    <row r="48" customFormat="false" ht="16.5" hidden="false" customHeight="true" outlineLevel="0" collapsed="false">
      <c r="A48" s="113" t="s">
        <v>248</v>
      </c>
      <c r="B48" s="53" t="s">
        <v>100</v>
      </c>
      <c r="C48" s="53" t="s">
        <v>272</v>
      </c>
      <c r="D48" s="53" t="s">
        <v>97</v>
      </c>
      <c r="E48" s="114" t="n">
        <f aca="false">K48-(H48+I48)</f>
        <v>-159.59</v>
      </c>
      <c r="F48" s="53"/>
      <c r="G48" s="115" t="n">
        <v>45953</v>
      </c>
      <c r="H48" s="116" t="n">
        <v>0</v>
      </c>
      <c r="I48" s="116" t="n">
        <f aca="false">SUMIFS(OPmontant,OPcompte,$B48,OPdevise,$D48,OPcatégorie,"&lt;&gt;"&amp;Spéciale,OPlibellé,$C48,OPdate,"&gt;="&amp;$G48)</f>
        <v>394.92</v>
      </c>
      <c r="J48" s="115" t="n">
        <v>46120</v>
      </c>
      <c r="K48" s="114" t="n">
        <v>235.33</v>
      </c>
    </row>
    <row r="49" customFormat="false" ht="16.5" hidden="false" customHeight="true" outlineLevel="0" collapsed="false">
      <c r="A49" s="113" t="s">
        <v>248</v>
      </c>
      <c r="B49" s="53" t="s">
        <v>100</v>
      </c>
      <c r="C49" s="53" t="s">
        <v>273</v>
      </c>
      <c r="D49" s="53" t="s">
        <v>97</v>
      </c>
      <c r="E49" s="114" t="n">
        <f aca="false">K49-(H49+I49)</f>
        <v>104.44</v>
      </c>
      <c r="F49" s="53"/>
      <c r="G49" s="115" t="n">
        <v>45516</v>
      </c>
      <c r="H49" s="116" t="n">
        <v>0</v>
      </c>
      <c r="I49" s="116" t="n">
        <f aca="false">SUMIFS(OPmontant,OPcompte,$B49,OPdevise,$D49,OPcatégorie,"&lt;&gt;"&amp;Spéciale,OPlibellé,$C49,OPdate,"&gt;="&amp;$G49)</f>
        <v>1222.47</v>
      </c>
      <c r="J49" s="115" t="n">
        <v>46120</v>
      </c>
      <c r="K49" s="114" t="n">
        <v>1326.91</v>
      </c>
    </row>
    <row r="50" customFormat="false" ht="16.5" hidden="false" customHeight="true" outlineLevel="0" collapsed="false">
      <c r="A50" s="113" t="s">
        <v>248</v>
      </c>
      <c r="B50" s="53" t="s">
        <v>100</v>
      </c>
      <c r="C50" s="53" t="s">
        <v>274</v>
      </c>
      <c r="D50" s="53" t="s">
        <v>97</v>
      </c>
      <c r="E50" s="114" t="n">
        <f aca="false">K50-(H50+I50)</f>
        <v>-55.36</v>
      </c>
      <c r="F50" s="53"/>
      <c r="G50" s="115" t="n">
        <v>45516</v>
      </c>
      <c r="H50" s="116" t="n">
        <v>0</v>
      </c>
      <c r="I50" s="116" t="n">
        <f aca="false">SUMIFS(OPmontant,OPcompte,$B50,OPdevise,$D50,OPcatégorie,"&lt;&gt;"&amp;Spéciale,OPlibellé,$C50,OPdate,"&gt;="&amp;$G50)</f>
        <v>256.98</v>
      </c>
      <c r="J50" s="115" t="n">
        <v>46120</v>
      </c>
      <c r="K50" s="114" t="n">
        <v>201.62</v>
      </c>
    </row>
    <row r="51" customFormat="false" ht="16.5" hidden="false" customHeight="true" outlineLevel="0" collapsed="false">
      <c r="A51" s="113" t="s">
        <v>248</v>
      </c>
      <c r="B51" s="53" t="s">
        <v>100</v>
      </c>
      <c r="C51" s="53" t="s">
        <v>275</v>
      </c>
      <c r="D51" s="53" t="s">
        <v>97</v>
      </c>
      <c r="E51" s="114" t="n">
        <f aca="false">K51-(H51+I51)</f>
        <v>-6.94</v>
      </c>
      <c r="F51" s="53"/>
      <c r="G51" s="115" t="n">
        <v>45533</v>
      </c>
      <c r="H51" s="116" t="n">
        <v>0</v>
      </c>
      <c r="I51" s="116" t="n">
        <f aca="false">SUMIFS(OPmontant,OPcompte,$B51,OPdevise,$D51,OPcatégorie,"&lt;&gt;"&amp;Spéciale,OPlibellé,$C51,OPdate,"&gt;="&amp;$G51)</f>
        <v>237.27</v>
      </c>
      <c r="J51" s="115" t="n">
        <v>46120</v>
      </c>
      <c r="K51" s="114" t="n">
        <v>230.33</v>
      </c>
    </row>
    <row r="52" customFormat="false" ht="16.5" hidden="false" customHeight="true" outlineLevel="0" collapsed="false">
      <c r="A52" s="113" t="s">
        <v>248</v>
      </c>
      <c r="B52" s="53" t="s">
        <v>100</v>
      </c>
      <c r="C52" s="53" t="s">
        <v>276</v>
      </c>
      <c r="D52" s="53" t="s">
        <v>97</v>
      </c>
      <c r="E52" s="114" t="n">
        <f aca="false">K52-(H52+I52)</f>
        <v>-28.3399999999999</v>
      </c>
      <c r="F52" s="53"/>
      <c r="G52" s="115" t="n">
        <v>45533</v>
      </c>
      <c r="H52" s="116" t="n">
        <v>0</v>
      </c>
      <c r="I52" s="116" t="n">
        <f aca="false">SUMIFS(OPmontant,OPcompte,$B52,OPdevise,$D52,OPcatégorie,"&lt;&gt;"&amp;Spéciale,OPlibellé,$C52,OPdate,"&gt;="&amp;$G52)</f>
        <v>1219.06</v>
      </c>
      <c r="J52" s="115" t="n">
        <v>46120</v>
      </c>
      <c r="K52" s="114" t="n">
        <v>1190.72</v>
      </c>
    </row>
    <row r="53" customFormat="false" ht="16.5" hidden="false" customHeight="true" outlineLevel="0" collapsed="false">
      <c r="A53" s="113" t="s">
        <v>248</v>
      </c>
      <c r="B53" s="53" t="s">
        <v>100</v>
      </c>
      <c r="C53" s="53" t="s">
        <v>277</v>
      </c>
      <c r="D53" s="53" t="s">
        <v>97</v>
      </c>
      <c r="E53" s="114" t="n">
        <f aca="false">K53-(H53+I53)</f>
        <v>413.06</v>
      </c>
      <c r="F53" s="53"/>
      <c r="G53" s="115" t="n">
        <v>45533</v>
      </c>
      <c r="H53" s="116" t="n">
        <v>0</v>
      </c>
      <c r="I53" s="116" t="n">
        <f aca="false">SUMIFS(OPmontant,OPcompte,$B53,OPdevise,$D53,OPcatégorie,"&lt;&gt;"&amp;Spéciale,OPlibellé,$C53,OPdate,"&gt;="&amp;$G53)</f>
        <v>1280.58</v>
      </c>
      <c r="J53" s="115" t="n">
        <v>46120</v>
      </c>
      <c r="K53" s="114" t="n">
        <v>1693.64</v>
      </c>
    </row>
    <row r="54" customFormat="false" ht="16.5" hidden="false" customHeight="true" outlineLevel="0" collapsed="false">
      <c r="A54" s="113" t="s">
        <v>248</v>
      </c>
      <c r="B54" s="53" t="s">
        <v>100</v>
      </c>
      <c r="C54" s="53" t="s">
        <v>278</v>
      </c>
      <c r="D54" s="53" t="s">
        <v>97</v>
      </c>
      <c r="E54" s="114" t="n">
        <f aca="false">K54-(H54+I54)</f>
        <v>-80.64</v>
      </c>
      <c r="F54" s="53"/>
      <c r="G54" s="115" t="n">
        <v>45516</v>
      </c>
      <c r="H54" s="116" t="n">
        <v>0</v>
      </c>
      <c r="I54" s="116" t="n">
        <f aca="false">SUMIFS(OPmontant,OPcompte,$B54,OPdevise,$D54,OPcatégorie,"&lt;&gt;"&amp;Spéciale,OPlibellé,$C54,OPdate,"&gt;="&amp;$G54)</f>
        <v>172.72</v>
      </c>
      <c r="J54" s="115" t="n">
        <v>46120</v>
      </c>
      <c r="K54" s="114" t="n">
        <v>92.08</v>
      </c>
    </row>
    <row r="55" customFormat="false" ht="16.5" hidden="false" customHeight="true" outlineLevel="0" collapsed="false">
      <c r="A55" s="113" t="s">
        <v>248</v>
      </c>
      <c r="B55" s="53" t="s">
        <v>100</v>
      </c>
      <c r="C55" s="53" t="s">
        <v>279</v>
      </c>
      <c r="D55" s="53" t="s">
        <v>97</v>
      </c>
      <c r="E55" s="114" t="n">
        <f aca="false">K55-(H55+I55)</f>
        <v>-114.11</v>
      </c>
      <c r="F55" s="53"/>
      <c r="G55" s="115" t="n">
        <v>45533</v>
      </c>
      <c r="H55" s="116" t="n">
        <v>0</v>
      </c>
      <c r="I55" s="116" t="n">
        <f aca="false">SUMIFS(OPmontant,OPcompte,$B55,OPdevise,$D55,OPcatégorie,"&lt;&gt;"&amp;Spéciale,OPlibellé,$C55,OPdate,"&gt;="&amp;$G55)</f>
        <v>371.03</v>
      </c>
      <c r="J55" s="115" t="n">
        <v>46120</v>
      </c>
      <c r="K55" s="114" t="n">
        <v>256.92</v>
      </c>
    </row>
    <row r="56" customFormat="false" ht="16.5" hidden="false" customHeight="true" outlineLevel="0" collapsed="false">
      <c r="A56" s="113" t="s">
        <v>248</v>
      </c>
      <c r="B56" s="53" t="s">
        <v>100</v>
      </c>
      <c r="C56" s="53" t="s">
        <v>280</v>
      </c>
      <c r="D56" s="53" t="s">
        <v>97</v>
      </c>
      <c r="E56" s="114" t="n">
        <f aca="false">K56-(H56+I56)</f>
        <v>6.94</v>
      </c>
      <c r="F56" s="53"/>
      <c r="G56" s="115" t="n">
        <v>45953</v>
      </c>
      <c r="H56" s="116" t="n">
        <v>0</v>
      </c>
      <c r="I56" s="116" t="n">
        <f aca="false">SUMIFS(OPmontant,OPcompte,$B56,OPdevise,$D56,OPcatégorie,"&lt;&gt;"&amp;Spéciale,OPlibellé,$C56,OPdate,"&gt;="&amp;$G56)</f>
        <v>308.86</v>
      </c>
      <c r="J56" s="115" t="n">
        <v>46120</v>
      </c>
      <c r="K56" s="114" t="n">
        <v>315.8</v>
      </c>
    </row>
    <row r="57" customFormat="false" ht="16.5" hidden="false" customHeight="true" outlineLevel="0" collapsed="false">
      <c r="A57" s="113" t="s">
        <v>248</v>
      </c>
      <c r="B57" s="53" t="s">
        <v>100</v>
      </c>
      <c r="C57" s="53" t="s">
        <v>281</v>
      </c>
      <c r="D57" s="53" t="s">
        <v>97</v>
      </c>
      <c r="E57" s="114" t="n">
        <f aca="false">K57-(H57+I57)</f>
        <v>66.23</v>
      </c>
      <c r="F57" s="53"/>
      <c r="G57" s="115" t="n">
        <v>45516</v>
      </c>
      <c r="H57" s="116" t="n">
        <v>0</v>
      </c>
      <c r="I57" s="116" t="n">
        <f aca="false">SUMIFS(OPmontant,OPcompte,$B57,OPdevise,$D57,OPcatégorie,"&lt;&gt;"&amp;Spéciale,OPlibellé,$C57,OPdate,"&gt;="&amp;$G57)</f>
        <v>296.71</v>
      </c>
      <c r="J57" s="115" t="n">
        <v>46120</v>
      </c>
      <c r="K57" s="114" t="n">
        <v>362.94</v>
      </c>
    </row>
    <row r="58" customFormat="false" ht="16.5" hidden="false" customHeight="true" outlineLevel="0" collapsed="false">
      <c r="A58" s="113" t="s">
        <v>248</v>
      </c>
      <c r="B58" s="53" t="s">
        <v>100</v>
      </c>
      <c r="C58" s="53" t="s">
        <v>282</v>
      </c>
      <c r="D58" s="53" t="s">
        <v>97</v>
      </c>
      <c r="E58" s="114" t="n">
        <f aca="false">K58-(H58+I58)</f>
        <v>-87.65</v>
      </c>
      <c r="F58" s="53"/>
      <c r="G58" s="115" t="n">
        <v>45516</v>
      </c>
      <c r="H58" s="116" t="n">
        <v>0</v>
      </c>
      <c r="I58" s="116" t="n">
        <f aca="false">SUMIFS(OPmontant,OPcompte,$B58,OPdevise,$D58,OPcatégorie,"&lt;&gt;"&amp;Spéciale,OPlibellé,$C58,OPdate,"&gt;="&amp;$G58)</f>
        <v>190.79</v>
      </c>
      <c r="J58" s="115" t="n">
        <v>46120</v>
      </c>
      <c r="K58" s="114" t="n">
        <v>103.14</v>
      </c>
    </row>
    <row r="59" customFormat="false" ht="16.5" hidden="false" customHeight="true" outlineLevel="0" collapsed="false">
      <c r="A59" s="113" t="s">
        <v>248</v>
      </c>
      <c r="B59" s="53" t="s">
        <v>100</v>
      </c>
      <c r="C59" s="53" t="s">
        <v>283</v>
      </c>
      <c r="D59" s="53" t="s">
        <v>97</v>
      </c>
      <c r="E59" s="114" t="n">
        <f aca="false">K59-(H59+I59)</f>
        <v>182.92</v>
      </c>
      <c r="F59" s="53"/>
      <c r="G59" s="115" t="n">
        <v>45533</v>
      </c>
      <c r="H59" s="116" t="n">
        <v>0</v>
      </c>
      <c r="I59" s="116" t="n">
        <f aca="false">SUMIFS(OPmontant,OPcompte,$B59,OPdevise,$D59,OPcatégorie,"&lt;&gt;"&amp;Spéciale,OPlibellé,$C59,OPdate,"&gt;="&amp;$G59)</f>
        <v>414.61</v>
      </c>
      <c r="J59" s="115" t="n">
        <v>46120</v>
      </c>
      <c r="K59" s="114" t="n">
        <v>597.53</v>
      </c>
    </row>
    <row r="60" customFormat="false" ht="16.5" hidden="false" customHeight="true" outlineLevel="0" collapsed="false">
      <c r="A60" s="113" t="s">
        <v>248</v>
      </c>
      <c r="B60" s="53" t="s">
        <v>100</v>
      </c>
      <c r="C60" s="53" t="s">
        <v>284</v>
      </c>
      <c r="D60" s="53" t="s">
        <v>97</v>
      </c>
      <c r="E60" s="114" t="n">
        <f aca="false">K60-(H60+I60)</f>
        <v>459.8</v>
      </c>
      <c r="F60" s="53"/>
      <c r="G60" s="115" t="n">
        <v>45516</v>
      </c>
      <c r="H60" s="116" t="n">
        <v>0</v>
      </c>
      <c r="I60" s="116" t="n">
        <f aca="false">SUMIFS(OPmontant,OPcompte,$B60,OPdevise,$D60,OPcatégorie,"&lt;&gt;"&amp;Spéciale,OPlibellé,$C60,OPdate,"&gt;="&amp;$G60)</f>
        <v>2347.56</v>
      </c>
      <c r="J60" s="115" t="n">
        <v>46120</v>
      </c>
      <c r="K60" s="114" t="n">
        <v>2807.36</v>
      </c>
    </row>
    <row r="61" customFormat="false" ht="16.5" hidden="false" customHeight="true" outlineLevel="0" collapsed="false">
      <c r="A61" s="113" t="s">
        <v>248</v>
      </c>
      <c r="B61" s="53" t="s">
        <v>100</v>
      </c>
      <c r="C61" s="53" t="s">
        <v>285</v>
      </c>
      <c r="D61" s="53" t="s">
        <v>97</v>
      </c>
      <c r="E61" s="114" t="n">
        <f aca="false">K61-(H61+I61)</f>
        <v>6.94999999999999</v>
      </c>
      <c r="F61" s="53"/>
      <c r="G61" s="115" t="n">
        <v>45533</v>
      </c>
      <c r="H61" s="116" t="n">
        <v>0</v>
      </c>
      <c r="I61" s="116" t="n">
        <f aca="false">SUMIFS(OPmontant,OPcompte,$B61,OPdevise,$D61,OPcatégorie,"&lt;&gt;"&amp;Spéciale,OPlibellé,$C61,OPdate,"&gt;="&amp;$G61)</f>
        <v>205.28</v>
      </c>
      <c r="J61" s="115" t="n">
        <v>46120</v>
      </c>
      <c r="K61" s="114" t="n">
        <v>212.23</v>
      </c>
    </row>
    <row r="62" customFormat="false" ht="16.5" hidden="false" customHeight="true" outlineLevel="0" collapsed="false">
      <c r="A62" s="113" t="s">
        <v>248</v>
      </c>
      <c r="B62" s="53" t="s">
        <v>100</v>
      </c>
      <c r="C62" s="53" t="s">
        <v>286</v>
      </c>
      <c r="D62" s="53" t="s">
        <v>97</v>
      </c>
      <c r="E62" s="114" t="n">
        <f aca="false">K62-(H62+I62)</f>
        <v>-48.12</v>
      </c>
      <c r="F62" s="53"/>
      <c r="G62" s="115" t="n">
        <v>46051</v>
      </c>
      <c r="H62" s="116" t="n">
        <v>0</v>
      </c>
      <c r="I62" s="116" t="n">
        <f aca="false">SUMIFS(OPmontant,OPcompte,$B62,OPdevise,$D62,OPcatégorie,"&lt;&gt;"&amp;Spéciale,OPlibellé,$C62,OPdate,"&gt;="&amp;$G62)</f>
        <v>319.76</v>
      </c>
      <c r="J62" s="115" t="n">
        <v>46120</v>
      </c>
      <c r="K62" s="114" t="n">
        <v>271.64</v>
      </c>
    </row>
    <row r="63" customFormat="false" ht="16.5" hidden="false" customHeight="true" outlineLevel="0" collapsed="false">
      <c r="A63" s="113" t="s">
        <v>248</v>
      </c>
      <c r="B63" s="53" t="s">
        <v>100</v>
      </c>
      <c r="C63" s="53" t="s">
        <v>287</v>
      </c>
      <c r="D63" s="53" t="s">
        <v>97</v>
      </c>
      <c r="E63" s="114" t="n">
        <f aca="false">K63-(H63+I63)</f>
        <v>380.09</v>
      </c>
      <c r="F63" s="53"/>
      <c r="G63" s="115" t="n">
        <v>45533</v>
      </c>
      <c r="H63" s="116" t="n">
        <v>0</v>
      </c>
      <c r="I63" s="116" t="n">
        <f aca="false">SUMIFS(OPmontant,OPcompte,$B63,OPdevise,$D63,OPcatégorie,"&lt;&gt;"&amp;Spéciale,OPlibellé,$C63,OPdate,"&gt;="&amp;$G63)</f>
        <v>0</v>
      </c>
      <c r="J63" s="115" t="n">
        <v>46120</v>
      </c>
      <c r="K63" s="114" t="n">
        <v>380.09</v>
      </c>
    </row>
    <row r="64" customFormat="false" ht="16.5" hidden="false" customHeight="true" outlineLevel="0" collapsed="false">
      <c r="A64" s="113" t="s">
        <v>248</v>
      </c>
      <c r="B64" s="53" t="s">
        <v>100</v>
      </c>
      <c r="C64" s="53" t="s">
        <v>288</v>
      </c>
      <c r="D64" s="53" t="s">
        <v>97</v>
      </c>
      <c r="E64" s="114" t="n">
        <f aca="false">K64-(H64+I64)</f>
        <v>-43.6600000000001</v>
      </c>
      <c r="F64" s="53"/>
      <c r="G64" s="115" t="n">
        <v>46035</v>
      </c>
      <c r="H64" s="116" t="n">
        <v>0</v>
      </c>
      <c r="I64" s="116" t="n">
        <f aca="false">SUMIFS(OPmontant,OPcompte,$B64,OPdevise,$D64,OPcatégorie,"&lt;&gt;"&amp;Spéciale,OPlibellé,$C64,OPdate,"&gt;="&amp;$G64)</f>
        <v>588.83</v>
      </c>
      <c r="J64" s="115" t="n">
        <v>46120</v>
      </c>
      <c r="K64" s="114" t="n">
        <v>545.17</v>
      </c>
    </row>
    <row r="65" customFormat="false" ht="16.5" hidden="false" customHeight="true" outlineLevel="0" collapsed="false">
      <c r="A65" s="113" t="s">
        <v>248</v>
      </c>
      <c r="B65" s="33" t="s">
        <v>100</v>
      </c>
      <c r="C65" s="33" t="s">
        <v>73</v>
      </c>
      <c r="D65" s="33" t="s">
        <v>97</v>
      </c>
      <c r="E65" s="117" t="n">
        <f aca="false">K65-(H65+I65)</f>
        <v>1076.91</v>
      </c>
      <c r="F65" s="33"/>
      <c r="G65" s="118" t="n">
        <f aca="false">MIN(G41:G64)</f>
        <v>45516</v>
      </c>
      <c r="H65" s="119" t="n">
        <f aca="false">SUMPRODUCT(H41:H64*IFERROR(INDEX(COTcours,MATCH(D41:D64,COTcode,0)),1))/IFERROR(INDEX(COTcours,MATCH(D65,COTcode,0)),1)</f>
        <v>0</v>
      </c>
      <c r="I65" s="119" t="n">
        <f aca="false">SUMPRODUCT(I41:I64*IFERROR(INDEX(COTcours,MATCH(D41:D64,COTcode,0)),1))/IFERROR(INDEX(COTcours,MATCH(D65,COTcode,0)),1)</f>
        <v>11729.48</v>
      </c>
      <c r="J65" s="118" t="n">
        <f aca="false">J64</f>
        <v>46120</v>
      </c>
      <c r="K65" s="117" t="n">
        <f aca="false">SUMPRODUCT(K41:K64*IFERROR(INDEX(COTcours,MATCH(D41:D64,COTcode,0)),1))/IFERROR(INDEX(COTcours,MATCH(D65,COTcode,0)),1)</f>
        <v>12806.39</v>
      </c>
    </row>
    <row r="66" customFormat="false" ht="16.5" hidden="false" customHeight="true" outlineLevel="0" collapsed="false">
      <c r="A66" s="113" t="s">
        <v>248</v>
      </c>
      <c r="B66" s="33" t="s">
        <v>100</v>
      </c>
      <c r="C66" s="33" t="s">
        <v>254</v>
      </c>
      <c r="D66" s="33" t="s">
        <v>97</v>
      </c>
      <c r="E66" s="117" t="n">
        <f aca="false">K66-(H66+I66)</f>
        <v>-64.619999999999</v>
      </c>
      <c r="F66" s="33"/>
      <c r="G66" s="118" t="n">
        <f aca="false">_xlfn.MINIFS(OPdate,OPcompte,$B66,OPdevise,D66,OPcatégorie,Solde)</f>
        <v>45515</v>
      </c>
      <c r="H66" s="119" t="n">
        <f aca="false">SUMIFS(OPmontant,OPcompte,$B66,OPdevise,$D66,OPdate,$G66,OPcatégorie,Solde)</f>
        <v>0</v>
      </c>
      <c r="I66" s="119" t="n">
        <f aca="false">I65</f>
        <v>11729.48</v>
      </c>
      <c r="J66" s="118" t="n">
        <f aca="false">_xlfn.MAXIFS(OPdate,OPcompte,$B66,OPdevise,$D66,OPcatégorie,Solde)</f>
        <v>46048</v>
      </c>
      <c r="K66" s="117" t="n">
        <f aca="false">SUMIFS(OPmontant,OPcompte,$B66,OPdevise,$D66,OPcatégorie,Solde,OPdate,J66)</f>
        <v>11664.86</v>
      </c>
    </row>
    <row r="67" customFormat="false" ht="16.5" hidden="false" customHeight="true" outlineLevel="0" collapsed="false">
      <c r="A67" s="113" t="s">
        <v>248</v>
      </c>
      <c r="B67" s="33" t="s">
        <v>100</v>
      </c>
      <c r="C67" s="33" t="s">
        <v>78</v>
      </c>
      <c r="D67" s="33" t="s">
        <v>97</v>
      </c>
      <c r="E67" s="117" t="n">
        <f aca="false">K67-(H67+I67)</f>
        <v>1076.91</v>
      </c>
      <c r="F67" s="33"/>
      <c r="G67" s="118" t="n">
        <f aca="false">G66</f>
        <v>45515</v>
      </c>
      <c r="H67" s="119" t="n">
        <f aca="false">H66</f>
        <v>0</v>
      </c>
      <c r="I67" s="119" t="n">
        <f aca="false">I66</f>
        <v>11729.48</v>
      </c>
      <c r="J67" s="118" t="n">
        <f aca="false">IF(J65&gt;J66,J65,J66)</f>
        <v>46120</v>
      </c>
      <c r="K67" s="117" t="n">
        <f aca="false">IF(J65&gt;J66,K65,K66)</f>
        <v>12806.39</v>
      </c>
    </row>
    <row r="68" customFormat="false" ht="16.5" hidden="false" customHeight="true" outlineLevel="0" collapsed="false">
      <c r="A68" s="33"/>
      <c r="B68" s="53"/>
      <c r="C68" s="53"/>
      <c r="D68" s="53"/>
      <c r="E68" s="53"/>
      <c r="F68" s="53"/>
      <c r="G68" s="53"/>
      <c r="H68" s="53"/>
      <c r="I68" s="53"/>
      <c r="J68" s="53"/>
      <c r="K68" s="53"/>
    </row>
    <row r="69" customFormat="false" ht="16.5" hidden="false" customHeight="true" outlineLevel="0" collapsed="false">
      <c r="A69" s="113" t="s">
        <v>248</v>
      </c>
      <c r="B69" s="53" t="s">
        <v>101</v>
      </c>
      <c r="C69" s="53" t="s">
        <v>75</v>
      </c>
      <c r="D69" s="53"/>
      <c r="E69" s="114"/>
      <c r="F69" s="53"/>
      <c r="G69" s="115"/>
      <c r="H69" s="116"/>
      <c r="I69" s="116"/>
      <c r="J69" s="115"/>
      <c r="K69" s="114"/>
    </row>
    <row r="70" customFormat="false" ht="16.5" hidden="false" customHeight="true" outlineLevel="0" collapsed="false">
      <c r="A70" s="113" t="s">
        <v>248</v>
      </c>
      <c r="B70" s="53" t="s">
        <v>101</v>
      </c>
      <c r="C70" s="53" t="s">
        <v>289</v>
      </c>
      <c r="D70" s="53" t="s">
        <v>97</v>
      </c>
      <c r="E70" s="114" t="n">
        <f aca="false">K70-(H70+I70)</f>
        <v>93.5899999999999</v>
      </c>
      <c r="F70" s="53"/>
      <c r="G70" s="115" t="n">
        <v>45722</v>
      </c>
      <c r="H70" s="116" t="n">
        <v>0</v>
      </c>
      <c r="I70" s="116" t="n">
        <f aca="false">SUMIFS(OPmontant,OPcompte,$B70,OPdevise,$D70,OPcatégorie,"&lt;&gt;"&amp;Spéciale,OPlibellé,$C70,OPdate,"&gt;="&amp;$G70)</f>
        <v>2029.14</v>
      </c>
      <c r="J70" s="115" t="n">
        <v>46120</v>
      </c>
      <c r="K70" s="114" t="n">
        <v>2122.73</v>
      </c>
    </row>
    <row r="71" customFormat="false" ht="16.5" hidden="false" customHeight="true" outlineLevel="0" collapsed="false">
      <c r="A71" s="113" t="s">
        <v>248</v>
      </c>
      <c r="B71" s="53" t="s">
        <v>101</v>
      </c>
      <c r="C71" s="53" t="s">
        <v>290</v>
      </c>
      <c r="D71" s="53" t="s">
        <v>97</v>
      </c>
      <c r="E71" s="114" t="n">
        <f aca="false">K71-(H71+I71)</f>
        <v>124.89</v>
      </c>
      <c r="F71" s="53"/>
      <c r="G71" s="115" t="n">
        <v>46044</v>
      </c>
      <c r="H71" s="116" t="n">
        <v>0</v>
      </c>
      <c r="I71" s="116" t="n">
        <f aca="false">SUMIFS(OPmontant,OPcompte,$B71,OPdevise,$D71,OPcatégorie,"&lt;&gt;"&amp;Spéciale,OPlibellé,$C71,OPdate,"&gt;="&amp;$G71)</f>
        <v>329.37</v>
      </c>
      <c r="J71" s="115" t="n">
        <v>46120</v>
      </c>
      <c r="K71" s="114" t="n">
        <v>454.26</v>
      </c>
    </row>
    <row r="72" customFormat="false" ht="16.5" hidden="false" customHeight="true" outlineLevel="0" collapsed="false">
      <c r="A72" s="113" t="s">
        <v>248</v>
      </c>
      <c r="B72" s="53" t="s">
        <v>101</v>
      </c>
      <c r="C72" s="53" t="s">
        <v>291</v>
      </c>
      <c r="D72" s="53" t="s">
        <v>97</v>
      </c>
      <c r="E72" s="114" t="n">
        <f aca="false">K72-(H72+I72)</f>
        <v>2.72</v>
      </c>
      <c r="F72" s="53"/>
      <c r="G72" s="115" t="n">
        <v>45736</v>
      </c>
      <c r="H72" s="116" t="n">
        <v>0</v>
      </c>
      <c r="I72" s="116" t="n">
        <f aca="false">SUMIFS(OPmontant,OPcompte,$B72,OPdevise,$D72,OPcatégorie,"&lt;&gt;"&amp;Spéciale,OPlibellé,$C72,OPdate,"&gt;="&amp;$G72)</f>
        <v>63.14</v>
      </c>
      <c r="J72" s="115" t="n">
        <v>46120</v>
      </c>
      <c r="K72" s="114" t="n">
        <v>65.86</v>
      </c>
    </row>
    <row r="73" customFormat="false" ht="16.5" hidden="false" customHeight="true" outlineLevel="0" collapsed="false">
      <c r="A73" s="113" t="s">
        <v>248</v>
      </c>
      <c r="B73" s="33" t="s">
        <v>101</v>
      </c>
      <c r="C73" s="33" t="s">
        <v>73</v>
      </c>
      <c r="D73" s="33" t="s">
        <v>97</v>
      </c>
      <c r="E73" s="117" t="n">
        <f aca="false">K73-(H73+I73)</f>
        <v>221.2</v>
      </c>
      <c r="F73" s="33"/>
      <c r="G73" s="118" t="n">
        <f aca="false">MIN(G70:G72)</f>
        <v>45722</v>
      </c>
      <c r="H73" s="119" t="n">
        <f aca="false">SUMPRODUCT(H70:H72*IFERROR(INDEX(COTcours,MATCH(D70:D72,COTcode,0)),1))/IFERROR(INDEX(COTcours,MATCH(D73,COTcode,0)),1)</f>
        <v>0</v>
      </c>
      <c r="I73" s="119" t="n">
        <f aca="false">SUMPRODUCT(I70:I72*IFERROR(INDEX(COTcours,MATCH(D70:D72,COTcode,0)),1))/IFERROR(INDEX(COTcours,MATCH(D73,COTcode,0)),1)</f>
        <v>2421.65</v>
      </c>
      <c r="J73" s="118" t="n">
        <f aca="false">J72</f>
        <v>46120</v>
      </c>
      <c r="K73" s="117" t="n">
        <f aca="false">SUMPRODUCT(K70:K72*IFERROR(INDEX(COTcours,MATCH(D70:D72,COTcode,0)),1))/IFERROR(INDEX(COTcours,MATCH(D73,COTcode,0)),1)</f>
        <v>2642.85</v>
      </c>
    </row>
    <row r="74" customFormat="false" ht="16.5" hidden="false" customHeight="true" outlineLevel="0" collapsed="false">
      <c r="A74" s="113" t="s">
        <v>248</v>
      </c>
      <c r="B74" s="33" t="s">
        <v>101</v>
      </c>
      <c r="C74" s="33" t="s">
        <v>254</v>
      </c>
      <c r="D74" s="33" t="s">
        <v>97</v>
      </c>
      <c r="E74" s="117" t="n">
        <f aca="false">K74-(H74+I74)</f>
        <v>-1823.68</v>
      </c>
      <c r="F74" s="33"/>
      <c r="G74" s="118" t="n">
        <f aca="false">_xlfn.MINIFS(OPdate,OPcompte,$B74,OPdevise,D74,OPcatégorie,Solde)</f>
        <v>45724</v>
      </c>
      <c r="H74" s="119" t="n">
        <f aca="false">SUMIFS(OPmontant,OPcompte,$B74,OPdevise,$D74,OPdate,$G74,OPcatégorie,Solde)</f>
        <v>1892</v>
      </c>
      <c r="I74" s="119" t="n">
        <f aca="false">I73</f>
        <v>2421.65</v>
      </c>
      <c r="J74" s="118" t="n">
        <f aca="false">_xlfn.MAXIFS(OPdate,OPcompte,$B74,OPdevise,$D74,OPcatégorie,Solde)</f>
        <v>46083</v>
      </c>
      <c r="K74" s="117" t="n">
        <f aca="false">SUMIFS(OPmontant,OPcompte,$B74,OPdevise,$D74,OPcatégorie,Solde,OPdate,J74)</f>
        <v>2489.97</v>
      </c>
    </row>
    <row r="75" customFormat="false" ht="16.5" hidden="false" customHeight="true" outlineLevel="0" collapsed="false">
      <c r="A75" s="113" t="s">
        <v>248</v>
      </c>
      <c r="B75" s="33" t="s">
        <v>101</v>
      </c>
      <c r="C75" s="33" t="s">
        <v>78</v>
      </c>
      <c r="D75" s="33" t="s">
        <v>97</v>
      </c>
      <c r="E75" s="117" t="n">
        <f aca="false">K75-(H75+I75)</f>
        <v>-1670.8</v>
      </c>
      <c r="F75" s="33"/>
      <c r="G75" s="118" t="n">
        <f aca="false">G74</f>
        <v>45724</v>
      </c>
      <c r="H75" s="119" t="n">
        <f aca="false">H74</f>
        <v>1892</v>
      </c>
      <c r="I75" s="119" t="n">
        <f aca="false">I74</f>
        <v>2421.65</v>
      </c>
      <c r="J75" s="118" t="n">
        <f aca="false">IF(J73&gt;J74,J73,J74)</f>
        <v>46120</v>
      </c>
      <c r="K75" s="117" t="n">
        <f aca="false">IF(J73&gt;J74,K73,K74)</f>
        <v>2642.85</v>
      </c>
    </row>
    <row r="76" customFormat="false" ht="16.5" hidden="false" customHeight="true" outlineLevel="0" collapsed="false">
      <c r="A76" s="33"/>
      <c r="B76" s="53"/>
      <c r="C76" s="53"/>
      <c r="D76" s="53"/>
      <c r="E76" s="53"/>
      <c r="F76" s="53"/>
      <c r="G76" s="53"/>
      <c r="H76" s="53"/>
      <c r="I76" s="53"/>
      <c r="J76" s="53"/>
      <c r="K76" s="53"/>
    </row>
    <row r="77" customFormat="false" ht="16.5" hidden="false" customHeight="true" outlineLevel="0" collapsed="false">
      <c r="A77" s="113" t="s">
        <v>248</v>
      </c>
      <c r="B77" s="53" t="s">
        <v>102</v>
      </c>
      <c r="C77" s="53" t="s">
        <v>75</v>
      </c>
      <c r="D77" s="53"/>
      <c r="E77" s="120"/>
      <c r="F77" s="53"/>
      <c r="G77" s="115"/>
      <c r="H77" s="121"/>
      <c r="I77" s="121"/>
      <c r="J77" s="115"/>
      <c r="K77" s="120"/>
    </row>
    <row r="78" customFormat="false" ht="16.5" hidden="false" customHeight="true" outlineLevel="0" collapsed="false">
      <c r="A78" s="113" t="s">
        <v>248</v>
      </c>
      <c r="B78" s="53" t="s">
        <v>102</v>
      </c>
      <c r="C78" s="53" t="s">
        <v>292</v>
      </c>
      <c r="D78" s="53" t="s">
        <v>103</v>
      </c>
      <c r="E78" s="122" t="n">
        <f aca="false">K78-(H78+I78)</f>
        <v>-1.39</v>
      </c>
      <c r="F78" s="53"/>
      <c r="G78" s="115" t="n">
        <v>0</v>
      </c>
      <c r="H78" s="123" t="n">
        <v>2</v>
      </c>
      <c r="I78" s="123" t="n">
        <f aca="false">SUMIFS(OPmontant,OPcompte,$B78,OPdevise,$D78,OPcatégorie,"&lt;&gt;"&amp;Spéciale,OPlibellé,$C78,OPdate,"&gt;="&amp;$G78)</f>
        <v>1.99</v>
      </c>
      <c r="J78" s="115" t="n">
        <v>46120</v>
      </c>
      <c r="K78" s="122" t="n">
        <v>2.6</v>
      </c>
    </row>
    <row r="79" customFormat="false" ht="16.5" hidden="false" customHeight="true" outlineLevel="0" collapsed="false">
      <c r="A79" s="113" t="s">
        <v>248</v>
      </c>
      <c r="B79" s="53" t="s">
        <v>102</v>
      </c>
      <c r="C79" s="53" t="s">
        <v>293</v>
      </c>
      <c r="D79" s="53" t="s">
        <v>103</v>
      </c>
      <c r="E79" s="122" t="n">
        <f aca="false">K79-(H79+I79)</f>
        <v>-5.98</v>
      </c>
      <c r="F79" s="53"/>
      <c r="G79" s="115" t="n">
        <v>0</v>
      </c>
      <c r="H79" s="123" t="n">
        <v>0</v>
      </c>
      <c r="I79" s="123" t="n">
        <f aca="false">SUMIFS(OPmontant,OPcompte,$B79,OPdevise,$D79,OPcatégorie,"&lt;&gt;"&amp;Spéciale,OPlibellé,$C79,OPdate,"&gt;="&amp;$G79)</f>
        <v>5.98</v>
      </c>
      <c r="J79" s="115" t="n">
        <v>45924</v>
      </c>
      <c r="K79" s="122" t="n">
        <v>0</v>
      </c>
    </row>
    <row r="80" customFormat="false" ht="16.5" hidden="false" customHeight="true" outlineLevel="0" collapsed="false">
      <c r="A80" s="113" t="s">
        <v>248</v>
      </c>
      <c r="B80" s="53" t="s">
        <v>102</v>
      </c>
      <c r="C80" s="53" t="s">
        <v>294</v>
      </c>
      <c r="D80" s="53" t="s">
        <v>103</v>
      </c>
      <c r="E80" s="122" t="n">
        <f aca="false">K80-(H80+I80)</f>
        <v>-72.83</v>
      </c>
      <c r="F80" s="53"/>
      <c r="G80" s="115" t="n">
        <v>0</v>
      </c>
      <c r="H80" s="123" t="n">
        <v>0</v>
      </c>
      <c r="I80" s="123" t="n">
        <f aca="false">SUMIFS(OPmontant,OPcompte,$B80,OPdevise,$D80,OPcatégorie,"&lt;&gt;"&amp;Spéciale,OPlibellé,$C80,OPdate,"&gt;="&amp;$G80)</f>
        <v>200.15</v>
      </c>
      <c r="J80" s="115" t="n">
        <v>46120</v>
      </c>
      <c r="K80" s="122" t="n">
        <v>127.32</v>
      </c>
    </row>
    <row r="81" customFormat="false" ht="16.5" hidden="false" customHeight="true" outlineLevel="0" collapsed="false">
      <c r="A81" s="113" t="s">
        <v>248</v>
      </c>
      <c r="B81" s="53" t="s">
        <v>102</v>
      </c>
      <c r="C81" s="53" t="s">
        <v>295</v>
      </c>
      <c r="D81" s="53" t="s">
        <v>103</v>
      </c>
      <c r="E81" s="122" t="n">
        <f aca="false">K81-(H81+I81)</f>
        <v>141.94</v>
      </c>
      <c r="F81" s="53"/>
      <c r="G81" s="115" t="n">
        <v>0</v>
      </c>
      <c r="H81" s="123" t="n">
        <v>0</v>
      </c>
      <c r="I81" s="123" t="n">
        <f aca="false">SUMIFS(OPmontant,OPcompte,$B81,OPdevise,$D81,OPcatégorie,"&lt;&gt;"&amp;Spéciale,OPlibellé,$C81,OPdate,"&gt;="&amp;$G81)</f>
        <v>498.71</v>
      </c>
      <c r="J81" s="115" t="n">
        <v>46120</v>
      </c>
      <c r="K81" s="122" t="n">
        <v>640.65</v>
      </c>
    </row>
    <row r="82" customFormat="false" ht="16.5" hidden="false" customHeight="true" outlineLevel="0" collapsed="false">
      <c r="A82" s="113" t="s">
        <v>248</v>
      </c>
      <c r="B82" s="53" t="s">
        <v>102</v>
      </c>
      <c r="C82" s="53" t="s">
        <v>296</v>
      </c>
      <c r="D82" s="53" t="s">
        <v>103</v>
      </c>
      <c r="E82" s="122" t="n">
        <f aca="false">K82-(H82+I82)</f>
        <v>-7.39</v>
      </c>
      <c r="F82" s="53"/>
      <c r="G82" s="115" t="n">
        <v>0</v>
      </c>
      <c r="H82" s="123" t="n">
        <v>0</v>
      </c>
      <c r="I82" s="123" t="n">
        <f aca="false">SUMIFS(OPmontant,OPcompte,$B82,OPdevise,$D82,OPcatégorie,"&lt;&gt;"&amp;Spéciale,OPlibellé,$C82,OPdate,"&gt;="&amp;$G82)</f>
        <v>40.15</v>
      </c>
      <c r="J82" s="115" t="n">
        <v>46120</v>
      </c>
      <c r="K82" s="122" t="n">
        <v>32.76</v>
      </c>
    </row>
    <row r="83" customFormat="false" ht="16.5" hidden="false" customHeight="true" outlineLevel="0" collapsed="false">
      <c r="A83" s="113" t="s">
        <v>248</v>
      </c>
      <c r="B83" s="33" t="s">
        <v>102</v>
      </c>
      <c r="C83" s="33" t="s">
        <v>73</v>
      </c>
      <c r="D83" s="33" t="s">
        <v>103</v>
      </c>
      <c r="E83" s="124" t="n">
        <f aca="false">K83-(H83+I83)</f>
        <v>54.3499999999999</v>
      </c>
      <c r="F83" s="33"/>
      <c r="G83" s="118" t="n">
        <f aca="false">MIN(G78:G82)</f>
        <v>0</v>
      </c>
      <c r="H83" s="125" t="n">
        <f aca="false">SUMPRODUCT(H78:H82*IFERROR(INDEX(COTcours,MATCH(D78:D82,COTcode,0)),1))/IFERROR(INDEX(COTcours,MATCH(D83,COTcode,0)),1)</f>
        <v>2</v>
      </c>
      <c r="I83" s="125" t="n">
        <f aca="false">SUMPRODUCT(I78:I82*IFERROR(INDEX(COTcours,MATCH(D78:D82,COTcode,0)),1))/IFERROR(INDEX(COTcours,MATCH(D83,COTcode,0)),1)</f>
        <v>746.98</v>
      </c>
      <c r="J83" s="118" t="n">
        <f aca="false">J82</f>
        <v>46120</v>
      </c>
      <c r="K83" s="124" t="n">
        <f aca="false">SUMPRODUCT(K78:K82*IFERROR(INDEX(COTcours,MATCH(D78:D82,COTcode,0)),1))/IFERROR(INDEX(COTcours,MATCH(D83,COTcode,0)),1)</f>
        <v>803.33</v>
      </c>
    </row>
    <row r="84" customFormat="false" ht="16.5" hidden="false" customHeight="true" outlineLevel="0" collapsed="false">
      <c r="A84" s="113" t="s">
        <v>248</v>
      </c>
      <c r="B84" s="33" t="s">
        <v>102</v>
      </c>
      <c r="C84" s="33" t="s">
        <v>254</v>
      </c>
      <c r="D84" s="33" t="s">
        <v>103</v>
      </c>
      <c r="E84" s="124" t="n">
        <f aca="false">K84-(H84+I84)</f>
        <v>-36.52</v>
      </c>
      <c r="F84" s="33"/>
      <c r="G84" s="118" t="n">
        <f aca="false">_xlfn.MINIFS(OPdate,OPcompte,$B84,OPdevise,D84,OPcatégorie,Solde)</f>
        <v>45621</v>
      </c>
      <c r="H84" s="125" t="n">
        <f aca="false">SUMIFS(OPmontant,OPcompte,$B84,OPdevise,$D84,OPdate,$G84,OPcatégorie,Solde)</f>
        <v>0</v>
      </c>
      <c r="I84" s="125" t="n">
        <f aca="false">I83</f>
        <v>746.98</v>
      </c>
      <c r="J84" s="118" t="n">
        <f aca="false">_xlfn.MAXIFS(OPdate,OPcompte,$B84,OPdevise,$D84,OPcatégorie,Solde)</f>
        <v>46050</v>
      </c>
      <c r="K84" s="124" t="n">
        <f aca="false">SUMIFS(OPmontant,OPcompte,$B84,OPdevise,$D84,OPcatégorie,Solde,OPdate,J84)</f>
        <v>710.46</v>
      </c>
    </row>
    <row r="85" customFormat="false" ht="16.5" hidden="false" customHeight="true" outlineLevel="0" collapsed="false">
      <c r="A85" s="113" t="s">
        <v>248</v>
      </c>
      <c r="B85" s="33" t="s">
        <v>102</v>
      </c>
      <c r="C85" s="33" t="s">
        <v>78</v>
      </c>
      <c r="D85" s="33" t="s">
        <v>103</v>
      </c>
      <c r="E85" s="124" t="n">
        <f aca="false">K85-(H85+I85)</f>
        <v>56.3499999999999</v>
      </c>
      <c r="F85" s="33"/>
      <c r="G85" s="118" t="n">
        <f aca="false">G84</f>
        <v>45621</v>
      </c>
      <c r="H85" s="125" t="n">
        <f aca="false">H84</f>
        <v>0</v>
      </c>
      <c r="I85" s="125" t="n">
        <f aca="false">I84</f>
        <v>746.98</v>
      </c>
      <c r="J85" s="118" t="n">
        <f aca="false">IF(J83&gt;J84,J83,J84)</f>
        <v>46120</v>
      </c>
      <c r="K85" s="124" t="n">
        <f aca="false">IF(J83&gt;J84,K83,K84)</f>
        <v>803.33</v>
      </c>
    </row>
    <row r="86" customFormat="false" ht="16.5" hidden="false" customHeight="true" outlineLevel="0" collapsed="false">
      <c r="A86" s="33"/>
      <c r="B86" s="53"/>
      <c r="C86" s="53"/>
      <c r="D86" s="53"/>
      <c r="E86" s="53"/>
      <c r="F86" s="53"/>
      <c r="G86" s="53"/>
      <c r="H86" s="53"/>
      <c r="I86" s="53"/>
      <c r="J86" s="53"/>
      <c r="K86" s="53"/>
    </row>
    <row r="87" customFormat="false" ht="16.5" hidden="false" customHeight="true" outlineLevel="0" collapsed="false">
      <c r="A87" s="113" t="s">
        <v>297</v>
      </c>
      <c r="B87" s="53"/>
      <c r="C87" s="53"/>
      <c r="D87" s="53"/>
      <c r="E87" s="53"/>
      <c r="F87" s="53"/>
      <c r="G87" s="53"/>
      <c r="H87" s="53"/>
      <c r="I87" s="53"/>
      <c r="J87" s="53"/>
      <c r="K87" s="53"/>
    </row>
    <row r="88" customFormat="false" ht="16.5" hidden="false" customHeight="true" outlineLevel="0" collapsed="false">
      <c r="A88" s="113" t="s">
        <v>298</v>
      </c>
      <c r="B88" s="53" t="s">
        <v>145</v>
      </c>
      <c r="C88" s="53"/>
      <c r="D88" s="53" t="s">
        <v>146</v>
      </c>
      <c r="E88" s="114" t="n">
        <f aca="false">K88-(H88+I88)</f>
        <v>5461.3981818414</v>
      </c>
      <c r="F88" s="53"/>
      <c r="G88" s="115" t="n">
        <f aca="false">_xlfn.MINIFS(OPdate,OPcompte,B88,OPdevise,D88,OPcatégorie,Solde)</f>
        <v>45047</v>
      </c>
      <c r="H88" s="116" t="n">
        <f aca="false">SUMIFS(OPequiv_euro,OPcompte,B88,OPdevise,D88,OPcatégorie,Solde,OPdate,G88)</f>
        <v>0</v>
      </c>
      <c r="I88" s="116" t="n">
        <f aca="false">SUMIFS(OPequiv_euro,OPcompte,B88,OPdevise,D88,OPcatégorie,"&lt;&gt;"&amp;Spéciale,OPdate,"&gt;="&amp;G88)</f>
        <v>5006.17</v>
      </c>
      <c r="J88" s="115" t="n">
        <f aca="false">SUMIF(AVRintitulé,$B88,AVRdate_solde)</f>
        <v>45457</v>
      </c>
      <c r="K88" s="114" t="n">
        <f aca="false">SUMIF(AVRintitulé,$B88,AVRmontant_solde_euro)</f>
        <v>10467.5681818414</v>
      </c>
    </row>
    <row r="89" customFormat="false" ht="16.5" hidden="false" customHeight="true" outlineLevel="0" collapsed="false">
      <c r="A89" s="113" t="s">
        <v>298</v>
      </c>
      <c r="B89" s="53" t="s">
        <v>147</v>
      </c>
      <c r="C89" s="53"/>
      <c r="D89" s="53" t="s">
        <v>148</v>
      </c>
      <c r="E89" s="114" t="n">
        <f aca="false">K89-(H89+I89)</f>
        <v>-0.938851600000001</v>
      </c>
      <c r="F89" s="53"/>
      <c r="G89" s="115" t="n">
        <f aca="false">_xlfn.MINIFS(OPdate,OPcompte,B89,OPdevise,D89,OPcatégorie,Solde)</f>
        <v>45940</v>
      </c>
      <c r="H89" s="116" t="n">
        <f aca="false">SUMIFS(OPequiv_euro,OPcompte,B89,OPdevise,D89,OPcatégorie,Solde,OPdate,G89)</f>
        <v>0</v>
      </c>
      <c r="I89" s="116" t="n">
        <f aca="false">SUMIFS(OPequiv_euro,OPcompte,B89,OPdevise,D89,OPcatégorie,"&lt;&gt;"&amp;Spéciale,OPdate,"&gt;="&amp;G89)</f>
        <v>4.99</v>
      </c>
      <c r="J89" s="115" t="n">
        <f aca="false">SUMIF(AVRintitulé,$B89,AVRdate_solde)</f>
        <v>45941</v>
      </c>
      <c r="K89" s="114" t="n">
        <f aca="false">SUMIF(AVRintitulé,$B89,AVRmontant_solde_euro)</f>
        <v>4.0511484</v>
      </c>
    </row>
    <row r="90" customFormat="false" ht="16.5" hidden="false" customHeight="true" outlineLevel="0" collapsed="false">
      <c r="A90" s="113" t="s">
        <v>298</v>
      </c>
      <c r="B90" s="53" t="s">
        <v>149</v>
      </c>
      <c r="C90" s="53"/>
      <c r="D90" s="53" t="s">
        <v>150</v>
      </c>
      <c r="E90" s="114" t="n">
        <f aca="false">K90-(H90+I90)</f>
        <v>3203.3172</v>
      </c>
      <c r="F90" s="53"/>
      <c r="G90" s="115" t="n">
        <f aca="false">_xlfn.MINIFS(OPdate,OPcompte,B90,OPdevise,D90,OPcatégorie,Solde)</f>
        <v>45292</v>
      </c>
      <c r="H90" s="116" t="n">
        <f aca="false">SUMIFS(OPequiv_euro,OPcompte,B90,OPdevise,D90,OPcatégorie,Solde,OPdate,G90)</f>
        <v>0</v>
      </c>
      <c r="I90" s="116" t="n">
        <f aca="false">SUMIFS(OPequiv_euro,OPcompte,B90,OPdevise,D90,OPcatégorie,"&lt;&gt;"&amp;Spéciale,OPdate,"&gt;="&amp;G90)</f>
        <v>4082.01</v>
      </c>
      <c r="J90" s="115" t="n">
        <f aca="false">SUMIF(AVRintitulé,$B90,AVRdate_solde)</f>
        <v>46084</v>
      </c>
      <c r="K90" s="114" t="n">
        <f aca="false">SUMIF(AVRintitulé,$B90,AVRmontant_solde_euro)</f>
        <v>7285.3272</v>
      </c>
    </row>
    <row r="91" customFormat="false" ht="16.5" hidden="false" customHeight="true" outlineLevel="0" collapsed="false">
      <c r="A91" s="33"/>
      <c r="B91" s="53"/>
      <c r="C91" s="53"/>
      <c r="D91" s="53"/>
      <c r="E91" s="53"/>
      <c r="F91" s="53"/>
      <c r="G91" s="53"/>
      <c r="H91" s="53"/>
      <c r="I91" s="53"/>
      <c r="J91" s="53"/>
      <c r="K91" s="53"/>
    </row>
    <row r="92" customFormat="false" ht="16.5" hidden="false" customHeight="true" outlineLevel="0" collapsed="false">
      <c r="A92" s="113" t="s">
        <v>299</v>
      </c>
      <c r="B92" s="53"/>
      <c r="C92" s="53"/>
      <c r="D92" s="53"/>
      <c r="E92" s="53"/>
      <c r="F92" s="53"/>
      <c r="G92" s="53"/>
      <c r="H92" s="53"/>
      <c r="I92" s="53"/>
      <c r="J92" s="53"/>
      <c r="K92" s="53"/>
    </row>
    <row r="93" customFormat="false" ht="16.5" hidden="false" customHeight="true" outlineLevel="0" collapsed="false">
      <c r="A93" s="113" t="s">
        <v>300</v>
      </c>
      <c r="B93" s="53" t="s">
        <v>135</v>
      </c>
      <c r="C93" s="53"/>
      <c r="D93" s="53" t="s">
        <v>136</v>
      </c>
      <c r="E93" s="114" t="n">
        <f aca="false">K93-(H93+I93)</f>
        <v>361.6392248952</v>
      </c>
      <c r="F93" s="53"/>
      <c r="G93" s="115" t="n">
        <f aca="false">_xlfn.MINIFS(OPdate,OPcompte,B93,OPdevise,D93,OPcatégorie,Solde)</f>
        <v>44914</v>
      </c>
      <c r="H93" s="116" t="n">
        <f aca="false">SUMIFS(OPequiv_euro,OPcompte,B93,OPdevise,D93,OPcatégorie,Solde,OPdate,G93)</f>
        <v>0</v>
      </c>
      <c r="I93" s="116" t="n">
        <f aca="false">SUMIFS(OPequiv_euro,OPcompte,B93,OPdevise,D93,OPcatégorie,"&lt;&gt;"&amp;Spéciale,OPdate,"&gt;="&amp;G93)</f>
        <v>637.38</v>
      </c>
      <c r="J93" s="115" t="n">
        <f aca="false">SUMIF(AVRintitulé,$B93,AVRdate_solde)</f>
        <v>45539</v>
      </c>
      <c r="K93" s="114" t="n">
        <f aca="false">SUMIF(AVRintitulé,$B93,AVRmontant_solde_euro)</f>
        <v>999.0192248952</v>
      </c>
    </row>
    <row r="94" customFormat="false" ht="16.5" hidden="false" customHeight="true" outlineLevel="0" collapsed="false">
      <c r="A94" s="113" t="s">
        <v>300</v>
      </c>
      <c r="B94" s="53" t="s">
        <v>137</v>
      </c>
      <c r="C94" s="53"/>
      <c r="D94" s="53" t="s">
        <v>136</v>
      </c>
      <c r="E94" s="114" t="n">
        <f aca="false">K94-(H94+I94)</f>
        <v>3.2813104127</v>
      </c>
      <c r="F94" s="53"/>
      <c r="G94" s="115" t="n">
        <f aca="false">_xlfn.MINIFS(OPdate,OPcompte,B94,OPdevise,D94,OPcatégorie,Solde)</f>
        <v>44927</v>
      </c>
      <c r="H94" s="116" t="n">
        <f aca="false">SUMIFS(OPequiv_euro,OPcompte,B94,OPdevise,D94,OPcatégorie,Solde,OPdate,G94)</f>
        <v>0</v>
      </c>
      <c r="I94" s="116" t="n">
        <f aca="false">SUMIFS(OPequiv_euro,OPcompte,B94,OPdevise,D94,OPcatégorie,"&lt;&gt;"&amp;Spéciale,OPdate,"&gt;="&amp;G94)</f>
        <v>0.199999999999999</v>
      </c>
      <c r="J94" s="115" t="n">
        <f aca="false">SUMIF(AVRintitulé,$B94,AVRdate_solde)</f>
        <v>45292</v>
      </c>
      <c r="K94" s="114" t="n">
        <f aca="false">SUMIF(AVRintitulé,$B94,AVRmontant_solde_euro)</f>
        <v>3.4813104127</v>
      </c>
    </row>
    <row r="95" customFormat="false" ht="16.5" hidden="false" customHeight="true" outlineLevel="0" collapsed="false">
      <c r="A95" s="113" t="s">
        <v>300</v>
      </c>
      <c r="B95" s="53" t="s">
        <v>138</v>
      </c>
      <c r="C95" s="53"/>
      <c r="D95" s="53" t="s">
        <v>136</v>
      </c>
      <c r="E95" s="114" t="n">
        <f aca="false">K95-(H95+I95)</f>
        <v>1490.1198990885</v>
      </c>
      <c r="F95" s="53"/>
      <c r="G95" s="115" t="n">
        <f aca="false">_xlfn.MINIFS(OPdate,OPcompte,B95,OPdevise,D95,OPcatégorie,Solde)</f>
        <v>44927</v>
      </c>
      <c r="H95" s="116" t="n">
        <f aca="false">SUMIFS(OPequiv_euro,OPcompte,B95,OPdevise,D95,OPcatégorie,Solde,OPdate,G95)</f>
        <v>0</v>
      </c>
      <c r="I95" s="116" t="n">
        <f aca="false">SUMIFS(OPequiv_euro,OPcompte,B95,OPdevise,D95,OPcatégorie,"&lt;&gt;"&amp;Spéciale,OPdate,"&gt;="&amp;G95)</f>
        <v>2266.79</v>
      </c>
      <c r="J95" s="115" t="n">
        <f aca="false">SUMIF(AVRintitulé,$B95,AVRdate_solde)</f>
        <v>45538</v>
      </c>
      <c r="K95" s="114" t="n">
        <f aca="false">SUMIF(AVRintitulé,$B95,AVRmontant_solde_euro)</f>
        <v>3756.9098990885</v>
      </c>
    </row>
    <row r="96" customFormat="false" ht="16.5" hidden="false" customHeight="true" outlineLevel="0" collapsed="false">
      <c r="A96" s="113" t="s">
        <v>300</v>
      </c>
      <c r="B96" s="53" t="s">
        <v>139</v>
      </c>
      <c r="C96" s="53"/>
      <c r="D96" s="53" t="s">
        <v>136</v>
      </c>
      <c r="E96" s="114" t="n">
        <f aca="false">K96-(H96+I96)</f>
        <v>19.1657710029</v>
      </c>
      <c r="F96" s="53"/>
      <c r="G96" s="115" t="n">
        <f aca="false">_xlfn.MINIFS(OPdate,OPcompte,B96,OPdevise,D96,OPcatégorie,Solde)</f>
        <v>44927</v>
      </c>
      <c r="H96" s="116" t="n">
        <f aca="false">SUMIFS(OPequiv_euro,OPcompte,B96,OPdevise,D96,OPcatégorie,Solde,OPdate,G96)</f>
        <v>0</v>
      </c>
      <c r="I96" s="116" t="n">
        <f aca="false">SUMIFS(OPequiv_euro,OPcompte,B96,OPdevise,D96,OPcatégorie,"&lt;&gt;"&amp;Spéciale,OPdate,"&gt;="&amp;G96)</f>
        <v>10.87</v>
      </c>
      <c r="J96" s="115" t="n">
        <f aca="false">SUMIF(AVRintitulé,$B96,AVRdate_solde)</f>
        <v>45292</v>
      </c>
      <c r="K96" s="114" t="n">
        <f aca="false">SUMIF(AVRintitulé,$B96,AVRmontant_solde_euro)</f>
        <v>30.0357710029</v>
      </c>
    </row>
    <row r="97" customFormat="false" ht="16.5" hidden="false" customHeight="true" outlineLevel="0" collapsed="false">
      <c r="A97" s="113" t="s">
        <v>300</v>
      </c>
      <c r="B97" s="53" t="s">
        <v>140</v>
      </c>
      <c r="C97" s="53"/>
      <c r="D97" s="53" t="s">
        <v>141</v>
      </c>
      <c r="E97" s="114" t="n">
        <f aca="false">K97-(H97+I97)</f>
        <v>2248.4302844</v>
      </c>
      <c r="F97" s="53"/>
      <c r="G97" s="115" t="n">
        <f aca="false">_xlfn.MINIFS(OPdate,OPcompte,B97,OPdevise,D97,OPcatégorie,Solde)</f>
        <v>44927</v>
      </c>
      <c r="H97" s="116" t="n">
        <f aca="false">SUMIFS(OPequiv_euro,OPcompte,B97,OPdevise,D97,OPcatégorie,Solde,OPdate,G97)</f>
        <v>0</v>
      </c>
      <c r="I97" s="116" t="n">
        <f aca="false">SUMIFS(OPequiv_euro,OPcompte,B97,OPdevise,D97,OPcatégorie,"&lt;&gt;"&amp;Spéciale,OPdate,"&gt;="&amp;G97)</f>
        <v>2512.4575</v>
      </c>
      <c r="J97" s="115" t="n">
        <f aca="false">SUMIF(AVRintitulé,$B97,AVRdate_solde)</f>
        <v>45830</v>
      </c>
      <c r="K97" s="114" t="n">
        <f aca="false">SUMIF(AVRintitulé,$B97,AVRmontant_solde_euro)</f>
        <v>4760.8877844</v>
      </c>
    </row>
    <row r="98" customFormat="false" ht="16.5" hidden="false" customHeight="true" outlineLevel="0" collapsed="false">
      <c r="A98" s="113" t="s">
        <v>300</v>
      </c>
      <c r="B98" s="53" t="s">
        <v>142</v>
      </c>
      <c r="C98" s="53"/>
      <c r="D98" s="53" t="s">
        <v>141</v>
      </c>
      <c r="E98" s="114" t="n">
        <f aca="false">K98-(H98+I98)</f>
        <v>-11.4069204</v>
      </c>
      <c r="F98" s="53"/>
      <c r="G98" s="115" t="n">
        <f aca="false">_xlfn.MINIFS(OPdate,OPcompte,B98,OPdevise,D98,OPcatégorie,Solde)</f>
        <v>45826</v>
      </c>
      <c r="H98" s="116" t="n">
        <f aca="false">SUMIFS(OPequiv_euro,OPcompte,B98,OPdevise,D98,OPcatégorie,Solde,OPdate,G98)</f>
        <v>0</v>
      </c>
      <c r="I98" s="116" t="n">
        <f aca="false">SUMIFS(OPequiv_euro,OPcompte,B98,OPdevise,D98,OPcatégorie,"&lt;&gt;"&amp;Spéciale,OPdate,"&gt;="&amp;G98)</f>
        <v>861.39</v>
      </c>
      <c r="J98" s="115" t="n">
        <f aca="false">SUMIF(AVRintitulé,$B98,AVRdate_solde)</f>
        <v>46063</v>
      </c>
      <c r="K98" s="114" t="n">
        <f aca="false">SUMIF(AVRintitulé,$B98,AVRmontant_solde_euro)</f>
        <v>849.9830796</v>
      </c>
    </row>
    <row r="99" customFormat="false" ht="16.5" hidden="false" customHeight="true" outlineLevel="0" collapsed="false">
      <c r="A99" s="113" t="s">
        <v>300</v>
      </c>
      <c r="B99" s="53" t="s">
        <v>143</v>
      </c>
      <c r="C99" s="53"/>
      <c r="D99" s="53" t="s">
        <v>136</v>
      </c>
      <c r="E99" s="114" t="n">
        <f aca="false">K99-(H99+I99)</f>
        <v>-285.4237699701</v>
      </c>
      <c r="F99" s="53"/>
      <c r="G99" s="115" t="n">
        <f aca="false">_xlfn.MINIFS(OPdate,OPcompte,B99,OPdevise,D99,OPcatégorie,Solde)</f>
        <v>45923</v>
      </c>
      <c r="H99" s="116" t="n">
        <f aca="false">SUMIFS(OPequiv_euro,OPcompte,B99,OPdevise,D99,OPcatégorie,Solde,OPdate,G99)</f>
        <v>0</v>
      </c>
      <c r="I99" s="116" t="n">
        <f aca="false">SUMIFS(OPequiv_euro,OPcompte,B99,OPdevise,D99,OPcatégorie,"&lt;&gt;"&amp;Spéciale,OPdate,"&gt;="&amp;G99)</f>
        <v>811.42</v>
      </c>
      <c r="J99" s="115" t="n">
        <f aca="false">SUMIF(AVRintitulé,$B99,AVRdate_solde)</f>
        <v>45967</v>
      </c>
      <c r="K99" s="114" t="n">
        <f aca="false">SUMIF(AVRintitulé,$B99,AVRmontant_solde_euro)</f>
        <v>525.9962300299</v>
      </c>
    </row>
    <row r="100" customFormat="false" ht="16.5" hidden="false" customHeight="true" outlineLevel="0" collapsed="false">
      <c r="A100" s="113" t="s">
        <v>300</v>
      </c>
      <c r="B100" s="53" t="s">
        <v>144</v>
      </c>
      <c r="C100" s="53"/>
      <c r="D100" s="53" t="s">
        <v>136</v>
      </c>
      <c r="E100" s="114" t="n">
        <f aca="false">K100-(H100+I100)</f>
        <v>-78.9103913451</v>
      </c>
      <c r="F100" s="53"/>
      <c r="G100" s="115" t="n">
        <f aca="false">_xlfn.MINIFS(OPdate,OPcompte,B100,OPdevise,D100,OPcatégorie,Solde)</f>
        <v>45958</v>
      </c>
      <c r="H100" s="116" t="n">
        <f aca="false">SUMIFS(OPequiv_euro,OPcompte,B100,OPdevise,D100,OPcatégorie,Solde,OPdate,G100)</f>
        <v>0</v>
      </c>
      <c r="I100" s="116" t="n">
        <f aca="false">SUMIFS(OPequiv_euro,OPcompte,B100,OPdevise,D100,OPcatégorie,"&lt;&gt;"&amp;Spéciale,OPdate,"&gt;="&amp;G100)</f>
        <v>202.83</v>
      </c>
      <c r="J100" s="115" t="n">
        <f aca="false">SUMIF(AVRintitulé,$B100,AVRdate_solde)</f>
        <v>45959</v>
      </c>
      <c r="K100" s="114" t="n">
        <f aca="false">SUMIF(AVRintitulé,$B100,AVRmontant_solde_euro)</f>
        <v>123.9196086549</v>
      </c>
    </row>
    <row r="101" customFormat="false" ht="16.5" hidden="false" customHeight="true" outlineLevel="0" collapsed="false">
      <c r="A101" s="33"/>
      <c r="B101" s="53"/>
      <c r="C101" s="53"/>
      <c r="D101" s="53"/>
      <c r="E101" s="53"/>
      <c r="F101" s="53"/>
      <c r="G101" s="53"/>
      <c r="H101" s="53"/>
      <c r="I101" s="53"/>
      <c r="J101" s="53"/>
      <c r="K101" s="53"/>
    </row>
    <row r="102" customFormat="false" ht="16.5" hidden="false" customHeight="true" outlineLevel="0" collapsed="false">
      <c r="A102" s="113" t="s">
        <v>301</v>
      </c>
      <c r="B102" s="53"/>
      <c r="C102" s="53"/>
      <c r="D102" s="53"/>
      <c r="E102" s="53"/>
      <c r="F102" s="53"/>
      <c r="G102" s="53"/>
      <c r="H102" s="53"/>
      <c r="I102" s="53"/>
      <c r="J102" s="53"/>
      <c r="K102" s="53"/>
    </row>
    <row r="103" customFormat="false" ht="16.5" hidden="false" customHeight="true" outlineLevel="0" collapsed="false">
      <c r="A103" s="113" t="s">
        <v>302</v>
      </c>
      <c r="B103" s="53" t="s">
        <v>123</v>
      </c>
      <c r="C103" s="53"/>
      <c r="D103" s="53" t="s">
        <v>124</v>
      </c>
      <c r="E103" s="114" t="n">
        <f aca="false">K103-(H103+I103)</f>
        <v>-26.1908799999999</v>
      </c>
      <c r="F103" s="53"/>
      <c r="G103" s="115" t="n">
        <f aca="false">_xlfn.MINIFS(OPdate,OPcompte,B103,OPdevise,D103,OPcatégorie,Solde)</f>
        <v>46064</v>
      </c>
      <c r="H103" s="116" t="n">
        <f aca="false">SUMIFS(OPequiv_euro,OPcompte,B103,OPdevise,D103,OPcatégorie,Solde,OPdate,G103)</f>
        <v>0</v>
      </c>
      <c r="I103" s="116" t="n">
        <f aca="false">SUMIFS(OPequiv_euro,OPcompte,B103,OPdevise,D103,OPcatégorie,"&lt;&gt;"&amp;Spéciale,OPdate,"&gt;="&amp;G103)</f>
        <v>1690.48</v>
      </c>
      <c r="J103" s="115" t="n">
        <f aca="false">SUMIF(AVRintitulé,$B103,AVRdate_solde)</f>
        <v>46071</v>
      </c>
      <c r="K103" s="114" t="n">
        <f aca="false">SUMIF(AVRintitulé,$B103,AVRmontant_solde_euro)</f>
        <v>1664.28912</v>
      </c>
    </row>
    <row r="104" customFormat="false" ht="16.5" hidden="false" customHeight="true" outlineLevel="0" collapsed="false">
      <c r="A104" s="113" t="s">
        <v>302</v>
      </c>
      <c r="B104" s="53" t="s">
        <v>125</v>
      </c>
      <c r="C104" s="53"/>
      <c r="D104" s="53" t="s">
        <v>103</v>
      </c>
      <c r="E104" s="114" t="n">
        <f aca="false">K104-(H104+I104)</f>
        <v>-789.302633</v>
      </c>
      <c r="F104" s="53"/>
      <c r="G104" s="115" t="n">
        <f aca="false">_xlfn.MINIFS(OPdate,OPcompte,B104,OPdevise,D104,OPcatégorie,Solde)</f>
        <v>45652</v>
      </c>
      <c r="H104" s="116" t="n">
        <f aca="false">SUMIFS(OPequiv_euro,OPcompte,B104,OPdevise,D104,OPcatégorie,Solde,OPdate,G104)</f>
        <v>0</v>
      </c>
      <c r="I104" s="116" t="n">
        <f aca="false">SUMIFS(OPequiv_euro,OPcompte,B104,OPdevise,D104,OPcatégorie,"&lt;&gt;"&amp;Spéciale,OPdate,"&gt;="&amp;G104)</f>
        <v>5014.9</v>
      </c>
      <c r="J104" s="115" t="n">
        <f aca="false">SUMIF(AVRintitulé,$B104,AVRdate_solde)</f>
        <v>46071</v>
      </c>
      <c r="K104" s="114" t="n">
        <f aca="false">SUMIF(AVRintitulé,$B104,AVRmontant_solde_euro)</f>
        <v>4225.597367</v>
      </c>
    </row>
    <row r="105" customFormat="false" ht="16.5" hidden="false" customHeight="true" outlineLevel="0" collapsed="false">
      <c r="A105" s="113" t="s">
        <v>302</v>
      </c>
      <c r="B105" s="53" t="s">
        <v>127</v>
      </c>
      <c r="C105" s="53"/>
      <c r="D105" s="53" t="s">
        <v>128</v>
      </c>
      <c r="E105" s="114" t="n">
        <f aca="false">K105-(H105+I105)</f>
        <v>-45.999695</v>
      </c>
      <c r="F105" s="53"/>
      <c r="G105" s="115" t="n">
        <f aca="false">_xlfn.MINIFS(OPdate,OPcompte,B105,OPdevise,D105,OPcatégorie,Solde)</f>
        <v>45630</v>
      </c>
      <c r="H105" s="116" t="n">
        <f aca="false">SUMIFS(OPequiv_euro,OPcompte,B105,OPdevise,D105,OPcatégorie,Solde,OPdate,G105)</f>
        <v>0</v>
      </c>
      <c r="I105" s="116" t="n">
        <f aca="false">SUMIFS(OPequiv_euro,OPcompte,B105,OPdevise,D105,OPcatégorie,"&lt;&gt;"&amp;Spéciale,OPdate,"&gt;="&amp;G105)</f>
        <v>1188.68</v>
      </c>
      <c r="J105" s="115" t="n">
        <f aca="false">SUMIF(AVRintitulé,$B105,AVRdate_solde)</f>
        <v>45735</v>
      </c>
      <c r="K105" s="114" t="n">
        <f aca="false">SUMIF(AVRintitulé,$B105,AVRmontant_solde_euro)</f>
        <v>1142.680305</v>
      </c>
    </row>
    <row r="106" customFormat="false" ht="16.5" hidden="false" customHeight="true" outlineLevel="0" collapsed="false">
      <c r="A106" s="113" t="s">
        <v>302</v>
      </c>
      <c r="B106" s="53" t="s">
        <v>129</v>
      </c>
      <c r="C106" s="53"/>
      <c r="D106" s="53" t="s">
        <v>130</v>
      </c>
      <c r="E106" s="114" t="n">
        <f aca="false">K106-(H106+I106)</f>
        <v>-1.78911000000002</v>
      </c>
      <c r="F106" s="53"/>
      <c r="G106" s="115" t="n">
        <f aca="false">_xlfn.MINIFS(OPdate,OPcompte,B106,OPdevise,D106,OPcatégorie,Solde)</f>
        <v>45955</v>
      </c>
      <c r="H106" s="116" t="n">
        <f aca="false">SUMIFS(OPequiv_euro,OPcompte,B106,OPdevise,D106,OPcatégorie,Solde,OPdate,G106)</f>
        <v>0</v>
      </c>
      <c r="I106" s="116" t="n">
        <f aca="false">SUMIFS(OPequiv_euro,OPcompte,B106,OPdevise,D106,OPcatégorie,"&lt;&gt;"&amp;Spéciale,OPdate,"&gt;="&amp;G106)</f>
        <v>200.15</v>
      </c>
      <c r="J106" s="115" t="n">
        <f aca="false">SUMIF(AVRintitulé,$B106,AVRdate_solde)</f>
        <v>45956</v>
      </c>
      <c r="K106" s="114" t="n">
        <f aca="false">SUMIF(AVRintitulé,$B106,AVRmontant_solde_euro)</f>
        <v>198.36089</v>
      </c>
    </row>
    <row r="107" customFormat="false" ht="16.5" hidden="false" customHeight="true" outlineLevel="0" collapsed="false">
      <c r="A107" s="33"/>
      <c r="B107" s="53"/>
      <c r="C107" s="53"/>
      <c r="D107" s="53"/>
      <c r="E107" s="53"/>
      <c r="F107" s="53"/>
      <c r="G107" s="53"/>
      <c r="H107" s="53"/>
      <c r="I107" s="53"/>
      <c r="J107" s="53"/>
      <c r="K107" s="53"/>
    </row>
    <row r="108" customFormat="false" ht="16.5" hidden="false" customHeight="true" outlineLevel="0" collapsed="false">
      <c r="A108" s="113" t="s">
        <v>4</v>
      </c>
      <c r="B108" s="126"/>
      <c r="C108" s="127"/>
      <c r="D108" s="128"/>
      <c r="E108" s="127"/>
      <c r="F108" s="127"/>
      <c r="G108" s="129"/>
      <c r="H108" s="127"/>
      <c r="I108" s="127"/>
      <c r="J108" s="127"/>
      <c r="K108" s="127"/>
    </row>
    <row r="109" customFormat="false" ht="16.5" hidden="false" customHeight="true" outlineLevel="0" collapsed="false">
      <c r="A109" s="78" t="s">
        <v>80</v>
      </c>
      <c r="B109" s="78"/>
      <c r="C109" s="78"/>
      <c r="D109" s="80" t="s">
        <v>97</v>
      </c>
      <c r="E109" s="130" t="n">
        <f aca="false">SUM(E110:E113)</f>
        <v>17165.3392753255</v>
      </c>
      <c r="F109" s="131" t="n">
        <f aca="false">E109/(H109+I109)</f>
        <v>0.183689580325072</v>
      </c>
      <c r="G109" s="132" t="n">
        <f aca="false">MIN(G110:G113)</f>
        <v>43831</v>
      </c>
      <c r="H109" s="133" t="n">
        <f aca="false">SUM(H110:H113)</f>
        <v>73169.12</v>
      </c>
      <c r="I109" s="133" t="n">
        <f aca="false">SUM(I110:I113)</f>
        <v>20278.419294</v>
      </c>
      <c r="J109" s="134"/>
      <c r="K109" s="135" t="n">
        <f aca="false">SUM(K110:K113)</f>
        <v>110612.878569325</v>
      </c>
    </row>
    <row r="110" customFormat="false" ht="16.5" hidden="false" customHeight="true" outlineLevel="0" collapsed="false">
      <c r="A110" s="33" t="s">
        <v>303</v>
      </c>
      <c r="B110" s="33"/>
      <c r="C110" s="33"/>
      <c r="D110" s="23" t="s">
        <v>97</v>
      </c>
      <c r="E110" s="136" t="n">
        <f aca="false">K110-(H110+I110)</f>
        <v>5617.949655</v>
      </c>
      <c r="F110" s="137" t="n">
        <f aca="false">E110/(H110+I110)</f>
        <v>0.0814705421282747</v>
      </c>
      <c r="G110" s="138" t="n">
        <f aca="false">MIN(_xlfn.MINIFS(G:G,A:A,"portefeuilles",C:C,"Retenu",G:G,"&gt;0"))</f>
        <v>43831</v>
      </c>
      <c r="H110" s="139" t="n">
        <f aca="false">SUMPRODUCT((PVLsection="portefeuilles")*(PVLtitre="Retenu")*PVLmontant_init*IFERROR(INDEX(COTcours,MATCH(PVLdevise,COTcode,0)),1))</f>
        <v>73169.12</v>
      </c>
      <c r="I110" s="139" t="n">
        <f aca="false">SUMPRODUCT((PVLsection="portefeuilles")*(PVLtitre="Retenu")*PVLsigma*IFERROR(INDEX(COTcours,MATCH(PVLdevise,COTcode,0)),1))</f>
        <v>-4212.298206</v>
      </c>
      <c r="J110" s="138" t="n">
        <f aca="false">_xlfn.MAXIFS(J:J,A:A,"portefeuilles",C:C,"Retenu")</f>
        <v>46120</v>
      </c>
      <c r="K110" s="136" t="n">
        <f aca="false">SUMPRODUCT((PVLsection="portefeuilles")*(PVLtitre="Retenu")*PVLmontant*IFERROR(INDEX(COTcours,MATCH(PVLdevise,COTcode,0)),1))</f>
        <v>74574.771449</v>
      </c>
    </row>
    <row r="111" customFormat="false" ht="16.5" hidden="false" customHeight="true" outlineLevel="0" collapsed="false">
      <c r="A111" s="33" t="s">
        <v>304</v>
      </c>
      <c r="B111" s="33"/>
      <c r="C111" s="33"/>
      <c r="D111" s="23" t="s">
        <v>97</v>
      </c>
      <c r="E111" s="136" t="n">
        <f aca="false">K111-(H111+I111)</f>
        <v>8663.7765302414</v>
      </c>
      <c r="F111" s="137" t="n">
        <f aca="false">E111/(H111+I111)</f>
        <v>0.952778462322974</v>
      </c>
      <c r="G111" s="138" t="n">
        <f aca="false">MIN(_xlfn.MINIFS(G:G,A:A,"métaux",G:G,"&gt;0"))</f>
        <v>45047</v>
      </c>
      <c r="H111" s="139" t="n">
        <f aca="false">SUMIFS(PVLmontant_init,PVLsection,"métaux")</f>
        <v>0</v>
      </c>
      <c r="I111" s="139" t="n">
        <f aca="false">SUMIFS(PVLsigma,PVLsection,"métaux")</f>
        <v>9093.17</v>
      </c>
      <c r="J111" s="138" t="n">
        <f aca="false">_xlfn.MAXIFS(J:J,A:A,"métaux")</f>
        <v>46084</v>
      </c>
      <c r="K111" s="136" t="n">
        <f aca="false">SUMIFS(PVLmontant,PVLsection,"métaux")</f>
        <v>17756.9465302414</v>
      </c>
    </row>
    <row r="112" customFormat="false" ht="16.5" hidden="false" customHeight="true" outlineLevel="0" collapsed="false">
      <c r="A112" s="33" t="s">
        <v>305</v>
      </c>
      <c r="B112" s="33"/>
      <c r="C112" s="33"/>
      <c r="D112" s="23" t="s">
        <v>97</v>
      </c>
      <c r="E112" s="136" t="n">
        <f aca="false">K112-(H112+I112)</f>
        <v>3746.8954080841</v>
      </c>
      <c r="F112" s="137" t="n">
        <f aca="false">E112/(H112+I112)</f>
        <v>0.513038786456754</v>
      </c>
      <c r="G112" s="138" t="n">
        <f aca="false">MIN(_xlfn.MINIFS(G:G,A:A,"crypto",G:G,"&gt;0"))</f>
        <v>44914</v>
      </c>
      <c r="H112" s="139" t="n">
        <f aca="false">SUMIFS(PVLmontant_init,PVLsection,"crypto")</f>
        <v>0</v>
      </c>
      <c r="I112" s="139" t="n">
        <f aca="false">SUMIFS(PVLsigma,PVLsection,"crypto")</f>
        <v>7303.3375</v>
      </c>
      <c r="J112" s="138" t="n">
        <f aca="false">_xlfn.MAXIFS(J:J,A:A,"crypto")</f>
        <v>46063</v>
      </c>
      <c r="K112" s="136" t="n">
        <f aca="false">SUMIFS(PVLmontant,PVLsection,"crypto")</f>
        <v>11050.2329080841</v>
      </c>
    </row>
    <row r="113" customFormat="false" ht="16.5" hidden="false" customHeight="true" outlineLevel="0" collapsed="false">
      <c r="A113" s="33" t="s">
        <v>306</v>
      </c>
      <c r="B113" s="33"/>
      <c r="C113" s="33"/>
      <c r="D113" s="23" t="s">
        <v>97</v>
      </c>
      <c r="E113" s="136" t="n">
        <f aca="false">K113-(H113+I113)</f>
        <v>-863.282318000001</v>
      </c>
      <c r="F113" s="137" t="n">
        <f aca="false">E113/(H113+I113)</f>
        <v>-0.106654302025769</v>
      </c>
      <c r="G113" s="138" t="n">
        <f aca="false">MIN(_xlfn.MINIFS(G:G,A:A,"devises",G:G,"&gt;0"))</f>
        <v>45630</v>
      </c>
      <c r="H113" s="139" t="n">
        <f aca="false">SUMIFS(PVLmontant_init,PVLsection,"devises")</f>
        <v>0</v>
      </c>
      <c r="I113" s="139" t="n">
        <f aca="false">SUMIFS(PVLsigma,PVLsection,"devises")</f>
        <v>8094.21</v>
      </c>
      <c r="J113" s="138" t="n">
        <f aca="false">_xlfn.MAXIFS(J:J,A:A,"devises")</f>
        <v>46071</v>
      </c>
      <c r="K113" s="136" t="n">
        <f aca="false">SUMIFS(PVLmontant,PVLsection,"devises")</f>
        <v>7230.927682</v>
      </c>
    </row>
    <row r="114" customFormat="false" ht="17.25" hidden="false" customHeight="true" outlineLevel="0" collapsed="false"/>
    <row r="115" customFormat="false" ht="17.2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E109">
    <cfRule type="expression" priority="6" aboveAverage="0" equalAverage="0" bottom="0" percent="0" rank="0" text="" dxfId="1">
      <formula>ISERROR(INDIRECT("RC",0))</formula>
    </cfRule>
  </conditionalFormatting>
  <conditionalFormatting sqref="E3">
    <cfRule type="expression" priority="7" aboveAverage="0" equalAverage="0" bottom="0" percent="0" rank="0" text="" dxfId="1">
      <formula>ISERROR(INDIRECT("RC",0))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false" zeroHeight="false" outlineLevelRow="0" outlineLevelCol="0"/>
  <cols>
    <col collapsed="false" customWidth="true" hidden="false" outlineLevel="0" max="1" min="1" style="140" width="12.39"/>
    <col collapsed="false" customWidth="true" hidden="false" outlineLevel="0" max="2" min="2" style="45" width="34.31"/>
    <col collapsed="false" customWidth="true" hidden="false" outlineLevel="0" max="3" min="3" style="45" width="17"/>
    <col collapsed="false" customWidth="true" hidden="false" outlineLevel="0" max="4" min="4" style="45" width="10.33"/>
    <col collapsed="false" customWidth="true" hidden="false" outlineLevel="0" max="5" min="5" style="45" width="12.61"/>
    <col collapsed="false" customWidth="true" hidden="false" outlineLevel="0" max="6" min="6" style="45" width="8.13"/>
    <col collapsed="false" customWidth="true" hidden="false" outlineLevel="0" max="7" min="7" style="45" width="26.88"/>
    <col collapsed="false" customWidth="true" hidden="false" outlineLevel="0" max="8" min="8" style="45" width="24.9"/>
    <col collapsed="false" customWidth="true" hidden="false" outlineLevel="0" max="9" min="9" style="45" width="41.5"/>
    <col collapsed="false" customWidth="true" hidden="false" outlineLevel="0" max="10" min="10" style="45" width="29.83"/>
    <col collapsed="false" customWidth="true" hidden="false" outlineLevel="0" max="11" min="11" style="45" width="22.83"/>
    <col collapsed="false" customWidth="false" hidden="false" outlineLevel="0" max="16379" min="12" style="45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8" t="s">
        <v>307</v>
      </c>
      <c r="B1" s="5"/>
      <c r="C1" s="5"/>
      <c r="D1" s="5"/>
      <c r="E1" s="141"/>
      <c r="F1" s="11" t="s">
        <v>308</v>
      </c>
      <c r="G1" s="5"/>
      <c r="H1" s="5"/>
      <c r="I1" s="5"/>
    </row>
    <row r="2" customFormat="false" ht="16.5" hidden="false" customHeight="true" outlineLevel="0" collapsed="false">
      <c r="A2" s="142" t="n">
        <f aca="true">TODAY()</f>
        <v>46305</v>
      </c>
      <c r="B2" s="10" t="str">
        <f aca="false">Contrôles!K$70</f>
        <v>⚠</v>
      </c>
      <c r="C2" s="143"/>
      <c r="D2" s="5"/>
      <c r="E2" s="141"/>
      <c r="F2" s="144" t="s">
        <v>309</v>
      </c>
      <c r="G2" s="11" t="str">
        <f aca="false">"Opérations : "&amp;COUNTIF(OPdate,"&lt;"&amp;DATE(année_courante,12,31))</f>
        <v>Opérations : 1982</v>
      </c>
      <c r="H2" s="5"/>
      <c r="I2" s="5"/>
    </row>
    <row r="3" customFormat="false" ht="37.5" hidden="false" customHeight="true" outlineLevel="0" collapsed="false">
      <c r="A3" s="50" t="s">
        <v>93</v>
      </c>
      <c r="B3" s="50" t="s">
        <v>310</v>
      </c>
      <c r="C3" s="50" t="s">
        <v>94</v>
      </c>
      <c r="D3" s="50" t="s">
        <v>90</v>
      </c>
      <c r="E3" s="50" t="s">
        <v>311</v>
      </c>
      <c r="F3" s="52" t="s">
        <v>312</v>
      </c>
      <c r="G3" s="50" t="s">
        <v>313</v>
      </c>
      <c r="H3" s="50" t="s">
        <v>77</v>
      </c>
      <c r="I3" s="48" t="s">
        <v>314</v>
      </c>
    </row>
    <row r="4" customFormat="false" ht="14.25" hidden="false" customHeight="true" outlineLevel="0" collapsed="false">
      <c r="A4" s="145" t="s">
        <v>4</v>
      </c>
      <c r="B4" s="146"/>
      <c r="C4" s="147"/>
      <c r="D4" s="148"/>
      <c r="E4" s="147"/>
      <c r="F4" s="149"/>
      <c r="G4" s="150"/>
      <c r="H4" s="150"/>
      <c r="I4" s="146"/>
    </row>
    <row r="5" customFormat="false" ht="16.5" hidden="false" customHeight="true" outlineLevel="0" collapsed="false">
      <c r="A5" s="151" t="n">
        <v>43831</v>
      </c>
      <c r="B5" s="152" t="s">
        <v>60</v>
      </c>
      <c r="C5" s="153" t="n">
        <v>26801.73</v>
      </c>
      <c r="D5" s="154" t="s">
        <v>97</v>
      </c>
      <c r="E5" s="153"/>
      <c r="F5" s="154"/>
      <c r="G5" s="152" t="s">
        <v>315</v>
      </c>
      <c r="H5" s="152" t="s">
        <v>99</v>
      </c>
      <c r="I5" s="152"/>
    </row>
    <row r="6" customFormat="false" ht="16.5" hidden="false" customHeight="true" outlineLevel="0" collapsed="false">
      <c r="A6" s="151" t="n">
        <v>43998</v>
      </c>
      <c r="B6" s="152"/>
      <c r="C6" s="153" t="n">
        <v>1330.28</v>
      </c>
      <c r="D6" s="154" t="s">
        <v>97</v>
      </c>
      <c r="E6" s="153"/>
      <c r="F6" s="154"/>
      <c r="G6" s="152" t="s">
        <v>229</v>
      </c>
      <c r="H6" s="152" t="s">
        <v>99</v>
      </c>
      <c r="I6" s="152"/>
    </row>
    <row r="7" customFormat="false" ht="16.5" hidden="false" customHeight="true" outlineLevel="0" collapsed="false">
      <c r="A7" s="151" t="n">
        <v>43998</v>
      </c>
      <c r="B7" s="152"/>
      <c r="C7" s="153" t="n">
        <v>-1330.28</v>
      </c>
      <c r="D7" s="154" t="s">
        <v>97</v>
      </c>
      <c r="E7" s="153"/>
      <c r="F7" s="154" t="s">
        <v>316</v>
      </c>
      <c r="G7" s="152" t="s">
        <v>191</v>
      </c>
      <c r="H7" s="152" t="s">
        <v>99</v>
      </c>
      <c r="I7" s="152"/>
    </row>
    <row r="8" customFormat="false" ht="16.5" hidden="false" customHeight="true" outlineLevel="0" collapsed="false">
      <c r="A8" s="151" t="n">
        <v>43998</v>
      </c>
      <c r="B8" s="152" t="s">
        <v>317</v>
      </c>
      <c r="C8" s="153" t="n">
        <v>1330.28</v>
      </c>
      <c r="D8" s="154" t="s">
        <v>97</v>
      </c>
      <c r="E8" s="153"/>
      <c r="F8" s="154" t="s">
        <v>316</v>
      </c>
      <c r="G8" s="152" t="s">
        <v>191</v>
      </c>
      <c r="H8" s="152" t="s">
        <v>99</v>
      </c>
      <c r="I8" s="152"/>
    </row>
    <row r="9" customFormat="false" ht="16.5" hidden="false" customHeight="true" outlineLevel="0" collapsed="false">
      <c r="A9" s="151" t="n">
        <v>44094</v>
      </c>
      <c r="B9" s="152"/>
      <c r="C9" s="153" t="n">
        <v>120.26</v>
      </c>
      <c r="D9" s="154" t="s">
        <v>97</v>
      </c>
      <c r="E9" s="153"/>
      <c r="F9" s="154"/>
      <c r="G9" s="152" t="s">
        <v>229</v>
      </c>
      <c r="H9" s="152" t="s">
        <v>99</v>
      </c>
      <c r="I9" s="152"/>
    </row>
    <row r="10" customFormat="false" ht="16.5" hidden="false" customHeight="true" outlineLevel="0" collapsed="false">
      <c r="A10" s="151" t="n">
        <v>44094</v>
      </c>
      <c r="B10" s="152"/>
      <c r="C10" s="153" t="n">
        <v>-120.26</v>
      </c>
      <c r="D10" s="154" t="s">
        <v>97</v>
      </c>
      <c r="E10" s="153"/>
      <c r="F10" s="154" t="s">
        <v>318</v>
      </c>
      <c r="G10" s="152" t="s">
        <v>191</v>
      </c>
      <c r="H10" s="152" t="s">
        <v>99</v>
      </c>
      <c r="I10" s="152"/>
    </row>
    <row r="11" customFormat="false" ht="16.5" hidden="false" customHeight="true" outlineLevel="0" collapsed="false">
      <c r="A11" s="151" t="n">
        <v>44094</v>
      </c>
      <c r="B11" s="152" t="s">
        <v>317</v>
      </c>
      <c r="C11" s="153" t="n">
        <v>120.26</v>
      </c>
      <c r="D11" s="154" t="s">
        <v>97</v>
      </c>
      <c r="E11" s="153"/>
      <c r="F11" s="154" t="s">
        <v>318</v>
      </c>
      <c r="G11" s="152" t="s">
        <v>191</v>
      </c>
      <c r="H11" s="152" t="s">
        <v>99</v>
      </c>
      <c r="I11" s="152"/>
    </row>
    <row r="12" customFormat="false" ht="16.5" hidden="false" customHeight="true" outlineLevel="0" collapsed="false">
      <c r="A12" s="151" t="n">
        <v>44172</v>
      </c>
      <c r="B12" s="152" t="s">
        <v>319</v>
      </c>
      <c r="C12" s="153" t="n">
        <v>-1006.99</v>
      </c>
      <c r="D12" s="154" t="s">
        <v>97</v>
      </c>
      <c r="E12" s="153"/>
      <c r="F12" s="154" t="s">
        <v>320</v>
      </c>
      <c r="G12" s="152" t="s">
        <v>192</v>
      </c>
      <c r="H12" s="152" t="s">
        <v>99</v>
      </c>
      <c r="I12" s="152"/>
    </row>
    <row r="13" customFormat="false" ht="16.5" hidden="false" customHeight="true" outlineLevel="0" collapsed="false">
      <c r="A13" s="151" t="n">
        <v>44172</v>
      </c>
      <c r="B13" s="152" t="s">
        <v>321</v>
      </c>
      <c r="C13" s="153" t="n">
        <v>-1006.18</v>
      </c>
      <c r="D13" s="154" t="s">
        <v>97</v>
      </c>
      <c r="E13" s="153"/>
      <c r="F13" s="154" t="s">
        <v>320</v>
      </c>
      <c r="G13" s="152" t="s">
        <v>192</v>
      </c>
      <c r="H13" s="152" t="s">
        <v>99</v>
      </c>
      <c r="I13" s="152"/>
    </row>
    <row r="14" customFormat="false" ht="16.5" hidden="false" customHeight="true" outlineLevel="0" collapsed="false">
      <c r="A14" s="151" t="n">
        <v>44172</v>
      </c>
      <c r="B14" s="152" t="s">
        <v>322</v>
      </c>
      <c r="C14" s="153" t="n">
        <v>-4023.16</v>
      </c>
      <c r="D14" s="154" t="s">
        <v>97</v>
      </c>
      <c r="E14" s="153"/>
      <c r="F14" s="154" t="s">
        <v>320</v>
      </c>
      <c r="G14" s="152" t="s">
        <v>192</v>
      </c>
      <c r="H14" s="152" t="s">
        <v>99</v>
      </c>
      <c r="I14" s="152"/>
    </row>
    <row r="15" customFormat="false" ht="16.5" hidden="false" customHeight="true" outlineLevel="0" collapsed="false">
      <c r="A15" s="151" t="n">
        <v>44172</v>
      </c>
      <c r="B15" s="152" t="s">
        <v>323</v>
      </c>
      <c r="C15" s="153" t="n">
        <v>-2008.31</v>
      </c>
      <c r="D15" s="154" t="s">
        <v>97</v>
      </c>
      <c r="E15" s="153"/>
      <c r="F15" s="154" t="s">
        <v>320</v>
      </c>
      <c r="G15" s="152" t="s">
        <v>192</v>
      </c>
      <c r="H15" s="152" t="s">
        <v>99</v>
      </c>
      <c r="I15" s="152"/>
    </row>
    <row r="16" customFormat="false" ht="16.5" hidden="false" customHeight="true" outlineLevel="0" collapsed="false">
      <c r="A16" s="151" t="n">
        <v>44182</v>
      </c>
      <c r="B16" s="152" t="s">
        <v>322</v>
      </c>
      <c r="C16" s="153" t="n">
        <v>-1420.76</v>
      </c>
      <c r="D16" s="154" t="s">
        <v>97</v>
      </c>
      <c r="E16" s="153"/>
      <c r="F16" s="154" t="s">
        <v>320</v>
      </c>
      <c r="G16" s="152" t="s">
        <v>192</v>
      </c>
      <c r="H16" s="152" t="s">
        <v>99</v>
      </c>
      <c r="I16" s="152"/>
    </row>
    <row r="17" customFormat="false" ht="16.5" hidden="false" customHeight="true" outlineLevel="0" collapsed="false">
      <c r="A17" s="151" t="n">
        <v>44182</v>
      </c>
      <c r="B17" s="152" t="s">
        <v>323</v>
      </c>
      <c r="C17" s="153" t="n">
        <v>-2588.54</v>
      </c>
      <c r="D17" s="154" t="s">
        <v>97</v>
      </c>
      <c r="E17" s="153"/>
      <c r="F17" s="154" t="s">
        <v>320</v>
      </c>
      <c r="G17" s="152" t="s">
        <v>192</v>
      </c>
      <c r="H17" s="152" t="s">
        <v>99</v>
      </c>
      <c r="I17" s="152"/>
    </row>
    <row r="18" customFormat="false" ht="16.5" hidden="false" customHeight="true" outlineLevel="0" collapsed="false">
      <c r="A18" s="151" t="n">
        <v>44182</v>
      </c>
      <c r="B18" s="152"/>
      <c r="C18" s="153" t="n">
        <v>12053.94</v>
      </c>
      <c r="D18" s="154" t="s">
        <v>97</v>
      </c>
      <c r="E18" s="153"/>
      <c r="F18" s="154" t="s">
        <v>320</v>
      </c>
      <c r="G18" s="152" t="s">
        <v>192</v>
      </c>
      <c r="H18" s="152" t="s">
        <v>106</v>
      </c>
      <c r="I18" s="152"/>
    </row>
    <row r="19" customFormat="false" ht="16.5" hidden="false" customHeight="true" outlineLevel="0" collapsed="false">
      <c r="A19" s="151" t="n">
        <v>44214</v>
      </c>
      <c r="B19" s="152" t="s">
        <v>60</v>
      </c>
      <c r="C19" s="153" t="n">
        <v>15311.21</v>
      </c>
      <c r="D19" s="154" t="s">
        <v>97</v>
      </c>
      <c r="E19" s="153"/>
      <c r="F19" s="154"/>
      <c r="G19" s="152" t="s">
        <v>315</v>
      </c>
      <c r="H19" s="152" t="s">
        <v>98</v>
      </c>
      <c r="I19" s="152"/>
    </row>
    <row r="20" customFormat="false" ht="16.5" hidden="false" customHeight="true" outlineLevel="0" collapsed="false">
      <c r="A20" s="151" t="n">
        <v>44238</v>
      </c>
      <c r="B20" s="152" t="s">
        <v>60</v>
      </c>
      <c r="C20" s="153" t="n">
        <v>29164.18</v>
      </c>
      <c r="D20" s="154" t="s">
        <v>97</v>
      </c>
      <c r="E20" s="153"/>
      <c r="F20" s="154"/>
      <c r="G20" s="152" t="s">
        <v>315</v>
      </c>
      <c r="H20" s="152" t="s">
        <v>96</v>
      </c>
      <c r="I20" s="152"/>
    </row>
    <row r="21" customFormat="false" ht="16.5" hidden="false" customHeight="true" outlineLevel="0" collapsed="false">
      <c r="A21" s="151" t="n">
        <v>44320</v>
      </c>
      <c r="B21" s="152" t="s">
        <v>324</v>
      </c>
      <c r="C21" s="153" t="n">
        <v>-3092.68</v>
      </c>
      <c r="D21" s="154" t="s">
        <v>97</v>
      </c>
      <c r="E21" s="153"/>
      <c r="F21" s="154" t="s">
        <v>325</v>
      </c>
      <c r="G21" s="152" t="s">
        <v>193</v>
      </c>
      <c r="H21" s="152" t="s">
        <v>98</v>
      </c>
      <c r="I21" s="152"/>
    </row>
    <row r="22" customFormat="false" ht="16.5" hidden="false" customHeight="true" outlineLevel="0" collapsed="false">
      <c r="A22" s="151" t="n">
        <v>44320</v>
      </c>
      <c r="B22" s="152" t="s">
        <v>326</v>
      </c>
      <c r="C22" s="153" t="n">
        <v>3092.68</v>
      </c>
      <c r="D22" s="154" t="s">
        <v>97</v>
      </c>
      <c r="E22" s="153"/>
      <c r="F22" s="154" t="s">
        <v>325</v>
      </c>
      <c r="G22" s="152" t="s">
        <v>193</v>
      </c>
      <c r="H22" s="152" t="s">
        <v>98</v>
      </c>
      <c r="I22" s="152"/>
    </row>
    <row r="23" customFormat="false" ht="16.5" hidden="false" customHeight="true" outlineLevel="0" collapsed="false">
      <c r="A23" s="151" t="n">
        <v>44344</v>
      </c>
      <c r="B23" s="152"/>
      <c r="C23" s="153" t="n">
        <v>534.24</v>
      </c>
      <c r="D23" s="154" t="s">
        <v>97</v>
      </c>
      <c r="E23" s="153"/>
      <c r="F23" s="154"/>
      <c r="G23" s="152" t="s">
        <v>229</v>
      </c>
      <c r="H23" s="152" t="s">
        <v>99</v>
      </c>
      <c r="I23" s="152"/>
    </row>
    <row r="24" customFormat="false" ht="16.5" hidden="false" customHeight="true" outlineLevel="0" collapsed="false">
      <c r="A24" s="151" t="n">
        <v>44344</v>
      </c>
      <c r="B24" s="152"/>
      <c r="C24" s="153" t="n">
        <v>-534.24</v>
      </c>
      <c r="D24" s="154" t="s">
        <v>97</v>
      </c>
      <c r="E24" s="153"/>
      <c r="F24" s="154" t="s">
        <v>327</v>
      </c>
      <c r="G24" s="152" t="s">
        <v>191</v>
      </c>
      <c r="H24" s="152" t="s">
        <v>99</v>
      </c>
      <c r="I24" s="152"/>
    </row>
    <row r="25" customFormat="false" ht="16.5" hidden="false" customHeight="true" outlineLevel="0" collapsed="false">
      <c r="A25" s="151" t="n">
        <v>44344</v>
      </c>
      <c r="B25" s="152" t="s">
        <v>328</v>
      </c>
      <c r="C25" s="153" t="n">
        <v>534.24</v>
      </c>
      <c r="D25" s="154" t="s">
        <v>97</v>
      </c>
      <c r="E25" s="153"/>
      <c r="F25" s="154" t="s">
        <v>327</v>
      </c>
      <c r="G25" s="152" t="s">
        <v>191</v>
      </c>
      <c r="H25" s="152" t="s">
        <v>99</v>
      </c>
      <c r="I25" s="152"/>
    </row>
    <row r="26" customFormat="false" ht="16.5" hidden="false" customHeight="true" outlineLevel="0" collapsed="false">
      <c r="A26" s="151" t="n">
        <v>44346</v>
      </c>
      <c r="B26" s="152" t="s">
        <v>324</v>
      </c>
      <c r="C26" s="153" t="n">
        <v>-7021.03</v>
      </c>
      <c r="D26" s="154" t="s">
        <v>97</v>
      </c>
      <c r="E26" s="153"/>
      <c r="F26" s="154" t="s">
        <v>329</v>
      </c>
      <c r="G26" s="152" t="s">
        <v>193</v>
      </c>
      <c r="H26" s="152" t="s">
        <v>96</v>
      </c>
      <c r="I26" s="152"/>
    </row>
    <row r="27" customFormat="false" ht="16.5" hidden="false" customHeight="true" outlineLevel="0" collapsed="false">
      <c r="A27" s="151" t="n">
        <v>44346</v>
      </c>
      <c r="B27" s="152" t="s">
        <v>330</v>
      </c>
      <c r="C27" s="153" t="n">
        <v>7165.28</v>
      </c>
      <c r="D27" s="154" t="s">
        <v>97</v>
      </c>
      <c r="E27" s="153"/>
      <c r="F27" s="154" t="s">
        <v>329</v>
      </c>
      <c r="G27" s="152" t="s">
        <v>193</v>
      </c>
      <c r="H27" s="152" t="s">
        <v>96</v>
      </c>
      <c r="I27" s="152"/>
    </row>
    <row r="28" customFormat="false" ht="16.5" hidden="false" customHeight="true" outlineLevel="0" collapsed="false">
      <c r="A28" s="151" t="n">
        <v>44346</v>
      </c>
      <c r="B28" s="152" t="s">
        <v>330</v>
      </c>
      <c r="C28" s="153" t="n">
        <v>-144.25</v>
      </c>
      <c r="D28" s="154" t="s">
        <v>97</v>
      </c>
      <c r="E28" s="153"/>
      <c r="F28" s="154" t="s">
        <v>329</v>
      </c>
      <c r="G28" s="152" t="s">
        <v>193</v>
      </c>
      <c r="H28" s="152" t="s">
        <v>96</v>
      </c>
      <c r="I28" s="152"/>
    </row>
    <row r="29" customFormat="false" ht="16.5" hidden="false" customHeight="true" outlineLevel="0" collapsed="false">
      <c r="A29" s="151" t="n">
        <v>44352</v>
      </c>
      <c r="B29" s="152" t="s">
        <v>324</v>
      </c>
      <c r="C29" s="153" t="n">
        <v>-921.11</v>
      </c>
      <c r="D29" s="154" t="s">
        <v>97</v>
      </c>
      <c r="E29" s="153"/>
      <c r="F29" s="154" t="s">
        <v>331</v>
      </c>
      <c r="G29" s="152" t="s">
        <v>193</v>
      </c>
      <c r="H29" s="152" t="s">
        <v>98</v>
      </c>
      <c r="I29" s="152"/>
    </row>
    <row r="30" customFormat="false" ht="16.5" hidden="false" customHeight="true" outlineLevel="0" collapsed="false">
      <c r="A30" s="151" t="n">
        <v>44352</v>
      </c>
      <c r="B30" s="152" t="s">
        <v>326</v>
      </c>
      <c r="C30" s="153" t="n">
        <v>-3087.66</v>
      </c>
      <c r="D30" s="154" t="s">
        <v>97</v>
      </c>
      <c r="E30" s="153"/>
      <c r="F30" s="154" t="s">
        <v>331</v>
      </c>
      <c r="G30" s="152" t="s">
        <v>193</v>
      </c>
      <c r="H30" s="152" t="s">
        <v>98</v>
      </c>
      <c r="I30" s="152"/>
    </row>
    <row r="31" customFormat="false" ht="16.5" hidden="false" customHeight="true" outlineLevel="0" collapsed="false">
      <c r="A31" s="151" t="n">
        <v>44352</v>
      </c>
      <c r="B31" s="152" t="s">
        <v>332</v>
      </c>
      <c r="C31" s="153" t="n">
        <v>4008.77</v>
      </c>
      <c r="D31" s="154" t="s">
        <v>97</v>
      </c>
      <c r="E31" s="153"/>
      <c r="F31" s="154" t="s">
        <v>331</v>
      </c>
      <c r="G31" s="152" t="s">
        <v>193</v>
      </c>
      <c r="H31" s="152" t="s">
        <v>98</v>
      </c>
      <c r="I31" s="152"/>
    </row>
    <row r="32" customFormat="false" ht="16.5" hidden="false" customHeight="true" outlineLevel="0" collapsed="false">
      <c r="A32" s="151" t="n">
        <v>44398</v>
      </c>
      <c r="B32" s="152"/>
      <c r="C32" s="153" t="n">
        <v>52.31</v>
      </c>
      <c r="D32" s="154" t="s">
        <v>97</v>
      </c>
      <c r="E32" s="153"/>
      <c r="F32" s="154"/>
      <c r="G32" s="152" t="s">
        <v>229</v>
      </c>
      <c r="H32" s="152" t="s">
        <v>99</v>
      </c>
      <c r="I32" s="152"/>
    </row>
    <row r="33" customFormat="false" ht="16.5" hidden="false" customHeight="true" outlineLevel="0" collapsed="false">
      <c r="A33" s="151" t="n">
        <v>44398</v>
      </c>
      <c r="B33" s="152"/>
      <c r="C33" s="153" t="n">
        <v>-52.31</v>
      </c>
      <c r="D33" s="154" t="s">
        <v>97</v>
      </c>
      <c r="E33" s="153"/>
      <c r="F33" s="154" t="s">
        <v>333</v>
      </c>
      <c r="G33" s="152" t="s">
        <v>191</v>
      </c>
      <c r="H33" s="152" t="s">
        <v>99</v>
      </c>
      <c r="I33" s="152"/>
    </row>
    <row r="34" customFormat="false" ht="16.5" hidden="false" customHeight="true" outlineLevel="0" collapsed="false">
      <c r="A34" s="151" t="n">
        <v>44398</v>
      </c>
      <c r="B34" s="152" t="s">
        <v>328</v>
      </c>
      <c r="C34" s="153" t="n">
        <v>52.31</v>
      </c>
      <c r="D34" s="154" t="s">
        <v>97</v>
      </c>
      <c r="E34" s="153"/>
      <c r="F34" s="154" t="s">
        <v>333</v>
      </c>
      <c r="G34" s="152" t="s">
        <v>191</v>
      </c>
      <c r="H34" s="152" t="s">
        <v>99</v>
      </c>
      <c r="I34" s="152"/>
    </row>
    <row r="35" customFormat="false" ht="16.5" hidden="false" customHeight="true" outlineLevel="0" collapsed="false">
      <c r="A35" s="151" t="n">
        <v>44914</v>
      </c>
      <c r="B35" s="152" t="s">
        <v>60</v>
      </c>
      <c r="C35" s="155" t="n">
        <v>0</v>
      </c>
      <c r="D35" s="154" t="s">
        <v>136</v>
      </c>
      <c r="E35" s="153"/>
      <c r="F35" s="154"/>
      <c r="G35" s="152" t="s">
        <v>315</v>
      </c>
      <c r="H35" s="152" t="s">
        <v>135</v>
      </c>
      <c r="I35" s="152"/>
    </row>
    <row r="36" customFormat="false" ht="16.5" hidden="false" customHeight="true" outlineLevel="0" collapsed="false">
      <c r="A36" s="151" t="n">
        <v>44915</v>
      </c>
      <c r="B36" s="152" t="s">
        <v>334</v>
      </c>
      <c r="C36" s="153" t="n">
        <v>-20</v>
      </c>
      <c r="D36" s="154" t="s">
        <v>97</v>
      </c>
      <c r="E36" s="153" t="n">
        <v>-20</v>
      </c>
      <c r="F36" s="154" t="s">
        <v>335</v>
      </c>
      <c r="G36" s="152" t="s">
        <v>188</v>
      </c>
      <c r="H36" s="152" t="s">
        <v>106</v>
      </c>
      <c r="I36" s="152"/>
    </row>
    <row r="37" customFormat="false" ht="16.5" hidden="false" customHeight="true" outlineLevel="0" collapsed="false">
      <c r="A37" s="151" t="n">
        <v>44915</v>
      </c>
      <c r="B37" s="152"/>
      <c r="C37" s="155" t="n">
        <v>123923.44</v>
      </c>
      <c r="D37" s="154" t="s">
        <v>136</v>
      </c>
      <c r="E37" s="153" t="n">
        <v>20</v>
      </c>
      <c r="F37" s="154" t="s">
        <v>335</v>
      </c>
      <c r="G37" s="152" t="s">
        <v>188</v>
      </c>
      <c r="H37" s="152" t="s">
        <v>135</v>
      </c>
      <c r="I37" s="152"/>
    </row>
    <row r="38" customFormat="false" ht="16.5" hidden="false" customHeight="true" outlineLevel="0" collapsed="false">
      <c r="A38" s="151" t="n">
        <v>44927</v>
      </c>
      <c r="B38" s="152" t="s">
        <v>60</v>
      </c>
      <c r="C38" s="153" t="n">
        <v>29680.15</v>
      </c>
      <c r="D38" s="154" t="s">
        <v>97</v>
      </c>
      <c r="E38" s="153"/>
      <c r="F38" s="154"/>
      <c r="G38" s="152" t="s">
        <v>315</v>
      </c>
      <c r="H38" s="152" t="s">
        <v>96</v>
      </c>
      <c r="I38" s="152"/>
    </row>
    <row r="39" customFormat="false" ht="16.5" hidden="false" customHeight="true" outlineLevel="0" collapsed="false">
      <c r="A39" s="151" t="n">
        <v>44927</v>
      </c>
      <c r="B39" s="152" t="s">
        <v>60</v>
      </c>
      <c r="C39" s="153" t="n">
        <v>15075.63</v>
      </c>
      <c r="D39" s="154" t="s">
        <v>97</v>
      </c>
      <c r="E39" s="153"/>
      <c r="F39" s="154"/>
      <c r="G39" s="152" t="s">
        <v>315</v>
      </c>
      <c r="H39" s="152" t="s">
        <v>98</v>
      </c>
      <c r="I39" s="152"/>
    </row>
    <row r="40" customFormat="false" ht="16.5" hidden="false" customHeight="true" outlineLevel="0" collapsed="false">
      <c r="A40" s="151" t="n">
        <v>44927</v>
      </c>
      <c r="B40" s="152" t="s">
        <v>60</v>
      </c>
      <c r="C40" s="153" t="n">
        <v>15953.44</v>
      </c>
      <c r="D40" s="154" t="s">
        <v>97</v>
      </c>
      <c r="E40" s="153"/>
      <c r="F40" s="154"/>
      <c r="G40" s="152" t="s">
        <v>315</v>
      </c>
      <c r="H40" s="152" t="s">
        <v>99</v>
      </c>
      <c r="I40" s="152"/>
    </row>
    <row r="41" customFormat="false" ht="16.5" hidden="false" customHeight="true" outlineLevel="0" collapsed="false">
      <c r="A41" s="151" t="n">
        <v>44927</v>
      </c>
      <c r="B41" s="152" t="s">
        <v>60</v>
      </c>
      <c r="C41" s="155" t="n">
        <v>301.64</v>
      </c>
      <c r="D41" s="154" t="s">
        <v>136</v>
      </c>
      <c r="E41" s="153"/>
      <c r="F41" s="154"/>
      <c r="G41" s="152" t="s">
        <v>315</v>
      </c>
      <c r="H41" s="152" t="s">
        <v>135</v>
      </c>
      <c r="I41" s="152"/>
    </row>
    <row r="42" customFormat="false" ht="16.5" hidden="false" customHeight="true" outlineLevel="0" collapsed="false">
      <c r="A42" s="151" t="n">
        <v>44927</v>
      </c>
      <c r="B42" s="152" t="s">
        <v>60</v>
      </c>
      <c r="C42" s="155" t="n">
        <v>0</v>
      </c>
      <c r="D42" s="154" t="s">
        <v>136</v>
      </c>
      <c r="E42" s="153"/>
      <c r="F42" s="154"/>
      <c r="G42" s="152" t="s">
        <v>315</v>
      </c>
      <c r="H42" s="152" t="s">
        <v>137</v>
      </c>
      <c r="I42" s="152"/>
    </row>
    <row r="43" customFormat="false" ht="16.5" hidden="false" customHeight="true" outlineLevel="0" collapsed="false">
      <c r="A43" s="151" t="n">
        <v>44927</v>
      </c>
      <c r="B43" s="152" t="s">
        <v>60</v>
      </c>
      <c r="C43" s="155" t="n">
        <v>0</v>
      </c>
      <c r="D43" s="154" t="s">
        <v>136</v>
      </c>
      <c r="E43" s="153"/>
      <c r="F43" s="154"/>
      <c r="G43" s="152" t="s">
        <v>315</v>
      </c>
      <c r="H43" s="152" t="s">
        <v>138</v>
      </c>
      <c r="I43" s="152"/>
    </row>
    <row r="44" customFormat="false" ht="16.5" hidden="false" customHeight="true" outlineLevel="0" collapsed="false">
      <c r="A44" s="151" t="n">
        <v>44927</v>
      </c>
      <c r="B44" s="152" t="s">
        <v>60</v>
      </c>
      <c r="C44" s="155" t="n">
        <v>0</v>
      </c>
      <c r="D44" s="154" t="s">
        <v>136</v>
      </c>
      <c r="E44" s="153"/>
      <c r="F44" s="154"/>
      <c r="G44" s="152" t="s">
        <v>315</v>
      </c>
      <c r="H44" s="152" t="s">
        <v>139</v>
      </c>
      <c r="I44" s="152"/>
    </row>
    <row r="45" customFormat="false" ht="16.5" hidden="false" customHeight="true" outlineLevel="0" collapsed="false">
      <c r="A45" s="151" t="n">
        <v>44927</v>
      </c>
      <c r="B45" s="152" t="s">
        <v>60</v>
      </c>
      <c r="C45" s="156" t="n">
        <v>0</v>
      </c>
      <c r="D45" s="154" t="s">
        <v>141</v>
      </c>
      <c r="E45" s="153"/>
      <c r="F45" s="154"/>
      <c r="G45" s="152" t="s">
        <v>315</v>
      </c>
      <c r="H45" s="152" t="s">
        <v>140</v>
      </c>
      <c r="I45" s="152"/>
    </row>
    <row r="46" customFormat="false" ht="16.5" hidden="false" customHeight="true" outlineLevel="0" collapsed="false">
      <c r="A46" s="151" t="n">
        <v>44943</v>
      </c>
      <c r="B46" s="152" t="s">
        <v>336</v>
      </c>
      <c r="C46" s="153" t="n">
        <v>4993.4</v>
      </c>
      <c r="D46" s="154" t="s">
        <v>97</v>
      </c>
      <c r="E46" s="153"/>
      <c r="F46" s="154" t="s">
        <v>337</v>
      </c>
      <c r="G46" s="152" t="s">
        <v>192</v>
      </c>
      <c r="H46" s="152" t="s">
        <v>106</v>
      </c>
      <c r="I46" s="152"/>
    </row>
    <row r="47" customFormat="false" ht="16.5" hidden="false" customHeight="true" outlineLevel="0" collapsed="false">
      <c r="A47" s="151" t="n">
        <v>44943</v>
      </c>
      <c r="B47" s="152" t="s">
        <v>324</v>
      </c>
      <c r="C47" s="153" t="n">
        <v>-4993.4</v>
      </c>
      <c r="D47" s="154" t="s">
        <v>97</v>
      </c>
      <c r="E47" s="153"/>
      <c r="F47" s="154" t="s">
        <v>337</v>
      </c>
      <c r="G47" s="152" t="s">
        <v>192</v>
      </c>
      <c r="H47" s="152" t="s">
        <v>96</v>
      </c>
      <c r="I47" s="152"/>
    </row>
    <row r="48" customFormat="false" ht="16.5" hidden="false" customHeight="true" outlineLevel="0" collapsed="false">
      <c r="A48" s="151" t="n">
        <v>44942</v>
      </c>
      <c r="B48" s="152" t="s">
        <v>324</v>
      </c>
      <c r="C48" s="153" t="n">
        <v>-6000.87</v>
      </c>
      <c r="D48" s="154" t="s">
        <v>97</v>
      </c>
      <c r="E48" s="153"/>
      <c r="F48" s="154" t="s">
        <v>338</v>
      </c>
      <c r="G48" s="152" t="s">
        <v>193</v>
      </c>
      <c r="H48" s="152" t="s">
        <v>96</v>
      </c>
      <c r="I48" s="152"/>
    </row>
    <row r="49" customFormat="false" ht="16.5" hidden="false" customHeight="true" outlineLevel="0" collapsed="false">
      <c r="A49" s="151" t="n">
        <v>44942</v>
      </c>
      <c r="B49" s="152" t="s">
        <v>339</v>
      </c>
      <c r="C49" s="153" t="n">
        <v>6000.87</v>
      </c>
      <c r="D49" s="154" t="s">
        <v>97</v>
      </c>
      <c r="E49" s="153"/>
      <c r="F49" s="154" t="s">
        <v>338</v>
      </c>
      <c r="G49" s="152" t="s">
        <v>193</v>
      </c>
      <c r="H49" s="152" t="s">
        <v>96</v>
      </c>
      <c r="I49" s="152"/>
    </row>
    <row r="50" customFormat="false" ht="16.5" hidden="false" customHeight="true" outlineLevel="0" collapsed="false">
      <c r="A50" s="151" t="n">
        <v>44942</v>
      </c>
      <c r="B50" s="152" t="s">
        <v>324</v>
      </c>
      <c r="C50" s="153" t="n">
        <v>-6000.87</v>
      </c>
      <c r="D50" s="154" t="s">
        <v>97</v>
      </c>
      <c r="E50" s="153"/>
      <c r="F50" s="154" t="s">
        <v>340</v>
      </c>
      <c r="G50" s="152" t="s">
        <v>193</v>
      </c>
      <c r="H50" s="152" t="s">
        <v>98</v>
      </c>
      <c r="I50" s="152"/>
    </row>
    <row r="51" customFormat="false" ht="16.5" hidden="false" customHeight="true" outlineLevel="0" collapsed="false">
      <c r="A51" s="151" t="n">
        <v>44942</v>
      </c>
      <c r="B51" s="152" t="s">
        <v>339</v>
      </c>
      <c r="C51" s="153" t="n">
        <v>6000.87</v>
      </c>
      <c r="D51" s="154" t="s">
        <v>97</v>
      </c>
      <c r="E51" s="153"/>
      <c r="F51" s="154" t="s">
        <v>340</v>
      </c>
      <c r="G51" s="152" t="s">
        <v>193</v>
      </c>
      <c r="H51" s="152" t="s">
        <v>98</v>
      </c>
      <c r="I51" s="152"/>
    </row>
    <row r="52" customFormat="false" ht="16.5" hidden="false" customHeight="true" outlineLevel="0" collapsed="false">
      <c r="A52" s="151" t="n">
        <v>44967</v>
      </c>
      <c r="B52" s="152" t="s">
        <v>341</v>
      </c>
      <c r="C52" s="155" t="n">
        <v>-23531.42</v>
      </c>
      <c r="D52" s="154" t="s">
        <v>136</v>
      </c>
      <c r="E52" s="153" t="n">
        <v>-4.78</v>
      </c>
      <c r="F52" s="154" t="s">
        <v>342</v>
      </c>
      <c r="G52" s="152" t="s">
        <v>190</v>
      </c>
      <c r="H52" s="152" t="s">
        <v>135</v>
      </c>
      <c r="I52" s="152"/>
    </row>
    <row r="53" customFormat="false" ht="16.5" hidden="false" customHeight="true" outlineLevel="0" collapsed="false">
      <c r="A53" s="151" t="n">
        <v>44967</v>
      </c>
      <c r="B53" s="152" t="s">
        <v>341</v>
      </c>
      <c r="C53" s="155" t="n">
        <v>23531.42</v>
      </c>
      <c r="D53" s="154" t="s">
        <v>136</v>
      </c>
      <c r="E53" s="153" t="n">
        <v>4.78</v>
      </c>
      <c r="F53" s="154" t="s">
        <v>342</v>
      </c>
      <c r="G53" s="152" t="s">
        <v>190</v>
      </c>
      <c r="H53" s="152" t="s">
        <v>135</v>
      </c>
      <c r="I53" s="152"/>
    </row>
    <row r="54" customFormat="false" ht="16.5" hidden="false" customHeight="true" outlineLevel="0" collapsed="false">
      <c r="A54" s="151" t="n">
        <v>44967</v>
      </c>
      <c r="B54" s="152" t="s">
        <v>341</v>
      </c>
      <c r="C54" s="155" t="n">
        <v>-585.91</v>
      </c>
      <c r="D54" s="154" t="s">
        <v>136</v>
      </c>
      <c r="E54" s="153"/>
      <c r="F54" s="154"/>
      <c r="G54" s="152" t="s">
        <v>204</v>
      </c>
      <c r="H54" s="152" t="s">
        <v>135</v>
      </c>
      <c r="I54" s="152"/>
    </row>
    <row r="55" customFormat="false" ht="16.5" hidden="false" customHeight="true" outlineLevel="0" collapsed="false">
      <c r="A55" s="151" t="n">
        <v>44966</v>
      </c>
      <c r="B55" s="152" t="s">
        <v>60</v>
      </c>
      <c r="C55" s="155" t="n">
        <v>0</v>
      </c>
      <c r="D55" s="154" t="s">
        <v>136</v>
      </c>
      <c r="E55" s="153"/>
      <c r="F55" s="154"/>
      <c r="G55" s="152" t="s">
        <v>315</v>
      </c>
      <c r="H55" s="152" t="s">
        <v>137</v>
      </c>
      <c r="I55" s="152"/>
    </row>
    <row r="56" customFormat="false" ht="16.5" hidden="false" customHeight="true" outlineLevel="0" collapsed="false">
      <c r="A56" s="151" t="n">
        <v>44967</v>
      </c>
      <c r="B56" s="152" t="s">
        <v>343</v>
      </c>
      <c r="C56" s="155" t="n">
        <v>-100312.21</v>
      </c>
      <c r="D56" s="154" t="s">
        <v>136</v>
      </c>
      <c r="E56" s="153" t="n">
        <v>-20.38</v>
      </c>
      <c r="F56" s="154" t="s">
        <v>344</v>
      </c>
      <c r="G56" s="152" t="s">
        <v>190</v>
      </c>
      <c r="H56" s="152" t="s">
        <v>135</v>
      </c>
      <c r="I56" s="152"/>
    </row>
    <row r="57" customFormat="false" ht="16.5" hidden="false" customHeight="true" outlineLevel="0" collapsed="false">
      <c r="A57" s="151" t="n">
        <v>44967</v>
      </c>
      <c r="B57" s="152" t="s">
        <v>343</v>
      </c>
      <c r="C57" s="155" t="n">
        <v>100312.21</v>
      </c>
      <c r="D57" s="154" t="s">
        <v>136</v>
      </c>
      <c r="E57" s="153" t="n">
        <v>20.38</v>
      </c>
      <c r="F57" s="154" t="s">
        <v>344</v>
      </c>
      <c r="G57" s="152" t="s">
        <v>190</v>
      </c>
      <c r="H57" s="152" t="s">
        <v>137</v>
      </c>
      <c r="I57" s="152"/>
    </row>
    <row r="58" customFormat="false" ht="16.5" hidden="false" customHeight="true" outlineLevel="0" collapsed="false">
      <c r="A58" s="151" t="n">
        <v>44967</v>
      </c>
      <c r="B58" s="152" t="s">
        <v>343</v>
      </c>
      <c r="C58" s="155" t="n">
        <v>-556.12</v>
      </c>
      <c r="D58" s="154" t="s">
        <v>136</v>
      </c>
      <c r="E58" s="153"/>
      <c r="F58" s="154"/>
      <c r="G58" s="152" t="s">
        <v>204</v>
      </c>
      <c r="H58" s="152" t="s">
        <v>135</v>
      </c>
      <c r="I58" s="152"/>
    </row>
    <row r="59" customFormat="false" ht="16.5" hidden="false" customHeight="true" outlineLevel="0" collapsed="false">
      <c r="A59" s="151" t="n">
        <v>44968</v>
      </c>
      <c r="B59" s="152" t="s">
        <v>345</v>
      </c>
      <c r="C59" s="155" t="n">
        <v>-50095.8</v>
      </c>
      <c r="D59" s="154" t="s">
        <v>136</v>
      </c>
      <c r="E59" s="153" t="n">
        <v>-10.15</v>
      </c>
      <c r="F59" s="154" t="s">
        <v>346</v>
      </c>
      <c r="G59" s="152" t="s">
        <v>190</v>
      </c>
      <c r="H59" s="152" t="s">
        <v>137</v>
      </c>
      <c r="I59" s="152"/>
    </row>
    <row r="60" customFormat="false" ht="16.5" hidden="false" customHeight="true" outlineLevel="0" collapsed="false">
      <c r="A60" s="151" t="n">
        <v>44968</v>
      </c>
      <c r="B60" s="152" t="s">
        <v>345</v>
      </c>
      <c r="C60" s="155" t="n">
        <v>50095.8</v>
      </c>
      <c r="D60" s="154" t="s">
        <v>136</v>
      </c>
      <c r="E60" s="153" t="n">
        <v>10.15</v>
      </c>
      <c r="F60" s="154" t="s">
        <v>346</v>
      </c>
      <c r="G60" s="152" t="s">
        <v>190</v>
      </c>
      <c r="H60" s="152" t="s">
        <v>154</v>
      </c>
      <c r="I60" s="152"/>
    </row>
    <row r="61" customFormat="false" ht="16.5" hidden="false" customHeight="true" outlineLevel="0" collapsed="false">
      <c r="A61" s="151" t="n">
        <v>44968</v>
      </c>
      <c r="B61" s="152" t="s">
        <v>345</v>
      </c>
      <c r="C61" s="155" t="n">
        <v>-117.1</v>
      </c>
      <c r="D61" s="154" t="s">
        <v>136</v>
      </c>
      <c r="E61" s="153"/>
      <c r="F61" s="154"/>
      <c r="G61" s="152" t="s">
        <v>204</v>
      </c>
      <c r="H61" s="152" t="s">
        <v>137</v>
      </c>
      <c r="I61" s="152"/>
    </row>
    <row r="62" customFormat="false" ht="16.5" hidden="false" customHeight="true" outlineLevel="0" collapsed="false">
      <c r="A62" s="151" t="n">
        <v>44982</v>
      </c>
      <c r="B62" s="152" t="s">
        <v>60</v>
      </c>
      <c r="C62" s="155" t="n">
        <v>0</v>
      </c>
      <c r="D62" s="154" t="s">
        <v>136</v>
      </c>
      <c r="E62" s="153"/>
      <c r="F62" s="154"/>
      <c r="G62" s="152" t="s">
        <v>315</v>
      </c>
      <c r="H62" s="152" t="s">
        <v>139</v>
      </c>
      <c r="I62" s="152"/>
    </row>
    <row r="63" customFormat="false" ht="16.5" hidden="false" customHeight="true" outlineLevel="0" collapsed="false">
      <c r="A63" s="151" t="n">
        <v>44983</v>
      </c>
      <c r="B63" s="152" t="s">
        <v>347</v>
      </c>
      <c r="C63" s="155" t="n">
        <v>-49241.88</v>
      </c>
      <c r="D63" s="154" t="s">
        <v>136</v>
      </c>
      <c r="E63" s="153" t="n">
        <v>-10.79</v>
      </c>
      <c r="F63" s="154" t="s">
        <v>348</v>
      </c>
      <c r="G63" s="152" t="s">
        <v>190</v>
      </c>
      <c r="H63" s="152" t="s">
        <v>154</v>
      </c>
      <c r="I63" s="152"/>
    </row>
    <row r="64" customFormat="false" ht="16.5" hidden="false" customHeight="true" outlineLevel="0" collapsed="false">
      <c r="A64" s="151" t="n">
        <v>44983</v>
      </c>
      <c r="B64" s="152" t="s">
        <v>347</v>
      </c>
      <c r="C64" s="155" t="n">
        <v>49241.88</v>
      </c>
      <c r="D64" s="154" t="s">
        <v>136</v>
      </c>
      <c r="E64" s="153" t="n">
        <v>10.79</v>
      </c>
      <c r="F64" s="154" t="s">
        <v>348</v>
      </c>
      <c r="G64" s="152" t="s">
        <v>190</v>
      </c>
      <c r="H64" s="152" t="s">
        <v>139</v>
      </c>
      <c r="I64" s="152"/>
    </row>
    <row r="65" customFormat="false" ht="16.5" hidden="false" customHeight="true" outlineLevel="0" collapsed="false">
      <c r="A65" s="151" t="n">
        <v>44983</v>
      </c>
      <c r="B65" s="152" t="s">
        <v>349</v>
      </c>
      <c r="C65" s="155" t="n">
        <v>-598.06</v>
      </c>
      <c r="D65" s="154" t="s">
        <v>136</v>
      </c>
      <c r="E65" s="153"/>
      <c r="F65" s="154"/>
      <c r="G65" s="152" t="s">
        <v>204</v>
      </c>
      <c r="H65" s="152" t="s">
        <v>139</v>
      </c>
      <c r="I65" s="152"/>
    </row>
    <row r="66" customFormat="false" ht="16.5" hidden="false" customHeight="true" outlineLevel="0" collapsed="false">
      <c r="A66" s="151" t="n">
        <v>44983</v>
      </c>
      <c r="B66" s="152" t="s">
        <v>350</v>
      </c>
      <c r="C66" s="155" t="n">
        <v>-361.37</v>
      </c>
      <c r="D66" s="154" t="s">
        <v>136</v>
      </c>
      <c r="E66" s="153" t="n">
        <v>-0.08</v>
      </c>
      <c r="F66" s="154" t="s">
        <v>351</v>
      </c>
      <c r="G66" s="152" t="s">
        <v>190</v>
      </c>
      <c r="H66" s="152" t="s">
        <v>154</v>
      </c>
      <c r="I66" s="152"/>
    </row>
    <row r="67" customFormat="false" ht="16.5" hidden="false" customHeight="true" outlineLevel="0" collapsed="false">
      <c r="A67" s="151" t="n">
        <v>44983</v>
      </c>
      <c r="B67" s="152" t="s">
        <v>350</v>
      </c>
      <c r="C67" s="155" t="n">
        <v>361.37</v>
      </c>
      <c r="D67" s="154" t="s">
        <v>136</v>
      </c>
      <c r="E67" s="153" t="n">
        <v>0.08</v>
      </c>
      <c r="F67" s="154" t="s">
        <v>351</v>
      </c>
      <c r="G67" s="152" t="s">
        <v>190</v>
      </c>
      <c r="H67" s="152" t="s">
        <v>139</v>
      </c>
      <c r="I67" s="152"/>
    </row>
    <row r="68" customFormat="false" ht="16.5" hidden="false" customHeight="true" outlineLevel="0" collapsed="false">
      <c r="A68" s="151" t="n">
        <v>44983</v>
      </c>
      <c r="B68" s="152" t="s">
        <v>60</v>
      </c>
      <c r="C68" s="155" t="n">
        <v>49005.19</v>
      </c>
      <c r="D68" s="154" t="s">
        <v>136</v>
      </c>
      <c r="E68" s="153"/>
      <c r="F68" s="154"/>
      <c r="G68" s="152" t="s">
        <v>315</v>
      </c>
      <c r="H68" s="152" t="s">
        <v>139</v>
      </c>
      <c r="I68" s="152"/>
    </row>
    <row r="69" customFormat="false" ht="16.5" hidden="false" customHeight="true" outlineLevel="0" collapsed="false">
      <c r="A69" s="151" t="n">
        <v>44988</v>
      </c>
      <c r="B69" s="152" t="s">
        <v>352</v>
      </c>
      <c r="C69" s="153" t="n">
        <v>-20</v>
      </c>
      <c r="D69" s="154" t="s">
        <v>97</v>
      </c>
      <c r="E69" s="153" t="n">
        <v>-20</v>
      </c>
      <c r="F69" s="154" t="s">
        <v>353</v>
      </c>
      <c r="G69" s="152" t="s">
        <v>188</v>
      </c>
      <c r="H69" s="152" t="s">
        <v>106</v>
      </c>
      <c r="I69" s="152"/>
    </row>
    <row r="70" customFormat="false" ht="16.5" hidden="false" customHeight="true" outlineLevel="0" collapsed="false">
      <c r="A70" s="151" t="n">
        <v>44988</v>
      </c>
      <c r="B70" s="152" t="s">
        <v>354</v>
      </c>
      <c r="C70" s="155" t="n">
        <v>92860.54</v>
      </c>
      <c r="D70" s="154" t="s">
        <v>136</v>
      </c>
      <c r="E70" s="153" t="n">
        <v>20</v>
      </c>
      <c r="F70" s="154" t="s">
        <v>353</v>
      </c>
      <c r="G70" s="152" t="s">
        <v>188</v>
      </c>
      <c r="H70" s="152" t="s">
        <v>135</v>
      </c>
      <c r="I70" s="152"/>
    </row>
    <row r="71" customFormat="false" ht="16.5" hidden="false" customHeight="true" outlineLevel="0" collapsed="false">
      <c r="A71" s="151" t="n">
        <v>44998</v>
      </c>
      <c r="B71" s="152" t="s">
        <v>60</v>
      </c>
      <c r="C71" s="156" t="n">
        <v>0</v>
      </c>
      <c r="D71" s="154" t="s">
        <v>141</v>
      </c>
      <c r="E71" s="153"/>
      <c r="F71" s="154"/>
      <c r="G71" s="152" t="s">
        <v>315</v>
      </c>
      <c r="H71" s="152" t="s">
        <v>140</v>
      </c>
      <c r="I71" s="152"/>
    </row>
    <row r="72" customFormat="false" ht="16.5" hidden="false" customHeight="true" outlineLevel="0" collapsed="false">
      <c r="A72" s="151" t="n">
        <v>44999</v>
      </c>
      <c r="B72" s="152" t="s">
        <v>355</v>
      </c>
      <c r="C72" s="155" t="n">
        <v>-100312.21</v>
      </c>
      <c r="D72" s="154" t="s">
        <v>136</v>
      </c>
      <c r="E72" s="153" t="n">
        <v>-22.97</v>
      </c>
      <c r="F72" s="154" t="s">
        <v>356</v>
      </c>
      <c r="G72" s="152" t="s">
        <v>188</v>
      </c>
      <c r="H72" s="152" t="s">
        <v>135</v>
      </c>
      <c r="I72" s="152"/>
    </row>
    <row r="73" customFormat="false" ht="16.5" hidden="false" customHeight="true" outlineLevel="0" collapsed="false">
      <c r="A73" s="151" t="n">
        <v>44999</v>
      </c>
      <c r="B73" s="152" t="s">
        <v>357</v>
      </c>
      <c r="C73" s="155" t="n">
        <v>-1623.79</v>
      </c>
      <c r="D73" s="154" t="s">
        <v>136</v>
      </c>
      <c r="E73" s="153"/>
      <c r="F73" s="154"/>
      <c r="G73" s="152" t="s">
        <v>204</v>
      </c>
      <c r="H73" s="152" t="s">
        <v>135</v>
      </c>
      <c r="I73" s="152"/>
    </row>
    <row r="74" customFormat="false" ht="16.5" hidden="false" customHeight="true" outlineLevel="0" collapsed="false">
      <c r="A74" s="151" t="n">
        <v>44999</v>
      </c>
      <c r="B74" s="152" t="s">
        <v>358</v>
      </c>
      <c r="C74" s="156" t="n">
        <v>0.16416</v>
      </c>
      <c r="D74" s="154" t="s">
        <v>141</v>
      </c>
      <c r="E74" s="153" t="n">
        <v>22.97</v>
      </c>
      <c r="F74" s="154" t="s">
        <v>356</v>
      </c>
      <c r="G74" s="152" t="s">
        <v>188</v>
      </c>
      <c r="H74" s="152" t="s">
        <v>140</v>
      </c>
      <c r="I74" s="152"/>
    </row>
    <row r="75" customFormat="false" ht="16.5" hidden="false" customHeight="true" outlineLevel="0" collapsed="false">
      <c r="A75" s="151" t="n">
        <v>45000</v>
      </c>
      <c r="B75" s="152" t="s">
        <v>359</v>
      </c>
      <c r="C75" s="155" t="n">
        <v>-43574.31</v>
      </c>
      <c r="D75" s="154" t="s">
        <v>136</v>
      </c>
      <c r="E75" s="153" t="n">
        <v>-10.03</v>
      </c>
      <c r="F75" s="154" t="s">
        <v>360</v>
      </c>
      <c r="G75" s="152" t="s">
        <v>188</v>
      </c>
      <c r="H75" s="152" t="s">
        <v>137</v>
      </c>
      <c r="I75" s="152"/>
    </row>
    <row r="76" customFormat="false" ht="16.5" hidden="false" customHeight="true" outlineLevel="0" collapsed="false">
      <c r="A76" s="151" t="n">
        <v>45000</v>
      </c>
      <c r="B76" s="152" t="s">
        <v>359</v>
      </c>
      <c r="C76" s="155" t="n">
        <v>-845.03</v>
      </c>
      <c r="D76" s="154" t="s">
        <v>136</v>
      </c>
      <c r="E76" s="153"/>
      <c r="F76" s="154"/>
      <c r="G76" s="152" t="s">
        <v>204</v>
      </c>
      <c r="H76" s="152" t="s">
        <v>137</v>
      </c>
      <c r="I76" s="152"/>
    </row>
    <row r="77" customFormat="false" ht="16.5" hidden="false" customHeight="true" outlineLevel="0" collapsed="false">
      <c r="A77" s="151" t="n">
        <v>45000</v>
      </c>
      <c r="B77" s="152" t="s">
        <v>60</v>
      </c>
      <c r="C77" s="155" t="n">
        <v>5679.97</v>
      </c>
      <c r="D77" s="154" t="s">
        <v>136</v>
      </c>
      <c r="E77" s="153"/>
      <c r="F77" s="154"/>
      <c r="G77" s="152" t="s">
        <v>315</v>
      </c>
      <c r="H77" s="152" t="s">
        <v>137</v>
      </c>
      <c r="I77" s="152"/>
    </row>
    <row r="78" customFormat="false" ht="16.5" hidden="false" customHeight="true" outlineLevel="0" collapsed="false">
      <c r="A78" s="151" t="n">
        <v>44999</v>
      </c>
      <c r="B78" s="152" t="s">
        <v>60</v>
      </c>
      <c r="C78" s="153" t="n">
        <v>0</v>
      </c>
      <c r="D78" s="154" t="s">
        <v>97</v>
      </c>
      <c r="E78" s="153"/>
      <c r="F78" s="154"/>
      <c r="G78" s="152" t="s">
        <v>315</v>
      </c>
      <c r="H78" s="152" t="s">
        <v>104</v>
      </c>
      <c r="I78" s="152"/>
    </row>
    <row r="79" customFormat="false" ht="16.5" hidden="false" customHeight="true" outlineLevel="0" collapsed="false">
      <c r="A79" s="151" t="n">
        <v>45000</v>
      </c>
      <c r="B79" s="152" t="s">
        <v>359</v>
      </c>
      <c r="C79" s="153" t="n">
        <v>10.03</v>
      </c>
      <c r="D79" s="154" t="s">
        <v>97</v>
      </c>
      <c r="E79" s="153" t="n">
        <v>10.03</v>
      </c>
      <c r="F79" s="154" t="s">
        <v>360</v>
      </c>
      <c r="G79" s="152" t="s">
        <v>188</v>
      </c>
      <c r="H79" s="152" t="s">
        <v>104</v>
      </c>
      <c r="I79" s="152"/>
    </row>
    <row r="80" customFormat="false" ht="16.5" hidden="false" customHeight="true" outlineLevel="0" collapsed="false">
      <c r="A80" s="151" t="n">
        <v>45005</v>
      </c>
      <c r="B80" s="152" t="s">
        <v>361</v>
      </c>
      <c r="C80" s="153" t="n">
        <v>-20</v>
      </c>
      <c r="D80" s="154" t="s">
        <v>97</v>
      </c>
      <c r="E80" s="153" t="n">
        <v>-20</v>
      </c>
      <c r="F80" s="154" t="s">
        <v>362</v>
      </c>
      <c r="G80" s="152" t="s">
        <v>188</v>
      </c>
      <c r="H80" s="152" t="s">
        <v>106</v>
      </c>
      <c r="I80" s="152"/>
    </row>
    <row r="81" customFormat="false" ht="16.5" hidden="false" customHeight="true" outlineLevel="0" collapsed="false">
      <c r="A81" s="151" t="n">
        <v>45005</v>
      </c>
      <c r="B81" s="152" t="s">
        <v>363</v>
      </c>
      <c r="C81" s="155" t="n">
        <v>75078.36</v>
      </c>
      <c r="D81" s="154" t="s">
        <v>136</v>
      </c>
      <c r="E81" s="153" t="n">
        <v>20</v>
      </c>
      <c r="F81" s="154" t="s">
        <v>362</v>
      </c>
      <c r="G81" s="152" t="s">
        <v>188</v>
      </c>
      <c r="H81" s="152" t="s">
        <v>135</v>
      </c>
      <c r="I81" s="152"/>
    </row>
    <row r="82" customFormat="false" ht="16.5" hidden="false" customHeight="true" outlineLevel="0" collapsed="false">
      <c r="A82" s="151" t="n">
        <v>45007</v>
      </c>
      <c r="B82" s="152" t="s">
        <v>364</v>
      </c>
      <c r="C82" s="153" t="n">
        <v>-40.15</v>
      </c>
      <c r="D82" s="154" t="s">
        <v>97</v>
      </c>
      <c r="E82" s="153" t="n">
        <v>-40.15</v>
      </c>
      <c r="F82" s="154" t="s">
        <v>365</v>
      </c>
      <c r="G82" s="152" t="s">
        <v>188</v>
      </c>
      <c r="H82" s="152" t="s">
        <v>106</v>
      </c>
      <c r="I82" s="152"/>
    </row>
    <row r="83" customFormat="false" ht="16.5" hidden="false" customHeight="true" outlineLevel="0" collapsed="false">
      <c r="A83" s="151" t="n">
        <v>45007</v>
      </c>
      <c r="B83" s="152" t="s">
        <v>366</v>
      </c>
      <c r="C83" s="155" t="n">
        <v>154321.92</v>
      </c>
      <c r="D83" s="154" t="s">
        <v>136</v>
      </c>
      <c r="E83" s="153" t="n">
        <v>40.15</v>
      </c>
      <c r="F83" s="154" t="s">
        <v>365</v>
      </c>
      <c r="G83" s="152" t="s">
        <v>188</v>
      </c>
      <c r="H83" s="152" t="s">
        <v>135</v>
      </c>
      <c r="I83" s="152"/>
    </row>
    <row r="84" customFormat="false" ht="16.5" hidden="false" customHeight="true" outlineLevel="0" collapsed="false">
      <c r="A84" s="151" t="n">
        <v>45008</v>
      </c>
      <c r="B84" s="152" t="s">
        <v>367</v>
      </c>
      <c r="C84" s="153" t="n">
        <v>-50.12</v>
      </c>
      <c r="D84" s="154" t="s">
        <v>97</v>
      </c>
      <c r="E84" s="153" t="n">
        <v>-50.12</v>
      </c>
      <c r="F84" s="154" t="s">
        <v>368</v>
      </c>
      <c r="G84" s="152" t="s">
        <v>188</v>
      </c>
      <c r="H84" s="152" t="s">
        <v>106</v>
      </c>
      <c r="I84" s="152"/>
    </row>
    <row r="85" customFormat="false" ht="16.5" hidden="false" customHeight="true" outlineLevel="0" collapsed="false">
      <c r="A85" s="151" t="n">
        <v>45008</v>
      </c>
      <c r="B85" s="152" t="s">
        <v>369</v>
      </c>
      <c r="C85" s="155" t="n">
        <v>186912.3</v>
      </c>
      <c r="D85" s="154" t="s">
        <v>136</v>
      </c>
      <c r="E85" s="153" t="n">
        <v>50.12</v>
      </c>
      <c r="F85" s="154" t="s">
        <v>368</v>
      </c>
      <c r="G85" s="152" t="s">
        <v>188</v>
      </c>
      <c r="H85" s="152" t="s">
        <v>135</v>
      </c>
      <c r="I85" s="152"/>
    </row>
    <row r="86" customFormat="false" ht="16.5" hidden="false" customHeight="true" outlineLevel="0" collapsed="false">
      <c r="A86" s="151" t="n">
        <v>45009</v>
      </c>
      <c r="B86" s="152" t="s">
        <v>370</v>
      </c>
      <c r="C86" s="153" t="n">
        <v>-9.81</v>
      </c>
      <c r="D86" s="154" t="s">
        <v>97</v>
      </c>
      <c r="E86" s="153"/>
      <c r="F86" s="154"/>
      <c r="G86" s="152" t="s">
        <v>210</v>
      </c>
      <c r="H86" s="152" t="s">
        <v>104</v>
      </c>
      <c r="I86" s="152"/>
    </row>
    <row r="87" customFormat="false" ht="16.5" hidden="false" customHeight="true" outlineLevel="0" collapsed="false">
      <c r="A87" s="151" t="n">
        <v>45009</v>
      </c>
      <c r="B87" s="152" t="s">
        <v>371</v>
      </c>
      <c r="C87" s="153" t="n">
        <v>-50.12</v>
      </c>
      <c r="D87" s="154" t="s">
        <v>97</v>
      </c>
      <c r="E87" s="153" t="n">
        <v>-50.12</v>
      </c>
      <c r="F87" s="154" t="s">
        <v>372</v>
      </c>
      <c r="G87" s="152" t="s">
        <v>188</v>
      </c>
      <c r="H87" s="152" t="s">
        <v>106</v>
      </c>
      <c r="I87" s="152"/>
    </row>
    <row r="88" customFormat="false" ht="16.5" hidden="false" customHeight="true" outlineLevel="0" collapsed="false">
      <c r="A88" s="151" t="n">
        <v>45009</v>
      </c>
      <c r="B88" s="152" t="s">
        <v>366</v>
      </c>
      <c r="C88" s="155" t="n">
        <v>189908.22</v>
      </c>
      <c r="D88" s="154" t="s">
        <v>136</v>
      </c>
      <c r="E88" s="153" t="n">
        <v>50.12</v>
      </c>
      <c r="F88" s="154" t="s">
        <v>372</v>
      </c>
      <c r="G88" s="152" t="s">
        <v>188</v>
      </c>
      <c r="H88" s="152" t="s">
        <v>135</v>
      </c>
      <c r="I88" s="152"/>
    </row>
    <row r="89" customFormat="false" ht="16.5" hidden="false" customHeight="true" outlineLevel="0" collapsed="false">
      <c r="A89" s="151" t="n">
        <v>45012</v>
      </c>
      <c r="B89" s="152" t="s">
        <v>60</v>
      </c>
      <c r="C89" s="155" t="n">
        <v>0</v>
      </c>
      <c r="D89" s="154" t="s">
        <v>136</v>
      </c>
      <c r="E89" s="153"/>
      <c r="F89" s="154"/>
      <c r="G89" s="152" t="s">
        <v>315</v>
      </c>
      <c r="H89" s="152" t="s">
        <v>138</v>
      </c>
      <c r="I89" s="152"/>
    </row>
    <row r="90" customFormat="false" ht="16.5" hidden="false" customHeight="true" outlineLevel="0" collapsed="false">
      <c r="A90" s="151" t="n">
        <v>45012</v>
      </c>
      <c r="B90" s="152" t="s">
        <v>373</v>
      </c>
      <c r="C90" s="153" t="n">
        <v>-20</v>
      </c>
      <c r="D90" s="154" t="s">
        <v>97</v>
      </c>
      <c r="E90" s="153" t="n">
        <v>-20</v>
      </c>
      <c r="F90" s="154" t="s">
        <v>374</v>
      </c>
      <c r="G90" s="152" t="s">
        <v>188</v>
      </c>
      <c r="H90" s="152" t="s">
        <v>106</v>
      </c>
      <c r="I90" s="152"/>
    </row>
    <row r="91" customFormat="false" ht="16.5" hidden="false" customHeight="true" outlineLevel="0" collapsed="false">
      <c r="A91" s="151" t="n">
        <v>45013</v>
      </c>
      <c r="B91" s="152" t="s">
        <v>375</v>
      </c>
      <c r="C91" s="155" t="n">
        <v>79021.81</v>
      </c>
      <c r="D91" s="154" t="s">
        <v>136</v>
      </c>
      <c r="E91" s="153" t="n">
        <v>20</v>
      </c>
      <c r="F91" s="154" t="s">
        <v>374</v>
      </c>
      <c r="G91" s="152" t="s">
        <v>188</v>
      </c>
      <c r="H91" s="152" t="s">
        <v>138</v>
      </c>
      <c r="I91" s="152"/>
    </row>
    <row r="92" customFormat="false" ht="16.5" hidden="false" customHeight="true" outlineLevel="0" collapsed="false">
      <c r="A92" s="151" t="n">
        <v>45012</v>
      </c>
      <c r="B92" s="152" t="s">
        <v>376</v>
      </c>
      <c r="C92" s="153" t="n">
        <v>-50.12</v>
      </c>
      <c r="D92" s="154" t="s">
        <v>97</v>
      </c>
      <c r="E92" s="153" t="n">
        <v>-50.12</v>
      </c>
      <c r="F92" s="154" t="s">
        <v>377</v>
      </c>
      <c r="G92" s="152" t="s">
        <v>188</v>
      </c>
      <c r="H92" s="152" t="s">
        <v>106</v>
      </c>
      <c r="I92" s="152"/>
    </row>
    <row r="93" customFormat="false" ht="16.5" hidden="false" customHeight="true" outlineLevel="0" collapsed="false">
      <c r="A93" s="151" t="n">
        <v>45012</v>
      </c>
      <c r="B93" s="152" t="s">
        <v>366</v>
      </c>
      <c r="C93" s="155" t="n">
        <v>196045.35</v>
      </c>
      <c r="D93" s="154" t="s">
        <v>136</v>
      </c>
      <c r="E93" s="153" t="n">
        <v>50.12</v>
      </c>
      <c r="F93" s="154" t="s">
        <v>377</v>
      </c>
      <c r="G93" s="152" t="s">
        <v>188</v>
      </c>
      <c r="H93" s="152" t="s">
        <v>135</v>
      </c>
      <c r="I93" s="152"/>
    </row>
    <row r="94" customFormat="false" ht="16.5" hidden="false" customHeight="true" outlineLevel="0" collapsed="false">
      <c r="A94" s="151" t="n">
        <v>45013</v>
      </c>
      <c r="B94" s="152" t="s">
        <v>378</v>
      </c>
      <c r="C94" s="153" t="n">
        <v>-59.99</v>
      </c>
      <c r="D94" s="154" t="s">
        <v>97</v>
      </c>
      <c r="E94" s="153" t="n">
        <v>-59.99</v>
      </c>
      <c r="F94" s="154" t="s">
        <v>379</v>
      </c>
      <c r="G94" s="152" t="s">
        <v>188</v>
      </c>
      <c r="H94" s="152" t="s">
        <v>106</v>
      </c>
      <c r="I94" s="152"/>
    </row>
    <row r="95" customFormat="false" ht="16.5" hidden="false" customHeight="true" outlineLevel="0" collapsed="false">
      <c r="A95" s="151" t="n">
        <v>45014</v>
      </c>
      <c r="B95" s="152" t="s">
        <v>375</v>
      </c>
      <c r="C95" s="155" t="n">
        <v>229491.16</v>
      </c>
      <c r="D95" s="154" t="s">
        <v>136</v>
      </c>
      <c r="E95" s="153" t="n">
        <v>59.99</v>
      </c>
      <c r="F95" s="154" t="s">
        <v>379</v>
      </c>
      <c r="G95" s="152" t="s">
        <v>188</v>
      </c>
      <c r="H95" s="152" t="s">
        <v>138</v>
      </c>
      <c r="I95" s="152"/>
    </row>
    <row r="96" customFormat="false" ht="16.5" hidden="false" customHeight="true" outlineLevel="0" collapsed="false">
      <c r="A96" s="151" t="n">
        <v>45015</v>
      </c>
      <c r="B96" s="152" t="s">
        <v>380</v>
      </c>
      <c r="C96" s="153" t="n">
        <v>-59.99</v>
      </c>
      <c r="D96" s="154" t="s">
        <v>97</v>
      </c>
      <c r="E96" s="153" t="n">
        <v>-59.99</v>
      </c>
      <c r="F96" s="154" t="s">
        <v>381</v>
      </c>
      <c r="G96" s="152" t="s">
        <v>188</v>
      </c>
      <c r="H96" s="152" t="s">
        <v>106</v>
      </c>
      <c r="I96" s="152"/>
    </row>
    <row r="97" customFormat="false" ht="16.5" hidden="false" customHeight="true" outlineLevel="0" collapsed="false">
      <c r="A97" s="151" t="n">
        <v>45016</v>
      </c>
      <c r="B97" s="152" t="s">
        <v>375</v>
      </c>
      <c r="C97" s="155" t="n">
        <v>231765.7</v>
      </c>
      <c r="D97" s="154" t="s">
        <v>136</v>
      </c>
      <c r="E97" s="153" t="n">
        <v>59.99</v>
      </c>
      <c r="F97" s="154" t="s">
        <v>381</v>
      </c>
      <c r="G97" s="152" t="s">
        <v>188</v>
      </c>
      <c r="H97" s="152" t="s">
        <v>138</v>
      </c>
      <c r="I97" s="152"/>
    </row>
    <row r="98" customFormat="false" ht="16.5" hidden="false" customHeight="true" outlineLevel="0" collapsed="false">
      <c r="A98" s="151" t="n">
        <v>45016</v>
      </c>
      <c r="B98" s="152" t="s">
        <v>382</v>
      </c>
      <c r="C98" s="153" t="n">
        <v>-59.99</v>
      </c>
      <c r="D98" s="154" t="s">
        <v>97</v>
      </c>
      <c r="E98" s="153" t="n">
        <v>-59.99</v>
      </c>
      <c r="F98" s="154" t="s">
        <v>383</v>
      </c>
      <c r="G98" s="152" t="s">
        <v>188</v>
      </c>
      <c r="H98" s="152" t="s">
        <v>106</v>
      </c>
      <c r="I98" s="152"/>
    </row>
    <row r="99" customFormat="false" ht="16.5" hidden="false" customHeight="true" outlineLevel="0" collapsed="false">
      <c r="A99" s="151" t="n">
        <v>45016</v>
      </c>
      <c r="B99" s="152" t="s">
        <v>375</v>
      </c>
      <c r="C99" s="155" t="n">
        <v>227298.41</v>
      </c>
      <c r="D99" s="154" t="s">
        <v>136</v>
      </c>
      <c r="E99" s="153" t="n">
        <v>59.99</v>
      </c>
      <c r="F99" s="154" t="s">
        <v>383</v>
      </c>
      <c r="G99" s="152" t="s">
        <v>188</v>
      </c>
      <c r="H99" s="152" t="s">
        <v>138</v>
      </c>
      <c r="I99" s="152"/>
    </row>
    <row r="100" customFormat="false" ht="16.5" hidden="false" customHeight="true" outlineLevel="0" collapsed="false">
      <c r="A100" s="151" t="n">
        <v>45019</v>
      </c>
      <c r="B100" s="152" t="s">
        <v>384</v>
      </c>
      <c r="C100" s="153" t="n">
        <v>-40.15</v>
      </c>
      <c r="D100" s="154" t="s">
        <v>97</v>
      </c>
      <c r="E100" s="153" t="n">
        <v>-40.15</v>
      </c>
      <c r="F100" s="154" t="s">
        <v>385</v>
      </c>
      <c r="G100" s="152" t="s">
        <v>188</v>
      </c>
      <c r="H100" s="152" t="s">
        <v>106</v>
      </c>
      <c r="I100" s="152"/>
    </row>
    <row r="101" customFormat="false" ht="16.5" hidden="false" customHeight="true" outlineLevel="0" collapsed="false">
      <c r="A101" s="151" t="n">
        <v>45020</v>
      </c>
      <c r="B101" s="152" t="s">
        <v>375</v>
      </c>
      <c r="C101" s="155" t="n">
        <v>153014.21</v>
      </c>
      <c r="D101" s="154" t="s">
        <v>136</v>
      </c>
      <c r="E101" s="153" t="n">
        <v>40.15</v>
      </c>
      <c r="F101" s="154" t="s">
        <v>385</v>
      </c>
      <c r="G101" s="152" t="s">
        <v>188</v>
      </c>
      <c r="H101" s="152" t="s">
        <v>138</v>
      </c>
      <c r="I101" s="152"/>
    </row>
    <row r="102" customFormat="false" ht="16.5" hidden="false" customHeight="true" outlineLevel="0" collapsed="false">
      <c r="A102" s="151" t="n">
        <v>45020</v>
      </c>
      <c r="B102" s="152" t="s">
        <v>386</v>
      </c>
      <c r="C102" s="153" t="n">
        <v>-59.99</v>
      </c>
      <c r="D102" s="154" t="s">
        <v>97</v>
      </c>
      <c r="E102" s="153" t="n">
        <v>-59.99</v>
      </c>
      <c r="F102" s="154" t="s">
        <v>387</v>
      </c>
      <c r="G102" s="152" t="s">
        <v>188</v>
      </c>
      <c r="H102" s="152" t="s">
        <v>106</v>
      </c>
      <c r="I102" s="152"/>
    </row>
    <row r="103" customFormat="false" ht="16.5" hidden="false" customHeight="true" outlineLevel="0" collapsed="false">
      <c r="A103" s="151" t="n">
        <v>45021</v>
      </c>
      <c r="B103" s="152" t="s">
        <v>375</v>
      </c>
      <c r="C103" s="155" t="n">
        <v>227359.03</v>
      </c>
      <c r="D103" s="154" t="s">
        <v>136</v>
      </c>
      <c r="E103" s="153" t="n">
        <v>59.99</v>
      </c>
      <c r="F103" s="154" t="s">
        <v>387</v>
      </c>
      <c r="G103" s="152" t="s">
        <v>188</v>
      </c>
      <c r="H103" s="152" t="s">
        <v>138</v>
      </c>
      <c r="I103" s="152"/>
    </row>
    <row r="104" customFormat="false" ht="16.5" hidden="false" customHeight="true" outlineLevel="0" collapsed="false">
      <c r="A104" s="151" t="n">
        <v>45021</v>
      </c>
      <c r="B104" s="152" t="s">
        <v>388</v>
      </c>
      <c r="C104" s="153" t="n">
        <v>-80.07</v>
      </c>
      <c r="D104" s="154" t="s">
        <v>97</v>
      </c>
      <c r="E104" s="153" t="n">
        <v>-80.07</v>
      </c>
      <c r="F104" s="154" t="s">
        <v>389</v>
      </c>
      <c r="G104" s="152" t="s">
        <v>188</v>
      </c>
      <c r="H104" s="152" t="s">
        <v>106</v>
      </c>
      <c r="I104" s="152"/>
    </row>
    <row r="105" customFormat="false" ht="16.5" hidden="false" customHeight="true" outlineLevel="0" collapsed="false">
      <c r="A105" s="151" t="n">
        <v>45022</v>
      </c>
      <c r="B105" s="152" t="s">
        <v>375</v>
      </c>
      <c r="C105" s="155" t="n">
        <v>308413.38</v>
      </c>
      <c r="D105" s="154" t="s">
        <v>136</v>
      </c>
      <c r="E105" s="153" t="n">
        <v>80.07</v>
      </c>
      <c r="F105" s="154" t="s">
        <v>389</v>
      </c>
      <c r="G105" s="152" t="s">
        <v>188</v>
      </c>
      <c r="H105" s="152" t="s">
        <v>138</v>
      </c>
      <c r="I105" s="152"/>
    </row>
    <row r="106" customFormat="false" ht="16.5" hidden="false" customHeight="true" outlineLevel="0" collapsed="false">
      <c r="A106" s="151" t="n">
        <v>45022</v>
      </c>
      <c r="B106" s="152" t="s">
        <v>390</v>
      </c>
      <c r="C106" s="153" t="n">
        <v>-40.15</v>
      </c>
      <c r="D106" s="154" t="s">
        <v>97</v>
      </c>
      <c r="E106" s="153" t="n">
        <v>-40.15</v>
      </c>
      <c r="F106" s="154" t="s">
        <v>391</v>
      </c>
      <c r="G106" s="152" t="s">
        <v>188</v>
      </c>
      <c r="H106" s="152" t="s">
        <v>106</v>
      </c>
      <c r="I106" s="152"/>
    </row>
    <row r="107" customFormat="false" ht="16.5" hidden="false" customHeight="true" outlineLevel="0" collapsed="false">
      <c r="A107" s="151" t="n">
        <v>45027</v>
      </c>
      <c r="B107" s="152" t="s">
        <v>375</v>
      </c>
      <c r="C107" s="155" t="n">
        <v>143196.99</v>
      </c>
      <c r="D107" s="154" t="s">
        <v>136</v>
      </c>
      <c r="E107" s="153" t="n">
        <v>40.15</v>
      </c>
      <c r="F107" s="154" t="s">
        <v>391</v>
      </c>
      <c r="G107" s="152" t="s">
        <v>188</v>
      </c>
      <c r="H107" s="152" t="s">
        <v>138</v>
      </c>
      <c r="I107" s="152"/>
    </row>
    <row r="108" customFormat="false" ht="16.5" hidden="false" customHeight="true" outlineLevel="0" collapsed="false">
      <c r="A108" s="151" t="n">
        <v>45027</v>
      </c>
      <c r="B108" s="152" t="s">
        <v>392</v>
      </c>
      <c r="C108" s="153" t="n">
        <v>-40.15</v>
      </c>
      <c r="D108" s="154" t="s">
        <v>97</v>
      </c>
      <c r="E108" s="153" t="n">
        <v>-40.15</v>
      </c>
      <c r="F108" s="154" t="s">
        <v>393</v>
      </c>
      <c r="G108" s="152" t="s">
        <v>188</v>
      </c>
      <c r="H108" s="152" t="s">
        <v>106</v>
      </c>
      <c r="I108" s="152"/>
    </row>
    <row r="109" customFormat="false" ht="16.5" hidden="false" customHeight="true" outlineLevel="0" collapsed="false">
      <c r="A109" s="151" t="n">
        <v>45028</v>
      </c>
      <c r="B109" s="152" t="s">
        <v>366</v>
      </c>
      <c r="C109" s="155" t="n">
        <v>142173.24</v>
      </c>
      <c r="D109" s="154" t="s">
        <v>136</v>
      </c>
      <c r="E109" s="153" t="n">
        <v>40.15</v>
      </c>
      <c r="F109" s="154" t="s">
        <v>393</v>
      </c>
      <c r="G109" s="152" t="s">
        <v>188</v>
      </c>
      <c r="H109" s="152" t="s">
        <v>135</v>
      </c>
      <c r="I109" s="152"/>
    </row>
    <row r="110" customFormat="false" ht="16.5" hidden="false" customHeight="true" outlineLevel="0" collapsed="false">
      <c r="A110" s="151" t="n">
        <v>45027</v>
      </c>
      <c r="B110" s="152" t="s">
        <v>394</v>
      </c>
      <c r="C110" s="153" t="n">
        <v>-40.15</v>
      </c>
      <c r="D110" s="154" t="s">
        <v>97</v>
      </c>
      <c r="E110" s="153" t="n">
        <v>-40.15</v>
      </c>
      <c r="F110" s="154" t="s">
        <v>395</v>
      </c>
      <c r="G110" s="152" t="s">
        <v>188</v>
      </c>
      <c r="H110" s="152" t="s">
        <v>106</v>
      </c>
      <c r="I110" s="152"/>
    </row>
    <row r="111" customFormat="false" ht="16.5" hidden="false" customHeight="true" outlineLevel="0" collapsed="false">
      <c r="A111" s="151" t="n">
        <v>45028</v>
      </c>
      <c r="B111" s="152" t="s">
        <v>375</v>
      </c>
      <c r="C111" s="155" t="n">
        <v>143273.06</v>
      </c>
      <c r="D111" s="154" t="s">
        <v>136</v>
      </c>
      <c r="E111" s="153" t="n">
        <v>40.15</v>
      </c>
      <c r="F111" s="154" t="s">
        <v>395</v>
      </c>
      <c r="G111" s="152" t="s">
        <v>188</v>
      </c>
      <c r="H111" s="152" t="s">
        <v>138</v>
      </c>
      <c r="I111" s="152"/>
    </row>
    <row r="112" customFormat="false" ht="16.5" hidden="false" customHeight="true" outlineLevel="0" collapsed="false">
      <c r="A112" s="151" t="n">
        <v>45029</v>
      </c>
      <c r="B112" s="152" t="s">
        <v>396</v>
      </c>
      <c r="C112" s="153" t="n">
        <v>-99.97</v>
      </c>
      <c r="D112" s="154" t="s">
        <v>97</v>
      </c>
      <c r="E112" s="153" t="n">
        <v>-99.97</v>
      </c>
      <c r="F112" s="154" t="s">
        <v>397</v>
      </c>
      <c r="G112" s="152" t="s">
        <v>188</v>
      </c>
      <c r="H112" s="152" t="s">
        <v>106</v>
      </c>
      <c r="I112" s="152"/>
    </row>
    <row r="113" customFormat="false" ht="16.5" hidden="false" customHeight="true" outlineLevel="0" collapsed="false">
      <c r="A113" s="151" t="n">
        <v>45030</v>
      </c>
      <c r="B113" s="152" t="s">
        <v>375</v>
      </c>
      <c r="C113" s="155" t="n">
        <v>356226.14</v>
      </c>
      <c r="D113" s="154" t="s">
        <v>136</v>
      </c>
      <c r="E113" s="153" t="n">
        <v>99.97</v>
      </c>
      <c r="F113" s="154" t="s">
        <v>397</v>
      </c>
      <c r="G113" s="152" t="s">
        <v>188</v>
      </c>
      <c r="H113" s="152" t="s">
        <v>138</v>
      </c>
      <c r="I113" s="152"/>
    </row>
    <row r="114" customFormat="false" ht="16.5" hidden="false" customHeight="true" outlineLevel="0" collapsed="false">
      <c r="A114" s="151" t="n">
        <v>45033</v>
      </c>
      <c r="B114" s="152" t="s">
        <v>398</v>
      </c>
      <c r="C114" s="153" t="n">
        <v>-99.97</v>
      </c>
      <c r="D114" s="154" t="s">
        <v>97</v>
      </c>
      <c r="E114" s="153" t="n">
        <v>-99.97</v>
      </c>
      <c r="F114" s="154" t="s">
        <v>399</v>
      </c>
      <c r="G114" s="152" t="s">
        <v>188</v>
      </c>
      <c r="H114" s="152" t="s">
        <v>106</v>
      </c>
      <c r="I114" s="152"/>
    </row>
    <row r="115" customFormat="false" ht="16.5" hidden="false" customHeight="true" outlineLevel="0" collapsed="false">
      <c r="A115" s="151" t="n">
        <v>45034</v>
      </c>
      <c r="B115" s="152" t="s">
        <v>375</v>
      </c>
      <c r="C115" s="155" t="n">
        <v>364989.68</v>
      </c>
      <c r="D115" s="154" t="s">
        <v>136</v>
      </c>
      <c r="E115" s="153" t="n">
        <v>99.97</v>
      </c>
      <c r="F115" s="154" t="s">
        <v>399</v>
      </c>
      <c r="G115" s="152" t="s">
        <v>188</v>
      </c>
      <c r="H115" s="152" t="s">
        <v>138</v>
      </c>
      <c r="I115" s="152"/>
    </row>
    <row r="116" customFormat="false" ht="16.5" hidden="false" customHeight="true" outlineLevel="0" collapsed="false">
      <c r="A116" s="151" t="n">
        <v>45034</v>
      </c>
      <c r="B116" s="152" t="s">
        <v>400</v>
      </c>
      <c r="C116" s="153" t="n">
        <v>-99.97</v>
      </c>
      <c r="D116" s="154" t="s">
        <v>97</v>
      </c>
      <c r="E116" s="153" t="n">
        <v>-99.97</v>
      </c>
      <c r="F116" s="154" t="s">
        <v>401</v>
      </c>
      <c r="G116" s="152" t="s">
        <v>188</v>
      </c>
      <c r="H116" s="152" t="s">
        <v>106</v>
      </c>
      <c r="I116" s="152"/>
    </row>
    <row r="117" customFormat="false" ht="16.5" hidden="false" customHeight="true" outlineLevel="0" collapsed="false">
      <c r="A117" s="151" t="n">
        <v>45035</v>
      </c>
      <c r="B117" s="152" t="s">
        <v>375</v>
      </c>
      <c r="C117" s="155" t="n">
        <v>360949.74</v>
      </c>
      <c r="D117" s="154" t="s">
        <v>136</v>
      </c>
      <c r="E117" s="153" t="n">
        <v>99.97</v>
      </c>
      <c r="F117" s="154" t="s">
        <v>401</v>
      </c>
      <c r="G117" s="152" t="s">
        <v>188</v>
      </c>
      <c r="H117" s="152" t="s">
        <v>138</v>
      </c>
      <c r="I117" s="152"/>
    </row>
    <row r="118" customFormat="false" ht="16.5" hidden="false" customHeight="true" outlineLevel="0" collapsed="false">
      <c r="A118" s="151" t="n">
        <v>45036</v>
      </c>
      <c r="B118" s="152" t="s">
        <v>402</v>
      </c>
      <c r="C118" s="153" t="n">
        <v>-120.29</v>
      </c>
      <c r="D118" s="154" t="s">
        <v>97</v>
      </c>
      <c r="E118" s="153" t="n">
        <v>-120.29</v>
      </c>
      <c r="F118" s="154" t="s">
        <v>403</v>
      </c>
      <c r="G118" s="152" t="s">
        <v>188</v>
      </c>
      <c r="H118" s="152" t="s">
        <v>106</v>
      </c>
      <c r="I118" s="152"/>
    </row>
    <row r="119" customFormat="false" ht="16.5" hidden="false" customHeight="true" outlineLevel="0" collapsed="false">
      <c r="A119" s="151" t="n">
        <v>45037</v>
      </c>
      <c r="B119" s="152" t="s">
        <v>375</v>
      </c>
      <c r="C119" s="155" t="n">
        <v>465744.89</v>
      </c>
      <c r="D119" s="154" t="s">
        <v>136</v>
      </c>
      <c r="E119" s="153" t="n">
        <v>120.29</v>
      </c>
      <c r="F119" s="154" t="s">
        <v>403</v>
      </c>
      <c r="G119" s="152" t="s">
        <v>188</v>
      </c>
      <c r="H119" s="152" t="s">
        <v>138</v>
      </c>
      <c r="I119" s="152"/>
    </row>
    <row r="120" customFormat="false" ht="16.5" hidden="false" customHeight="true" outlineLevel="0" collapsed="false">
      <c r="A120" s="151" t="n">
        <v>45042</v>
      </c>
      <c r="B120" s="152" t="s">
        <v>404</v>
      </c>
      <c r="C120" s="153" t="n">
        <v>-99.97</v>
      </c>
      <c r="D120" s="154" t="s">
        <v>97</v>
      </c>
      <c r="E120" s="153" t="n">
        <v>-99.97</v>
      </c>
      <c r="F120" s="154" t="s">
        <v>405</v>
      </c>
      <c r="G120" s="152" t="s">
        <v>188</v>
      </c>
      <c r="H120" s="152" t="s">
        <v>106</v>
      </c>
      <c r="I120" s="152"/>
    </row>
    <row r="121" customFormat="false" ht="16.5" hidden="false" customHeight="true" outlineLevel="0" collapsed="false">
      <c r="A121" s="151" t="n">
        <v>45043</v>
      </c>
      <c r="B121" s="152" t="s">
        <v>375</v>
      </c>
      <c r="C121" s="155" t="n">
        <v>374591.02</v>
      </c>
      <c r="D121" s="154" t="s">
        <v>136</v>
      </c>
      <c r="E121" s="153" t="n">
        <v>99.97</v>
      </c>
      <c r="F121" s="154" t="s">
        <v>405</v>
      </c>
      <c r="G121" s="152" t="s">
        <v>188</v>
      </c>
      <c r="H121" s="152" t="s">
        <v>138</v>
      </c>
      <c r="I121" s="152"/>
    </row>
    <row r="122" customFormat="false" ht="16.5" hidden="false" customHeight="true" outlineLevel="0" collapsed="false">
      <c r="A122" s="151" t="n">
        <v>45048</v>
      </c>
      <c r="B122" s="152" t="s">
        <v>406</v>
      </c>
      <c r="C122" s="153" t="n">
        <v>-197.36</v>
      </c>
      <c r="D122" s="154" t="s">
        <v>97</v>
      </c>
      <c r="E122" s="153" t="n">
        <v>-197.36</v>
      </c>
      <c r="F122" s="154" t="s">
        <v>407</v>
      </c>
      <c r="G122" s="152" t="s">
        <v>188</v>
      </c>
      <c r="H122" s="152" t="s">
        <v>106</v>
      </c>
      <c r="I122" s="152"/>
    </row>
    <row r="123" customFormat="false" ht="16.5" hidden="false" customHeight="true" outlineLevel="0" collapsed="false">
      <c r="A123" s="151" t="n">
        <v>45047</v>
      </c>
      <c r="B123" s="152" t="s">
        <v>60</v>
      </c>
      <c r="C123" s="157" t="n">
        <v>0</v>
      </c>
      <c r="D123" s="154" t="s">
        <v>146</v>
      </c>
      <c r="E123" s="153"/>
      <c r="F123" s="154"/>
      <c r="G123" s="152" t="s">
        <v>315</v>
      </c>
      <c r="H123" s="152" t="s">
        <v>145</v>
      </c>
      <c r="I123" s="152"/>
    </row>
    <row r="124" customFormat="false" ht="16.5" hidden="false" customHeight="true" outlineLevel="0" collapsed="false">
      <c r="A124" s="151" t="n">
        <v>45048</v>
      </c>
      <c r="B124" s="152" t="s">
        <v>408</v>
      </c>
      <c r="C124" s="157" t="n">
        <v>2.8083</v>
      </c>
      <c r="D124" s="154" t="s">
        <v>146</v>
      </c>
      <c r="E124" s="153" t="n">
        <v>197.36</v>
      </c>
      <c r="F124" s="154" t="s">
        <v>407</v>
      </c>
      <c r="G124" s="152" t="s">
        <v>188</v>
      </c>
      <c r="H124" s="152" t="s">
        <v>145</v>
      </c>
      <c r="I124" s="152"/>
    </row>
    <row r="125" customFormat="false" ht="16.5" hidden="false" customHeight="true" outlineLevel="0" collapsed="false">
      <c r="A125" s="151" t="n">
        <v>45076</v>
      </c>
      <c r="B125" s="152" t="s">
        <v>409</v>
      </c>
      <c r="C125" s="153" t="n">
        <v>-59.99</v>
      </c>
      <c r="D125" s="154" t="s">
        <v>97</v>
      </c>
      <c r="E125" s="153" t="n">
        <v>-59.99</v>
      </c>
      <c r="F125" s="154" t="s">
        <v>410</v>
      </c>
      <c r="G125" s="152" t="s">
        <v>188</v>
      </c>
      <c r="H125" s="152" t="s">
        <v>106</v>
      </c>
      <c r="I125" s="152"/>
    </row>
    <row r="126" customFormat="false" ht="16.5" hidden="false" customHeight="true" outlineLevel="0" collapsed="false">
      <c r="A126" s="151" t="n">
        <v>45077</v>
      </c>
      <c r="B126" s="152" t="s">
        <v>375</v>
      </c>
      <c r="C126" s="155" t="n">
        <v>232948.86</v>
      </c>
      <c r="D126" s="154" t="s">
        <v>136</v>
      </c>
      <c r="E126" s="153" t="n">
        <v>59.99</v>
      </c>
      <c r="F126" s="154" t="s">
        <v>410</v>
      </c>
      <c r="G126" s="152" t="s">
        <v>188</v>
      </c>
      <c r="H126" s="152" t="s">
        <v>138</v>
      </c>
      <c r="I126" s="152"/>
    </row>
    <row r="127" customFormat="false" ht="16.5" hidden="false" customHeight="true" outlineLevel="0" collapsed="false">
      <c r="A127" s="151" t="n">
        <v>45078</v>
      </c>
      <c r="B127" s="152" t="s">
        <v>411</v>
      </c>
      <c r="C127" s="155" t="n">
        <v>-798097.73</v>
      </c>
      <c r="D127" s="154" t="s">
        <v>136</v>
      </c>
      <c r="E127" s="153" t="n">
        <v>-202.98</v>
      </c>
      <c r="F127" s="154" t="s">
        <v>412</v>
      </c>
      <c r="G127" s="152" t="s">
        <v>188</v>
      </c>
      <c r="H127" s="152" t="s">
        <v>138</v>
      </c>
      <c r="I127" s="152"/>
    </row>
    <row r="128" customFormat="false" ht="16.5" hidden="false" customHeight="true" outlineLevel="0" collapsed="false">
      <c r="A128" s="151" t="n">
        <v>45078</v>
      </c>
      <c r="B128" s="152" t="s">
        <v>413</v>
      </c>
      <c r="C128" s="156" t="n">
        <v>1.44326</v>
      </c>
      <c r="D128" s="154" t="s">
        <v>141</v>
      </c>
      <c r="E128" s="153" t="n">
        <v>202.98</v>
      </c>
      <c r="F128" s="154" t="s">
        <v>412</v>
      </c>
      <c r="G128" s="152" t="s">
        <v>188</v>
      </c>
      <c r="H128" s="152" t="s">
        <v>140</v>
      </c>
      <c r="I128" s="152"/>
    </row>
    <row r="129" customFormat="false" ht="16.5" hidden="false" customHeight="true" outlineLevel="0" collapsed="false">
      <c r="A129" s="151" t="n">
        <v>45078</v>
      </c>
      <c r="B129" s="152" t="s">
        <v>414</v>
      </c>
      <c r="C129" s="155" t="n">
        <v>-11157.43</v>
      </c>
      <c r="D129" s="154" t="s">
        <v>136</v>
      </c>
      <c r="E129" s="153"/>
      <c r="F129" s="154"/>
      <c r="G129" s="152" t="s">
        <v>204</v>
      </c>
      <c r="H129" s="152" t="s">
        <v>138</v>
      </c>
      <c r="I129" s="152"/>
    </row>
    <row r="130" customFormat="false" ht="16.5" hidden="false" customHeight="true" outlineLevel="0" collapsed="false">
      <c r="A130" s="151" t="n">
        <v>45152</v>
      </c>
      <c r="B130" s="152" t="s">
        <v>324</v>
      </c>
      <c r="C130" s="153" t="n">
        <v>-3984.15</v>
      </c>
      <c r="D130" s="154" t="s">
        <v>97</v>
      </c>
      <c r="E130" s="153"/>
      <c r="F130" s="154" t="s">
        <v>415</v>
      </c>
      <c r="G130" s="152" t="s">
        <v>193</v>
      </c>
      <c r="H130" s="152" t="s">
        <v>96</v>
      </c>
      <c r="I130" s="152"/>
    </row>
    <row r="131" customFormat="false" ht="16.5" hidden="false" customHeight="true" outlineLevel="0" collapsed="false">
      <c r="A131" s="151" t="n">
        <v>45152</v>
      </c>
      <c r="B131" s="152" t="s">
        <v>416</v>
      </c>
      <c r="C131" s="153" t="n">
        <v>3969.1</v>
      </c>
      <c r="D131" s="154" t="s">
        <v>97</v>
      </c>
      <c r="E131" s="153"/>
      <c r="F131" s="154" t="s">
        <v>415</v>
      </c>
      <c r="G131" s="152" t="s">
        <v>193</v>
      </c>
      <c r="H131" s="152" t="s">
        <v>96</v>
      </c>
      <c r="I131" s="152"/>
    </row>
    <row r="132" customFormat="false" ht="16.5" hidden="false" customHeight="true" outlineLevel="0" collapsed="false">
      <c r="A132" s="151" t="n">
        <v>45152</v>
      </c>
      <c r="B132" s="152" t="s">
        <v>416</v>
      </c>
      <c r="C132" s="153" t="n">
        <v>15.05</v>
      </c>
      <c r="D132" s="154" t="s">
        <v>97</v>
      </c>
      <c r="E132" s="153"/>
      <c r="F132" s="154" t="s">
        <v>415</v>
      </c>
      <c r="G132" s="152" t="s">
        <v>193</v>
      </c>
      <c r="H132" s="152" t="s">
        <v>96</v>
      </c>
      <c r="I132" s="152"/>
    </row>
    <row r="133" customFormat="false" ht="16.5" hidden="false" customHeight="true" outlineLevel="0" collapsed="false">
      <c r="A133" s="151" t="n">
        <v>45148</v>
      </c>
      <c r="B133" s="152" t="s">
        <v>332</v>
      </c>
      <c r="C133" s="153" t="n">
        <v>-4257.7</v>
      </c>
      <c r="D133" s="154" t="s">
        <v>97</v>
      </c>
      <c r="E133" s="153"/>
      <c r="F133" s="154" t="s">
        <v>417</v>
      </c>
      <c r="G133" s="152" t="s">
        <v>193</v>
      </c>
      <c r="H133" s="152" t="s">
        <v>98</v>
      </c>
      <c r="I133" s="152"/>
    </row>
    <row r="134" customFormat="false" ht="16.5" hidden="false" customHeight="true" outlineLevel="0" collapsed="false">
      <c r="A134" s="151" t="n">
        <v>45148</v>
      </c>
      <c r="B134" s="152" t="s">
        <v>418</v>
      </c>
      <c r="C134" s="153" t="n">
        <v>4257.7</v>
      </c>
      <c r="D134" s="154" t="s">
        <v>97</v>
      </c>
      <c r="E134" s="153"/>
      <c r="F134" s="154" t="s">
        <v>417</v>
      </c>
      <c r="G134" s="152" t="s">
        <v>193</v>
      </c>
      <c r="H134" s="152" t="s">
        <v>98</v>
      </c>
      <c r="I134" s="152"/>
    </row>
    <row r="135" customFormat="false" ht="16.5" hidden="false" customHeight="true" outlineLevel="0" collapsed="false">
      <c r="A135" s="151" t="n">
        <v>45174</v>
      </c>
      <c r="B135" s="152" t="s">
        <v>322</v>
      </c>
      <c r="C135" s="153" t="n">
        <v>-5177.28</v>
      </c>
      <c r="D135" s="154" t="s">
        <v>97</v>
      </c>
      <c r="E135" s="153"/>
      <c r="F135" s="154" t="s">
        <v>419</v>
      </c>
      <c r="G135" s="152" t="s">
        <v>193</v>
      </c>
      <c r="H135" s="152" t="s">
        <v>99</v>
      </c>
      <c r="I135" s="152"/>
    </row>
    <row r="136" customFormat="false" ht="16.5" hidden="false" customHeight="true" outlineLevel="0" collapsed="false">
      <c r="A136" s="151" t="n">
        <v>45174</v>
      </c>
      <c r="B136" s="152" t="s">
        <v>321</v>
      </c>
      <c r="C136" s="153" t="n">
        <v>2581.38</v>
      </c>
      <c r="D136" s="154" t="s">
        <v>97</v>
      </c>
      <c r="E136" s="153"/>
      <c r="F136" s="154" t="s">
        <v>419</v>
      </c>
      <c r="G136" s="152" t="s">
        <v>193</v>
      </c>
      <c r="H136" s="152" t="s">
        <v>99</v>
      </c>
      <c r="I136" s="152"/>
    </row>
    <row r="137" customFormat="false" ht="16.5" hidden="false" customHeight="true" outlineLevel="0" collapsed="false">
      <c r="A137" s="151" t="n">
        <v>45174</v>
      </c>
      <c r="B137" s="152" t="s">
        <v>328</v>
      </c>
      <c r="C137" s="153" t="n">
        <v>2595.9</v>
      </c>
      <c r="D137" s="154" t="s">
        <v>97</v>
      </c>
      <c r="E137" s="153"/>
      <c r="F137" s="154" t="s">
        <v>419</v>
      </c>
      <c r="G137" s="152" t="s">
        <v>193</v>
      </c>
      <c r="H137" s="152" t="s">
        <v>99</v>
      </c>
      <c r="I137" s="152"/>
    </row>
    <row r="138" customFormat="false" ht="16.5" hidden="false" customHeight="true" outlineLevel="0" collapsed="false">
      <c r="A138" s="151" t="n">
        <v>45205</v>
      </c>
      <c r="B138" s="152" t="s">
        <v>321</v>
      </c>
      <c r="C138" s="153" t="n">
        <v>-2907.25</v>
      </c>
      <c r="D138" s="154" t="s">
        <v>97</v>
      </c>
      <c r="E138" s="153"/>
      <c r="F138" s="154" t="s">
        <v>420</v>
      </c>
      <c r="G138" s="152" t="s">
        <v>193</v>
      </c>
      <c r="H138" s="152" t="s">
        <v>99</v>
      </c>
      <c r="I138" s="152"/>
    </row>
    <row r="139" customFormat="false" ht="16.5" hidden="false" customHeight="true" outlineLevel="0" collapsed="false">
      <c r="A139" s="151" t="n">
        <v>45205</v>
      </c>
      <c r="B139" s="152" t="s">
        <v>328</v>
      </c>
      <c r="C139" s="153" t="n">
        <v>-2549.12</v>
      </c>
      <c r="D139" s="154" t="s">
        <v>97</v>
      </c>
      <c r="E139" s="153"/>
      <c r="F139" s="154" t="s">
        <v>420</v>
      </c>
      <c r="G139" s="152" t="s">
        <v>193</v>
      </c>
      <c r="H139" s="152" t="s">
        <v>99</v>
      </c>
      <c r="I139" s="152"/>
    </row>
    <row r="140" customFormat="false" ht="16.5" hidden="false" customHeight="true" outlineLevel="0" collapsed="false">
      <c r="A140" s="151" t="n">
        <v>45205</v>
      </c>
      <c r="B140" s="152" t="s">
        <v>317</v>
      </c>
      <c r="C140" s="153" t="n">
        <v>8550.37</v>
      </c>
      <c r="D140" s="154" t="s">
        <v>97</v>
      </c>
      <c r="E140" s="153"/>
      <c r="F140" s="154" t="s">
        <v>420</v>
      </c>
      <c r="G140" s="152" t="s">
        <v>193</v>
      </c>
      <c r="H140" s="152" t="s">
        <v>99</v>
      </c>
      <c r="I140" s="152"/>
    </row>
    <row r="141" customFormat="false" ht="16.5" hidden="false" customHeight="true" outlineLevel="0" collapsed="false">
      <c r="A141" s="151" t="n">
        <v>45205</v>
      </c>
      <c r="B141" s="152" t="s">
        <v>323</v>
      </c>
      <c r="C141" s="153" t="n">
        <v>-3094</v>
      </c>
      <c r="D141" s="154" t="s">
        <v>97</v>
      </c>
      <c r="E141" s="153"/>
      <c r="F141" s="154" t="s">
        <v>420</v>
      </c>
      <c r="G141" s="152" t="s">
        <v>193</v>
      </c>
      <c r="H141" s="152" t="s">
        <v>99</v>
      </c>
      <c r="I141" s="152"/>
    </row>
    <row r="142" customFormat="false" ht="16.5" hidden="false" customHeight="true" outlineLevel="0" collapsed="false">
      <c r="A142" s="151" t="n">
        <v>45230</v>
      </c>
      <c r="B142" s="152" t="s">
        <v>421</v>
      </c>
      <c r="C142" s="153" t="n">
        <v>-1576.05</v>
      </c>
      <c r="D142" s="154" t="s">
        <v>97</v>
      </c>
      <c r="E142" s="153" t="n">
        <v>-1576.05</v>
      </c>
      <c r="F142" s="154" t="s">
        <v>422</v>
      </c>
      <c r="G142" s="152" t="s">
        <v>188</v>
      </c>
      <c r="H142" s="152" t="s">
        <v>106</v>
      </c>
      <c r="I142" s="152"/>
    </row>
    <row r="143" customFormat="false" ht="16.5" hidden="false" customHeight="true" outlineLevel="0" collapsed="false">
      <c r="A143" s="151" t="n">
        <v>45261</v>
      </c>
      <c r="B143" s="152" t="s">
        <v>423</v>
      </c>
      <c r="C143" s="153" t="n">
        <v>-939.65</v>
      </c>
      <c r="D143" s="154" t="s">
        <v>97</v>
      </c>
      <c r="E143" s="153" t="n">
        <v>-939.65</v>
      </c>
      <c r="F143" s="154" t="s">
        <v>424</v>
      </c>
      <c r="G143" s="152" t="s">
        <v>188</v>
      </c>
      <c r="H143" s="152" t="s">
        <v>106</v>
      </c>
      <c r="I143" s="152"/>
    </row>
    <row r="144" customFormat="false" ht="16.5" hidden="false" customHeight="true" outlineLevel="0" collapsed="false">
      <c r="A144" s="151" t="n">
        <v>45261</v>
      </c>
      <c r="B144" s="152" t="s">
        <v>408</v>
      </c>
      <c r="C144" s="157" t="n">
        <v>26.10661</v>
      </c>
      <c r="D144" s="154" t="s">
        <v>146</v>
      </c>
      <c r="E144" s="153" t="n">
        <v>1576.05</v>
      </c>
      <c r="F144" s="154" t="s">
        <v>422</v>
      </c>
      <c r="G144" s="152" t="s">
        <v>188</v>
      </c>
      <c r="H144" s="152" t="s">
        <v>145</v>
      </c>
      <c r="I144" s="152"/>
    </row>
    <row r="145" customFormat="false" ht="16.5" hidden="false" customHeight="true" outlineLevel="0" collapsed="false">
      <c r="A145" s="151" t="n">
        <v>45261</v>
      </c>
      <c r="B145" s="152" t="s">
        <v>408</v>
      </c>
      <c r="C145" s="157" t="n">
        <v>14.1405</v>
      </c>
      <c r="D145" s="154" t="s">
        <v>146</v>
      </c>
      <c r="E145" s="153" t="n">
        <v>939.65</v>
      </c>
      <c r="F145" s="154" t="s">
        <v>424</v>
      </c>
      <c r="G145" s="152" t="s">
        <v>188</v>
      </c>
      <c r="H145" s="152" t="s">
        <v>145</v>
      </c>
      <c r="I145" s="152"/>
    </row>
    <row r="146" customFormat="false" ht="16.5" hidden="false" customHeight="true" outlineLevel="0" collapsed="false">
      <c r="A146" s="151" t="n">
        <v>45292</v>
      </c>
      <c r="B146" s="152" t="s">
        <v>60</v>
      </c>
      <c r="C146" s="153" t="n">
        <v>25272.92</v>
      </c>
      <c r="D146" s="154" t="s">
        <v>97</v>
      </c>
      <c r="E146" s="153"/>
      <c r="F146" s="154"/>
      <c r="G146" s="152" t="s">
        <v>315</v>
      </c>
      <c r="H146" s="152" t="s">
        <v>96</v>
      </c>
      <c r="I146" s="152"/>
    </row>
    <row r="147" customFormat="false" ht="16.5" hidden="false" customHeight="true" outlineLevel="0" collapsed="false">
      <c r="A147" s="151" t="n">
        <v>45292</v>
      </c>
      <c r="B147" s="152" t="s">
        <v>60</v>
      </c>
      <c r="C147" s="153" t="n">
        <v>16270.83</v>
      </c>
      <c r="D147" s="154" t="s">
        <v>97</v>
      </c>
      <c r="E147" s="153"/>
      <c r="F147" s="154"/>
      <c r="G147" s="152" t="s">
        <v>315</v>
      </c>
      <c r="H147" s="152" t="s">
        <v>98</v>
      </c>
      <c r="I147" s="152"/>
    </row>
    <row r="148" customFormat="false" ht="16.5" hidden="false" customHeight="true" outlineLevel="0" collapsed="false">
      <c r="A148" s="151" t="n">
        <v>45292</v>
      </c>
      <c r="B148" s="152" t="s">
        <v>60</v>
      </c>
      <c r="C148" s="153" t="n">
        <v>16073.46</v>
      </c>
      <c r="D148" s="154" t="s">
        <v>97</v>
      </c>
      <c r="E148" s="153"/>
      <c r="F148" s="154"/>
      <c r="G148" s="152" t="s">
        <v>315</v>
      </c>
      <c r="H148" s="152" t="s">
        <v>99</v>
      </c>
      <c r="I148" s="152"/>
    </row>
    <row r="149" customFormat="false" ht="16.5" hidden="false" customHeight="true" outlineLevel="0" collapsed="false">
      <c r="A149" s="151" t="n">
        <v>45292</v>
      </c>
      <c r="B149" s="152" t="s">
        <v>60</v>
      </c>
      <c r="C149" s="158" t="n">
        <v>65.56184</v>
      </c>
      <c r="D149" s="154" t="s">
        <v>150</v>
      </c>
      <c r="E149" s="153"/>
      <c r="F149" s="154"/>
      <c r="G149" s="152" t="s">
        <v>315</v>
      </c>
      <c r="H149" s="152" t="s">
        <v>149</v>
      </c>
      <c r="I149" s="152"/>
    </row>
    <row r="150" customFormat="false" ht="16.5" hidden="false" customHeight="true" outlineLevel="0" collapsed="false">
      <c r="A150" s="151" t="n">
        <v>45292</v>
      </c>
      <c r="B150" s="152" t="s">
        <v>60</v>
      </c>
      <c r="C150" s="157" t="n">
        <v>43.08444</v>
      </c>
      <c r="D150" s="154" t="s">
        <v>146</v>
      </c>
      <c r="E150" s="153"/>
      <c r="F150" s="154"/>
      <c r="G150" s="152" t="s">
        <v>315</v>
      </c>
      <c r="H150" s="152" t="s">
        <v>145</v>
      </c>
      <c r="I150" s="152"/>
    </row>
    <row r="151" customFormat="false" ht="16.5" hidden="false" customHeight="true" outlineLevel="0" collapsed="false">
      <c r="A151" s="151" t="n">
        <v>45292</v>
      </c>
      <c r="B151" s="152" t="s">
        <v>60</v>
      </c>
      <c r="C151" s="155" t="n">
        <v>957833.13</v>
      </c>
      <c r="D151" s="154" t="s">
        <v>136</v>
      </c>
      <c r="E151" s="153"/>
      <c r="F151" s="154"/>
      <c r="G151" s="152" t="s">
        <v>315</v>
      </c>
      <c r="H151" s="152" t="s">
        <v>135</v>
      </c>
      <c r="I151" s="152"/>
    </row>
    <row r="152" customFormat="false" ht="16.5" hidden="false" customHeight="true" outlineLevel="0" collapsed="false">
      <c r="A152" s="151" t="n">
        <v>45292</v>
      </c>
      <c r="B152" s="152" t="s">
        <v>60</v>
      </c>
      <c r="C152" s="155" t="n">
        <v>5679.97</v>
      </c>
      <c r="D152" s="154" t="s">
        <v>136</v>
      </c>
      <c r="E152" s="153"/>
      <c r="F152" s="154"/>
      <c r="G152" s="152" t="s">
        <v>315</v>
      </c>
      <c r="H152" s="152" t="s">
        <v>137</v>
      </c>
      <c r="I152" s="152"/>
    </row>
    <row r="153" customFormat="false" ht="16.5" hidden="false" customHeight="true" outlineLevel="0" collapsed="false">
      <c r="A153" s="151" t="n">
        <v>45292</v>
      </c>
      <c r="B153" s="152" t="s">
        <v>60</v>
      </c>
      <c r="C153" s="155" t="n">
        <v>3089028.92</v>
      </c>
      <c r="D153" s="154" t="s">
        <v>136</v>
      </c>
      <c r="E153" s="153"/>
      <c r="F153" s="154"/>
      <c r="G153" s="152" t="s">
        <v>315</v>
      </c>
      <c r="H153" s="152" t="s">
        <v>138</v>
      </c>
      <c r="I153" s="152"/>
    </row>
    <row r="154" customFormat="false" ht="16.5" hidden="false" customHeight="true" outlineLevel="0" collapsed="false">
      <c r="A154" s="151" t="n">
        <v>45292</v>
      </c>
      <c r="B154" s="152" t="s">
        <v>60</v>
      </c>
      <c r="C154" s="155" t="n">
        <v>49005.19</v>
      </c>
      <c r="D154" s="154" t="s">
        <v>136</v>
      </c>
      <c r="E154" s="153"/>
      <c r="F154" s="154"/>
      <c r="G154" s="152" t="s">
        <v>315</v>
      </c>
      <c r="H154" s="152" t="s">
        <v>139</v>
      </c>
      <c r="I154" s="152"/>
    </row>
    <row r="155" customFormat="false" ht="16.5" hidden="false" customHeight="true" outlineLevel="0" collapsed="false">
      <c r="A155" s="151" t="n">
        <v>45292</v>
      </c>
      <c r="B155" s="152" t="s">
        <v>60</v>
      </c>
      <c r="C155" s="156" t="n">
        <v>1.60742</v>
      </c>
      <c r="D155" s="154" t="s">
        <v>141</v>
      </c>
      <c r="E155" s="153"/>
      <c r="F155" s="154"/>
      <c r="G155" s="152" t="s">
        <v>315</v>
      </c>
      <c r="H155" s="152" t="s">
        <v>140</v>
      </c>
      <c r="I155" s="152"/>
    </row>
    <row r="156" customFormat="false" ht="16.5" hidden="false" customHeight="true" outlineLevel="0" collapsed="false">
      <c r="A156" s="151" t="n">
        <v>45302</v>
      </c>
      <c r="B156" s="152" t="s">
        <v>324</v>
      </c>
      <c r="C156" s="153" t="n">
        <v>-3999.54</v>
      </c>
      <c r="D156" s="154" t="s">
        <v>97</v>
      </c>
      <c r="E156" s="153"/>
      <c r="F156" s="154" t="s">
        <v>425</v>
      </c>
      <c r="G156" s="152" t="s">
        <v>190</v>
      </c>
      <c r="H156" s="152" t="s">
        <v>96</v>
      </c>
      <c r="I156" s="152"/>
    </row>
    <row r="157" customFormat="false" ht="16.5" hidden="false" customHeight="true" outlineLevel="0" collapsed="false">
      <c r="A157" s="151" t="n">
        <v>45302</v>
      </c>
      <c r="B157" s="152" t="s">
        <v>426</v>
      </c>
      <c r="C157" s="153" t="n">
        <v>3999.54</v>
      </c>
      <c r="D157" s="154" t="s">
        <v>97</v>
      </c>
      <c r="E157" s="153"/>
      <c r="F157" s="154" t="s">
        <v>425</v>
      </c>
      <c r="G157" s="152" t="s">
        <v>190</v>
      </c>
      <c r="H157" s="152" t="s">
        <v>106</v>
      </c>
      <c r="I157" s="152"/>
    </row>
    <row r="158" customFormat="false" ht="16.5" hidden="false" customHeight="true" outlineLevel="0" collapsed="false">
      <c r="A158" s="151" t="n">
        <v>45308</v>
      </c>
      <c r="B158" s="152" t="s">
        <v>427</v>
      </c>
      <c r="C158" s="153" t="n">
        <v>-200.15</v>
      </c>
      <c r="D158" s="154" t="s">
        <v>97</v>
      </c>
      <c r="E158" s="153" t="n">
        <v>-200.15</v>
      </c>
      <c r="F158" s="154" t="s">
        <v>428</v>
      </c>
      <c r="G158" s="152" t="s">
        <v>188</v>
      </c>
      <c r="H158" s="152" t="s">
        <v>106</v>
      </c>
      <c r="I158" s="152"/>
    </row>
    <row r="159" customFormat="false" ht="16.5" hidden="false" customHeight="true" outlineLevel="0" collapsed="false">
      <c r="A159" s="151" t="n">
        <v>45309</v>
      </c>
      <c r="B159" s="152" t="s">
        <v>429</v>
      </c>
      <c r="C159" s="155" t="n">
        <v>502658.88</v>
      </c>
      <c r="D159" s="154" t="s">
        <v>136</v>
      </c>
      <c r="E159" s="153" t="n">
        <v>200.15</v>
      </c>
      <c r="F159" s="154" t="s">
        <v>428</v>
      </c>
      <c r="G159" s="152" t="s">
        <v>188</v>
      </c>
      <c r="H159" s="152" t="s">
        <v>138</v>
      </c>
      <c r="I159" s="152"/>
    </row>
    <row r="160" customFormat="false" ht="16.5" hidden="false" customHeight="true" outlineLevel="0" collapsed="false">
      <c r="A160" s="151" t="n">
        <v>45313</v>
      </c>
      <c r="B160" s="152" t="s">
        <v>429</v>
      </c>
      <c r="C160" s="155" t="n">
        <v>526298.84</v>
      </c>
      <c r="D160" s="154" t="s">
        <v>136</v>
      </c>
      <c r="E160" s="153" t="n">
        <v>200.15</v>
      </c>
      <c r="F160" s="154" t="s">
        <v>430</v>
      </c>
      <c r="G160" s="152" t="s">
        <v>188</v>
      </c>
      <c r="H160" s="152" t="s">
        <v>138</v>
      </c>
      <c r="I160" s="152"/>
    </row>
    <row r="161" customFormat="false" ht="16.5" hidden="false" customHeight="true" outlineLevel="0" collapsed="false">
      <c r="A161" s="151" t="n">
        <v>45315</v>
      </c>
      <c r="B161" s="152" t="s">
        <v>431</v>
      </c>
      <c r="C161" s="153" t="n">
        <v>-10.03</v>
      </c>
      <c r="D161" s="154" t="s">
        <v>97</v>
      </c>
      <c r="E161" s="153" t="n">
        <v>-10.03</v>
      </c>
      <c r="F161" s="154" t="s">
        <v>432</v>
      </c>
      <c r="G161" s="152" t="s">
        <v>188</v>
      </c>
      <c r="H161" s="152" t="s">
        <v>106</v>
      </c>
      <c r="I161" s="152"/>
    </row>
    <row r="162" customFormat="false" ht="16.5" hidden="false" customHeight="true" outlineLevel="0" collapsed="false">
      <c r="A162" s="151" t="n">
        <v>45314</v>
      </c>
      <c r="B162" s="152" t="s">
        <v>433</v>
      </c>
      <c r="C162" s="153" t="n">
        <v>-200.15</v>
      </c>
      <c r="D162" s="154" t="s">
        <v>97</v>
      </c>
      <c r="E162" s="153" t="n">
        <v>-200.15</v>
      </c>
      <c r="F162" s="154" t="s">
        <v>434</v>
      </c>
      <c r="G162" s="152" t="s">
        <v>188</v>
      </c>
      <c r="H162" s="152" t="s">
        <v>106</v>
      </c>
      <c r="I162" s="152"/>
    </row>
    <row r="163" customFormat="false" ht="16.5" hidden="false" customHeight="true" outlineLevel="0" collapsed="false">
      <c r="A163" s="151" t="n">
        <v>45310</v>
      </c>
      <c r="B163" s="152" t="s">
        <v>435</v>
      </c>
      <c r="C163" s="153" t="n">
        <v>-200.15</v>
      </c>
      <c r="D163" s="154" t="s">
        <v>97</v>
      </c>
      <c r="E163" s="153" t="n">
        <v>-200.15</v>
      </c>
      <c r="F163" s="154" t="s">
        <v>430</v>
      </c>
      <c r="G163" s="152" t="s">
        <v>188</v>
      </c>
      <c r="H163" s="152" t="s">
        <v>106</v>
      </c>
      <c r="I163" s="152"/>
    </row>
    <row r="164" customFormat="false" ht="16.5" hidden="false" customHeight="true" outlineLevel="0" collapsed="false">
      <c r="A164" s="151" t="n">
        <v>45315</v>
      </c>
      <c r="B164" s="152" t="s">
        <v>429</v>
      </c>
      <c r="C164" s="155" t="n">
        <v>539611.31</v>
      </c>
      <c r="D164" s="154" t="s">
        <v>136</v>
      </c>
      <c r="E164" s="153" t="n">
        <v>200.15</v>
      </c>
      <c r="F164" s="154" t="s">
        <v>434</v>
      </c>
      <c r="G164" s="152" t="s">
        <v>188</v>
      </c>
      <c r="H164" s="152" t="s">
        <v>138</v>
      </c>
      <c r="I164" s="152"/>
    </row>
    <row r="165" customFormat="false" ht="16.5" hidden="false" customHeight="true" outlineLevel="0" collapsed="false">
      <c r="A165" s="151" t="n">
        <v>45316</v>
      </c>
      <c r="B165" s="152" t="s">
        <v>429</v>
      </c>
      <c r="C165" s="155" t="n">
        <v>27138.97</v>
      </c>
      <c r="D165" s="154" t="s">
        <v>136</v>
      </c>
      <c r="E165" s="153" t="n">
        <v>10.03</v>
      </c>
      <c r="F165" s="154" t="s">
        <v>432</v>
      </c>
      <c r="G165" s="152" t="s">
        <v>188</v>
      </c>
      <c r="H165" s="152" t="s">
        <v>135</v>
      </c>
      <c r="I165" s="152"/>
    </row>
    <row r="166" customFormat="false" ht="16.5" hidden="false" customHeight="true" outlineLevel="0" collapsed="false">
      <c r="A166" s="151" t="n">
        <v>45321</v>
      </c>
      <c r="B166" s="152" t="s">
        <v>436</v>
      </c>
      <c r="C166" s="157" t="n">
        <v>24.84882</v>
      </c>
      <c r="D166" s="154" t="s">
        <v>146</v>
      </c>
      <c r="E166" s="153" t="n">
        <v>1759.12</v>
      </c>
      <c r="F166" s="154" t="s">
        <v>437</v>
      </c>
      <c r="G166" s="152" t="s">
        <v>188</v>
      </c>
      <c r="H166" s="152" t="s">
        <v>145</v>
      </c>
      <c r="I166" s="152"/>
    </row>
    <row r="167" customFormat="false" ht="16.5" hidden="false" customHeight="true" outlineLevel="0" collapsed="false">
      <c r="A167" s="151" t="n">
        <v>45335</v>
      </c>
      <c r="B167" s="152" t="s">
        <v>438</v>
      </c>
      <c r="C167" s="153" t="n">
        <v>-200.15</v>
      </c>
      <c r="D167" s="154" t="s">
        <v>97</v>
      </c>
      <c r="E167" s="153" t="n">
        <v>-200.15</v>
      </c>
      <c r="F167" s="154" t="s">
        <v>439</v>
      </c>
      <c r="G167" s="152" t="s">
        <v>188</v>
      </c>
      <c r="H167" s="152" t="s">
        <v>106</v>
      </c>
      <c r="I167" s="152"/>
    </row>
    <row r="168" customFormat="false" ht="16.5" hidden="false" customHeight="true" outlineLevel="0" collapsed="false">
      <c r="A168" s="151" t="n">
        <v>45335</v>
      </c>
      <c r="B168" s="152" t="s">
        <v>429</v>
      </c>
      <c r="C168" s="155" t="n">
        <v>409679.4</v>
      </c>
      <c r="D168" s="154" t="s">
        <v>136</v>
      </c>
      <c r="E168" s="153" t="n">
        <v>200.15</v>
      </c>
      <c r="F168" s="154" t="s">
        <v>439</v>
      </c>
      <c r="G168" s="152" t="s">
        <v>188</v>
      </c>
      <c r="H168" s="152" t="s">
        <v>138</v>
      </c>
      <c r="I168" s="152"/>
    </row>
    <row r="169" customFormat="false" ht="16.5" hidden="false" customHeight="true" outlineLevel="0" collapsed="false">
      <c r="A169" s="151" t="n">
        <v>45355</v>
      </c>
      <c r="B169" s="152" t="s">
        <v>440</v>
      </c>
      <c r="C169" s="153" t="n">
        <v>-879.56</v>
      </c>
      <c r="D169" s="154" t="s">
        <v>97</v>
      </c>
      <c r="E169" s="153" t="n">
        <v>-879.56</v>
      </c>
      <c r="F169" s="154" t="s">
        <v>437</v>
      </c>
      <c r="G169" s="152" t="s">
        <v>188</v>
      </c>
      <c r="H169" s="152" t="s">
        <v>106</v>
      </c>
      <c r="I169" s="152"/>
    </row>
    <row r="170" customFormat="false" ht="16.5" hidden="false" customHeight="true" outlineLevel="0" collapsed="false">
      <c r="A170" s="151" t="n">
        <v>45355</v>
      </c>
      <c r="B170" s="152" t="s">
        <v>441</v>
      </c>
      <c r="C170" s="153" t="n">
        <v>-879.56</v>
      </c>
      <c r="D170" s="154" t="s">
        <v>97</v>
      </c>
      <c r="E170" s="153" t="n">
        <v>-879.56</v>
      </c>
      <c r="F170" s="154" t="s">
        <v>437</v>
      </c>
      <c r="G170" s="152" t="s">
        <v>188</v>
      </c>
      <c r="H170" s="152" t="s">
        <v>106</v>
      </c>
      <c r="I170" s="152"/>
    </row>
    <row r="171" customFormat="false" ht="16.5" hidden="false" customHeight="true" outlineLevel="0" collapsed="false">
      <c r="A171" s="151" t="n">
        <v>45377</v>
      </c>
      <c r="B171" s="152" t="s">
        <v>429</v>
      </c>
      <c r="C171" s="156" t="n">
        <v>0.08252</v>
      </c>
      <c r="D171" s="154" t="s">
        <v>141</v>
      </c>
      <c r="E171" s="153" t="n">
        <v>11.01</v>
      </c>
      <c r="F171" s="154" t="s">
        <v>442</v>
      </c>
      <c r="G171" s="152" t="s">
        <v>188</v>
      </c>
      <c r="H171" s="152" t="s">
        <v>140</v>
      </c>
      <c r="I171" s="152"/>
    </row>
    <row r="172" customFormat="false" ht="16.5" hidden="false" customHeight="true" outlineLevel="0" collapsed="false">
      <c r="A172" s="151" t="n">
        <v>45376</v>
      </c>
      <c r="B172" s="152" t="s">
        <v>443</v>
      </c>
      <c r="C172" s="153" t="n">
        <v>-11.01</v>
      </c>
      <c r="D172" s="154" t="s">
        <v>97</v>
      </c>
      <c r="E172" s="153" t="n">
        <v>-11.01</v>
      </c>
      <c r="F172" s="154" t="s">
        <v>442</v>
      </c>
      <c r="G172" s="152" t="s">
        <v>188</v>
      </c>
      <c r="H172" s="152" t="s">
        <v>106</v>
      </c>
      <c r="I172" s="152"/>
    </row>
    <row r="173" customFormat="false" ht="16.5" hidden="false" customHeight="true" outlineLevel="0" collapsed="false">
      <c r="A173" s="151" t="n">
        <v>45395</v>
      </c>
      <c r="B173" s="152" t="s">
        <v>444</v>
      </c>
      <c r="C173" s="158" t="n">
        <v>1.05502</v>
      </c>
      <c r="D173" s="154" t="s">
        <v>150</v>
      </c>
      <c r="E173" s="153" t="n">
        <v>75.78</v>
      </c>
      <c r="F173" s="154" t="s">
        <v>445</v>
      </c>
      <c r="G173" s="152" t="s">
        <v>189</v>
      </c>
      <c r="H173" s="152" t="s">
        <v>149</v>
      </c>
      <c r="I173" s="152"/>
    </row>
    <row r="174" customFormat="false" ht="16.5" hidden="false" customHeight="true" outlineLevel="0" collapsed="false">
      <c r="A174" s="151" t="n">
        <v>45395</v>
      </c>
      <c r="B174" s="152" t="s">
        <v>446</v>
      </c>
      <c r="C174" s="158" t="n">
        <v>2.64309</v>
      </c>
      <c r="D174" s="154" t="s">
        <v>150</v>
      </c>
      <c r="E174" s="153" t="n">
        <v>540.66</v>
      </c>
      <c r="F174" s="154" t="s">
        <v>447</v>
      </c>
      <c r="G174" s="152" t="s">
        <v>189</v>
      </c>
      <c r="H174" s="152" t="s">
        <v>149</v>
      </c>
      <c r="I174" s="152"/>
    </row>
    <row r="175" customFormat="false" ht="16.5" hidden="false" customHeight="true" outlineLevel="0" collapsed="false">
      <c r="A175" s="151" t="n">
        <v>45395</v>
      </c>
      <c r="B175" s="152" t="s">
        <v>448</v>
      </c>
      <c r="C175" s="158" t="n">
        <v>2.31815</v>
      </c>
      <c r="D175" s="154" t="s">
        <v>150</v>
      </c>
      <c r="E175" s="153" t="n">
        <v>120.29</v>
      </c>
      <c r="F175" s="154" t="s">
        <v>449</v>
      </c>
      <c r="G175" s="152" t="s">
        <v>189</v>
      </c>
      <c r="H175" s="152" t="s">
        <v>149</v>
      </c>
      <c r="I175" s="152"/>
    </row>
    <row r="176" customFormat="false" ht="16.5" hidden="false" customHeight="true" outlineLevel="0" collapsed="false">
      <c r="A176" s="151" t="n">
        <v>45395</v>
      </c>
      <c r="B176" s="152" t="s">
        <v>450</v>
      </c>
      <c r="C176" s="158" t="n">
        <v>0.59248</v>
      </c>
      <c r="D176" s="154" t="s">
        <v>150</v>
      </c>
      <c r="E176" s="153" t="n">
        <v>59.99</v>
      </c>
      <c r="F176" s="154" t="s">
        <v>451</v>
      </c>
      <c r="G176" s="152" t="s">
        <v>189</v>
      </c>
      <c r="H176" s="152" t="s">
        <v>149</v>
      </c>
      <c r="I176" s="152"/>
    </row>
    <row r="177" customFormat="false" ht="16.5" hidden="false" customHeight="true" outlineLevel="0" collapsed="false">
      <c r="A177" s="151" t="n">
        <v>45399</v>
      </c>
      <c r="B177" s="152" t="s">
        <v>452</v>
      </c>
      <c r="C177" s="153" t="n">
        <v>-75.78</v>
      </c>
      <c r="D177" s="154" t="s">
        <v>97</v>
      </c>
      <c r="E177" s="153" t="n">
        <v>-75.78</v>
      </c>
      <c r="F177" s="154" t="s">
        <v>445</v>
      </c>
      <c r="G177" s="152" t="s">
        <v>189</v>
      </c>
      <c r="H177" s="152" t="s">
        <v>106</v>
      </c>
      <c r="I177" s="152"/>
    </row>
    <row r="178" customFormat="false" ht="16.5" hidden="false" customHeight="true" outlineLevel="0" collapsed="false">
      <c r="A178" s="151" t="n">
        <v>45399</v>
      </c>
      <c r="B178" s="152" t="s">
        <v>453</v>
      </c>
      <c r="C178" s="153" t="n">
        <v>-120.29</v>
      </c>
      <c r="D178" s="154" t="s">
        <v>97</v>
      </c>
      <c r="E178" s="153" t="n">
        <v>-120.29</v>
      </c>
      <c r="F178" s="154" t="s">
        <v>449</v>
      </c>
      <c r="G178" s="152" t="s">
        <v>189</v>
      </c>
      <c r="H178" s="152" t="s">
        <v>106</v>
      </c>
      <c r="I178" s="152"/>
    </row>
    <row r="179" customFormat="false" ht="16.5" hidden="false" customHeight="true" outlineLevel="0" collapsed="false">
      <c r="A179" s="151" t="n">
        <v>45405</v>
      </c>
      <c r="B179" s="152" t="s">
        <v>454</v>
      </c>
      <c r="C179" s="153" t="n">
        <v>-200.15</v>
      </c>
      <c r="D179" s="154" t="s">
        <v>97</v>
      </c>
      <c r="E179" s="153" t="n">
        <v>-200.15</v>
      </c>
      <c r="F179" s="154" t="s">
        <v>455</v>
      </c>
      <c r="G179" s="152" t="s">
        <v>188</v>
      </c>
      <c r="H179" s="152" t="s">
        <v>106</v>
      </c>
      <c r="I179" s="152"/>
    </row>
    <row r="180" customFormat="false" ht="16.5" hidden="false" customHeight="true" outlineLevel="0" collapsed="false">
      <c r="A180" s="151" t="n">
        <v>45406</v>
      </c>
      <c r="B180" s="152" t="s">
        <v>429</v>
      </c>
      <c r="C180" s="155" t="n">
        <v>314640.45</v>
      </c>
      <c r="D180" s="154" t="s">
        <v>136</v>
      </c>
      <c r="E180" s="153" t="n">
        <v>200.15</v>
      </c>
      <c r="F180" s="154" t="s">
        <v>455</v>
      </c>
      <c r="G180" s="152" t="s">
        <v>188</v>
      </c>
      <c r="H180" s="152" t="s">
        <v>138</v>
      </c>
      <c r="I180" s="152"/>
    </row>
    <row r="181" customFormat="false" ht="16.5" hidden="false" customHeight="true" outlineLevel="0" collapsed="false">
      <c r="A181" s="151" t="n">
        <v>45414</v>
      </c>
      <c r="B181" s="152" t="s">
        <v>456</v>
      </c>
      <c r="C181" s="153" t="n">
        <v>-180.12</v>
      </c>
      <c r="D181" s="154" t="s">
        <v>97</v>
      </c>
      <c r="E181" s="153" t="n">
        <v>-180.12</v>
      </c>
      <c r="F181" s="154" t="s">
        <v>457</v>
      </c>
      <c r="G181" s="152" t="s">
        <v>188</v>
      </c>
      <c r="H181" s="152" t="s">
        <v>106</v>
      </c>
      <c r="I181" s="152"/>
    </row>
    <row r="182" customFormat="false" ht="16.5" hidden="false" customHeight="true" outlineLevel="0" collapsed="false">
      <c r="A182" s="151" t="n">
        <v>45414</v>
      </c>
      <c r="B182" s="152" t="s">
        <v>458</v>
      </c>
      <c r="C182" s="153" t="n">
        <v>-540.66</v>
      </c>
      <c r="D182" s="154" t="s">
        <v>97</v>
      </c>
      <c r="E182" s="153" t="n">
        <v>-540.66</v>
      </c>
      <c r="F182" s="154" t="s">
        <v>447</v>
      </c>
      <c r="G182" s="152" t="s">
        <v>189</v>
      </c>
      <c r="H182" s="152" t="s">
        <v>106</v>
      </c>
      <c r="I182" s="152"/>
    </row>
    <row r="183" customFormat="false" ht="16.5" hidden="false" customHeight="true" outlineLevel="0" collapsed="false">
      <c r="A183" s="151" t="n">
        <v>45395</v>
      </c>
      <c r="B183" s="152"/>
      <c r="C183" s="153" t="n">
        <v>-59.99</v>
      </c>
      <c r="D183" s="154" t="s">
        <v>97</v>
      </c>
      <c r="E183" s="153" t="n">
        <v>-59.99</v>
      </c>
      <c r="F183" s="154" t="s">
        <v>451</v>
      </c>
      <c r="G183" s="152" t="s">
        <v>189</v>
      </c>
      <c r="H183" s="152" t="s">
        <v>108</v>
      </c>
      <c r="I183" s="152"/>
    </row>
    <row r="184" customFormat="false" ht="16.5" hidden="false" customHeight="true" outlineLevel="0" collapsed="false">
      <c r="A184" s="151" t="n">
        <v>45415</v>
      </c>
      <c r="B184" s="152" t="s">
        <v>459</v>
      </c>
      <c r="C184" s="156" t="n">
        <v>1.52279</v>
      </c>
      <c r="D184" s="154" t="s">
        <v>141</v>
      </c>
      <c r="E184" s="153" t="n">
        <v>180.12</v>
      </c>
      <c r="F184" s="154" t="s">
        <v>457</v>
      </c>
      <c r="G184" s="152" t="s">
        <v>188</v>
      </c>
      <c r="H184" s="152" t="s">
        <v>140</v>
      </c>
      <c r="I184" s="152"/>
    </row>
    <row r="185" customFormat="false" ht="16.5" hidden="false" customHeight="true" outlineLevel="0" collapsed="false">
      <c r="A185" s="151" t="n">
        <v>45455</v>
      </c>
      <c r="B185" s="152" t="s">
        <v>459</v>
      </c>
      <c r="C185" s="156" t="n">
        <v>1.04768</v>
      </c>
      <c r="D185" s="154" t="s">
        <v>141</v>
      </c>
      <c r="E185" s="153" t="n">
        <v>180.12</v>
      </c>
      <c r="F185" s="154" t="s">
        <v>460</v>
      </c>
      <c r="G185" s="152" t="s">
        <v>188</v>
      </c>
      <c r="H185" s="152" t="s">
        <v>140</v>
      </c>
      <c r="I185" s="152"/>
    </row>
    <row r="186" customFormat="false" ht="16.5" hidden="false" customHeight="true" outlineLevel="0" collapsed="false">
      <c r="A186" s="151" t="n">
        <v>45456</v>
      </c>
      <c r="B186" s="152" t="s">
        <v>461</v>
      </c>
      <c r="C186" s="153" t="n">
        <v>-190.02</v>
      </c>
      <c r="D186" s="154" t="s">
        <v>97</v>
      </c>
      <c r="E186" s="153" t="n">
        <v>-190.02</v>
      </c>
      <c r="F186" s="154" t="s">
        <v>462</v>
      </c>
      <c r="G186" s="152" t="s">
        <v>188</v>
      </c>
      <c r="H186" s="152" t="s">
        <v>106</v>
      </c>
      <c r="I186" s="152"/>
    </row>
    <row r="187" customFormat="false" ht="16.5" hidden="false" customHeight="true" outlineLevel="0" collapsed="false">
      <c r="A187" s="151" t="n">
        <v>45456</v>
      </c>
      <c r="B187" s="152" t="s">
        <v>463</v>
      </c>
      <c r="C187" s="153" t="n">
        <v>-159.53</v>
      </c>
      <c r="D187" s="154" t="s">
        <v>97</v>
      </c>
      <c r="E187" s="153" t="n">
        <v>-159.53</v>
      </c>
      <c r="F187" s="154" t="s">
        <v>464</v>
      </c>
      <c r="G187" s="152" t="s">
        <v>188</v>
      </c>
      <c r="H187" s="152" t="s">
        <v>106</v>
      </c>
      <c r="I187" s="152"/>
    </row>
    <row r="188" customFormat="false" ht="16.5" hidden="false" customHeight="true" outlineLevel="0" collapsed="false">
      <c r="A188" s="151" t="n">
        <v>45456</v>
      </c>
      <c r="B188" s="152" t="s">
        <v>465</v>
      </c>
      <c r="C188" s="153" t="n">
        <v>-197.36</v>
      </c>
      <c r="D188" s="154" t="s">
        <v>97</v>
      </c>
      <c r="E188" s="153" t="n">
        <v>-197.36</v>
      </c>
      <c r="F188" s="154" t="s">
        <v>466</v>
      </c>
      <c r="G188" s="152" t="s">
        <v>188</v>
      </c>
      <c r="H188" s="152" t="s">
        <v>106</v>
      </c>
      <c r="I188" s="152"/>
    </row>
    <row r="189" customFormat="false" ht="16.5" hidden="false" customHeight="true" outlineLevel="0" collapsed="false">
      <c r="A189" s="151" t="n">
        <v>45454</v>
      </c>
      <c r="B189" s="152" t="s">
        <v>467</v>
      </c>
      <c r="C189" s="153" t="n">
        <v>-180.12</v>
      </c>
      <c r="D189" s="154" t="s">
        <v>97</v>
      </c>
      <c r="E189" s="153" t="n">
        <v>-180.12</v>
      </c>
      <c r="F189" s="154" t="s">
        <v>460</v>
      </c>
      <c r="G189" s="152" t="s">
        <v>188</v>
      </c>
      <c r="H189" s="152" t="s">
        <v>106</v>
      </c>
      <c r="I189" s="152"/>
    </row>
    <row r="190" customFormat="false" ht="16.5" hidden="false" customHeight="true" outlineLevel="0" collapsed="false">
      <c r="A190" s="151" t="n">
        <v>45457</v>
      </c>
      <c r="B190" s="152" t="s">
        <v>468</v>
      </c>
      <c r="C190" s="157" t="n">
        <v>6.98026</v>
      </c>
      <c r="D190" s="154" t="s">
        <v>146</v>
      </c>
      <c r="E190" s="153" t="n">
        <v>533.99</v>
      </c>
      <c r="F190" s="154" t="s">
        <v>469</v>
      </c>
      <c r="G190" s="152" t="s">
        <v>188</v>
      </c>
      <c r="H190" s="152" t="s">
        <v>145</v>
      </c>
      <c r="I190" s="152"/>
    </row>
    <row r="191" customFormat="false" ht="16.5" hidden="false" customHeight="true" outlineLevel="0" collapsed="false">
      <c r="A191" s="151" t="n">
        <v>45457</v>
      </c>
      <c r="B191" s="152" t="s">
        <v>60</v>
      </c>
      <c r="C191" s="157" t="n">
        <v>74.88449</v>
      </c>
      <c r="D191" s="154" t="s">
        <v>146</v>
      </c>
      <c r="E191" s="153"/>
      <c r="F191" s="154"/>
      <c r="G191" s="152" t="s">
        <v>315</v>
      </c>
      <c r="H191" s="152" t="s">
        <v>145</v>
      </c>
      <c r="I191" s="152"/>
    </row>
    <row r="192" customFormat="false" ht="16.5" hidden="false" customHeight="true" outlineLevel="0" collapsed="false">
      <c r="A192" s="151" t="n">
        <v>45457</v>
      </c>
      <c r="B192" s="152" t="s">
        <v>470</v>
      </c>
      <c r="C192" s="156" t="n">
        <v>1.20756</v>
      </c>
      <c r="D192" s="154" t="s">
        <v>141</v>
      </c>
      <c r="E192" s="153" t="n">
        <v>197.36</v>
      </c>
      <c r="F192" s="154" t="s">
        <v>466</v>
      </c>
      <c r="G192" s="152" t="s">
        <v>188</v>
      </c>
      <c r="H192" s="152" t="s">
        <v>140</v>
      </c>
      <c r="I192" s="152"/>
    </row>
    <row r="193" customFormat="false" ht="16.5" hidden="false" customHeight="true" outlineLevel="0" collapsed="false">
      <c r="A193" s="151" t="n">
        <v>45457</v>
      </c>
      <c r="B193" s="152" t="s">
        <v>471</v>
      </c>
      <c r="C193" s="155" t="n">
        <v>253226.86</v>
      </c>
      <c r="D193" s="154" t="s">
        <v>136</v>
      </c>
      <c r="E193" s="153" t="n">
        <v>159.53</v>
      </c>
      <c r="F193" s="154" t="s">
        <v>464</v>
      </c>
      <c r="G193" s="152" t="s">
        <v>188</v>
      </c>
      <c r="H193" s="152" t="s">
        <v>138</v>
      </c>
      <c r="I193" s="152"/>
    </row>
    <row r="194" customFormat="false" ht="16.5" hidden="false" customHeight="true" outlineLevel="0" collapsed="false">
      <c r="A194" s="151" t="n">
        <v>45457</v>
      </c>
      <c r="B194" s="152" t="s">
        <v>472</v>
      </c>
      <c r="C194" s="155" t="n">
        <v>297340.45</v>
      </c>
      <c r="D194" s="154" t="s">
        <v>136</v>
      </c>
      <c r="E194" s="153" t="n">
        <v>190.02</v>
      </c>
      <c r="F194" s="154" t="s">
        <v>462</v>
      </c>
      <c r="G194" s="152" t="s">
        <v>188</v>
      </c>
      <c r="H194" s="152" t="s">
        <v>135</v>
      </c>
      <c r="I194" s="152"/>
    </row>
    <row r="195" customFormat="false" ht="16.5" hidden="false" customHeight="true" outlineLevel="0" collapsed="false">
      <c r="A195" s="151" t="n">
        <v>45460</v>
      </c>
      <c r="B195" s="152" t="s">
        <v>473</v>
      </c>
      <c r="C195" s="153" t="n">
        <v>-533.99</v>
      </c>
      <c r="D195" s="154" t="s">
        <v>97</v>
      </c>
      <c r="E195" s="153" t="n">
        <v>-533.99</v>
      </c>
      <c r="F195" s="154" t="s">
        <v>469</v>
      </c>
      <c r="G195" s="152" t="s">
        <v>188</v>
      </c>
      <c r="H195" s="152" t="s">
        <v>106</v>
      </c>
      <c r="I195" s="152"/>
    </row>
    <row r="196" customFormat="false" ht="16.5" hidden="false" customHeight="true" outlineLevel="0" collapsed="false">
      <c r="A196" s="151" t="n">
        <v>45515</v>
      </c>
      <c r="B196" s="152" t="s">
        <v>60</v>
      </c>
      <c r="C196" s="153" t="n">
        <v>0</v>
      </c>
      <c r="D196" s="154" t="s">
        <v>97</v>
      </c>
      <c r="E196" s="153"/>
      <c r="F196" s="154"/>
      <c r="G196" s="152" t="s">
        <v>315</v>
      </c>
      <c r="H196" s="152" t="s">
        <v>122</v>
      </c>
      <c r="I196" s="152"/>
    </row>
    <row r="197" customFormat="false" ht="16.5" hidden="false" customHeight="true" outlineLevel="0" collapsed="false">
      <c r="A197" s="151" t="n">
        <v>45515</v>
      </c>
      <c r="B197" s="152" t="s">
        <v>60</v>
      </c>
      <c r="C197" s="153" t="n">
        <v>0</v>
      </c>
      <c r="D197" s="154" t="s">
        <v>97</v>
      </c>
      <c r="E197" s="153"/>
      <c r="F197" s="154"/>
      <c r="G197" s="152" t="s">
        <v>315</v>
      </c>
      <c r="H197" s="152" t="s">
        <v>100</v>
      </c>
      <c r="I197" s="152"/>
    </row>
    <row r="198" customFormat="false" ht="16.5" hidden="false" customHeight="true" outlineLevel="0" collapsed="false">
      <c r="A198" s="151" t="n">
        <v>45516</v>
      </c>
      <c r="B198" s="152"/>
      <c r="C198" s="153" t="n">
        <v>-2395.81</v>
      </c>
      <c r="D198" s="154" t="s">
        <v>97</v>
      </c>
      <c r="E198" s="153"/>
      <c r="F198" s="154" t="s">
        <v>474</v>
      </c>
      <c r="G198" s="152" t="s">
        <v>190</v>
      </c>
      <c r="H198" s="152" t="s">
        <v>105</v>
      </c>
      <c r="I198" s="152"/>
    </row>
    <row r="199" customFormat="false" ht="16.5" hidden="false" customHeight="true" outlineLevel="0" collapsed="false">
      <c r="A199" s="151" t="n">
        <v>45516</v>
      </c>
      <c r="B199" s="152"/>
      <c r="C199" s="153" t="n">
        <v>2395.81</v>
      </c>
      <c r="D199" s="154" t="s">
        <v>97</v>
      </c>
      <c r="E199" s="153"/>
      <c r="F199" s="154" t="s">
        <v>474</v>
      </c>
      <c r="G199" s="152" t="s">
        <v>190</v>
      </c>
      <c r="H199" s="152" t="s">
        <v>122</v>
      </c>
      <c r="I199" s="152"/>
    </row>
    <row r="200" customFormat="false" ht="16.5" hidden="false" customHeight="true" outlineLevel="0" collapsed="false">
      <c r="A200" s="151" t="n">
        <v>45531</v>
      </c>
      <c r="B200" s="152" t="s">
        <v>475</v>
      </c>
      <c r="C200" s="156" t="n">
        <v>1.2906</v>
      </c>
      <c r="D200" s="154" t="s">
        <v>141</v>
      </c>
      <c r="E200" s="153" t="n">
        <v>197.36</v>
      </c>
      <c r="F200" s="154" t="s">
        <v>476</v>
      </c>
      <c r="G200" s="152" t="s">
        <v>188</v>
      </c>
      <c r="H200" s="152" t="s">
        <v>140</v>
      </c>
      <c r="I200" s="152"/>
    </row>
    <row r="201" customFormat="false" ht="16.5" hidden="false" customHeight="true" outlineLevel="0" collapsed="false">
      <c r="A201" s="151" t="n">
        <v>45532</v>
      </c>
      <c r="B201" s="152"/>
      <c r="C201" s="153" t="n">
        <v>-1999.92</v>
      </c>
      <c r="D201" s="154" t="s">
        <v>97</v>
      </c>
      <c r="E201" s="153"/>
      <c r="F201" s="154" t="s">
        <v>477</v>
      </c>
      <c r="G201" s="152" t="s">
        <v>190</v>
      </c>
      <c r="H201" s="152" t="s">
        <v>105</v>
      </c>
      <c r="I201" s="152"/>
    </row>
    <row r="202" customFormat="false" ht="16.5" hidden="false" customHeight="true" outlineLevel="0" collapsed="false">
      <c r="A202" s="151" t="n">
        <v>45533</v>
      </c>
      <c r="B202" s="152"/>
      <c r="C202" s="153" t="n">
        <v>1999.92</v>
      </c>
      <c r="D202" s="154" t="s">
        <v>97</v>
      </c>
      <c r="E202" s="153"/>
      <c r="F202" s="154" t="s">
        <v>477</v>
      </c>
      <c r="G202" s="152" t="s">
        <v>190</v>
      </c>
      <c r="H202" s="152" t="s">
        <v>122</v>
      </c>
      <c r="I202" s="152"/>
    </row>
    <row r="203" customFormat="false" ht="16.5" hidden="false" customHeight="true" outlineLevel="0" collapsed="false">
      <c r="A203" s="151" t="n">
        <v>45530</v>
      </c>
      <c r="B203" s="152" t="s">
        <v>478</v>
      </c>
      <c r="C203" s="153" t="n">
        <v>-197.36</v>
      </c>
      <c r="D203" s="154" t="s">
        <v>97</v>
      </c>
      <c r="E203" s="153" t="n">
        <v>-197.36</v>
      </c>
      <c r="F203" s="154" t="s">
        <v>476</v>
      </c>
      <c r="G203" s="152" t="s">
        <v>188</v>
      </c>
      <c r="H203" s="152" t="s">
        <v>106</v>
      </c>
      <c r="I203" s="152"/>
    </row>
    <row r="204" customFormat="false" ht="16.5" hidden="false" customHeight="true" outlineLevel="0" collapsed="false">
      <c r="A204" s="151" t="n">
        <v>45534</v>
      </c>
      <c r="B204" s="152" t="s">
        <v>429</v>
      </c>
      <c r="C204" s="155" t="n">
        <v>330499.76</v>
      </c>
      <c r="D204" s="154" t="s">
        <v>136</v>
      </c>
      <c r="E204" s="153" t="n">
        <v>180.12</v>
      </c>
      <c r="F204" s="154" t="s">
        <v>479</v>
      </c>
      <c r="G204" s="152" t="s">
        <v>188</v>
      </c>
      <c r="H204" s="152" t="s">
        <v>138</v>
      </c>
      <c r="I204" s="152"/>
    </row>
    <row r="205" customFormat="false" ht="16.5" hidden="false" customHeight="true" outlineLevel="0" collapsed="false">
      <c r="A205" s="151" t="n">
        <v>45534</v>
      </c>
      <c r="B205" s="152" t="s">
        <v>475</v>
      </c>
      <c r="C205" s="156" t="n">
        <v>1.29631</v>
      </c>
      <c r="D205" s="154" t="s">
        <v>141</v>
      </c>
      <c r="E205" s="153" t="n">
        <v>197.36</v>
      </c>
      <c r="F205" s="154" t="s">
        <v>480</v>
      </c>
      <c r="G205" s="152" t="s">
        <v>188</v>
      </c>
      <c r="H205" s="152" t="s">
        <v>140</v>
      </c>
      <c r="I205" s="152"/>
    </row>
    <row r="206" customFormat="false" ht="16.5" hidden="false" customHeight="true" outlineLevel="0" collapsed="false">
      <c r="A206" s="151" t="n">
        <v>45533</v>
      </c>
      <c r="B206" s="152" t="s">
        <v>481</v>
      </c>
      <c r="C206" s="153" t="n">
        <v>-197.36</v>
      </c>
      <c r="D206" s="154" t="s">
        <v>97</v>
      </c>
      <c r="E206" s="153" t="n">
        <v>-197.36</v>
      </c>
      <c r="F206" s="154" t="s">
        <v>480</v>
      </c>
      <c r="G206" s="152" t="s">
        <v>188</v>
      </c>
      <c r="H206" s="152" t="s">
        <v>106</v>
      </c>
      <c r="I206" s="152"/>
    </row>
    <row r="207" customFormat="false" ht="16.5" hidden="false" customHeight="true" outlineLevel="0" collapsed="false">
      <c r="A207" s="151" t="n">
        <v>45533</v>
      </c>
      <c r="B207" s="152" t="s">
        <v>482</v>
      </c>
      <c r="C207" s="153" t="n">
        <v>-180.12</v>
      </c>
      <c r="D207" s="154" t="s">
        <v>97</v>
      </c>
      <c r="E207" s="153" t="n">
        <v>-180.12</v>
      </c>
      <c r="F207" s="154" t="s">
        <v>479</v>
      </c>
      <c r="G207" s="152" t="s">
        <v>188</v>
      </c>
      <c r="H207" s="152" t="s">
        <v>106</v>
      </c>
      <c r="I207" s="152"/>
    </row>
    <row r="208" customFormat="false" ht="16.5" hidden="false" customHeight="true" outlineLevel="0" collapsed="false">
      <c r="A208" s="151" t="n">
        <v>45531</v>
      </c>
      <c r="B208" s="152" t="s">
        <v>483</v>
      </c>
      <c r="C208" s="153" t="n">
        <v>9.61</v>
      </c>
      <c r="D208" s="154" t="s">
        <v>97</v>
      </c>
      <c r="E208" s="153"/>
      <c r="F208" s="154"/>
      <c r="G208" s="152" t="s">
        <v>199</v>
      </c>
      <c r="H208" s="152" t="s">
        <v>122</v>
      </c>
      <c r="I208" s="152"/>
    </row>
    <row r="209" customFormat="false" ht="16.5" hidden="false" customHeight="true" outlineLevel="0" collapsed="false">
      <c r="A209" s="151" t="n">
        <v>45533</v>
      </c>
      <c r="B209" s="152" t="s">
        <v>484</v>
      </c>
      <c r="C209" s="153" t="n">
        <v>-154.53</v>
      </c>
      <c r="D209" s="154" t="s">
        <v>97</v>
      </c>
      <c r="E209" s="153"/>
      <c r="F209" s="154" t="s">
        <v>485</v>
      </c>
      <c r="G209" s="152" t="s">
        <v>191</v>
      </c>
      <c r="H209" s="152" t="s">
        <v>122</v>
      </c>
      <c r="I209" s="152"/>
    </row>
    <row r="210" customFormat="false" ht="16.5" hidden="false" customHeight="true" outlineLevel="0" collapsed="false">
      <c r="A210" s="151" t="n">
        <v>45533</v>
      </c>
      <c r="B210" s="152" t="s">
        <v>486</v>
      </c>
      <c r="C210" s="153" t="n">
        <v>-194.99</v>
      </c>
      <c r="D210" s="154" t="s">
        <v>97</v>
      </c>
      <c r="E210" s="153"/>
      <c r="F210" s="154" t="s">
        <v>487</v>
      </c>
      <c r="G210" s="152" t="s">
        <v>191</v>
      </c>
      <c r="H210" s="152" t="s">
        <v>122</v>
      </c>
      <c r="I210" s="152"/>
    </row>
    <row r="211" customFormat="false" ht="16.5" hidden="false" customHeight="true" outlineLevel="0" collapsed="false">
      <c r="A211" s="151" t="n">
        <v>45533</v>
      </c>
      <c r="B211" s="152" t="s">
        <v>488</v>
      </c>
      <c r="C211" s="153" t="n">
        <v>-254.54</v>
      </c>
      <c r="D211" s="154" t="s">
        <v>97</v>
      </c>
      <c r="E211" s="153"/>
      <c r="F211" s="154" t="s">
        <v>489</v>
      </c>
      <c r="G211" s="152" t="s">
        <v>191</v>
      </c>
      <c r="H211" s="152" t="s">
        <v>122</v>
      </c>
      <c r="I211" s="152"/>
    </row>
    <row r="212" customFormat="false" ht="16.5" hidden="false" customHeight="true" outlineLevel="0" collapsed="false">
      <c r="A212" s="151" t="n">
        <v>45533</v>
      </c>
      <c r="B212" s="152" t="s">
        <v>490</v>
      </c>
      <c r="C212" s="153" t="n">
        <v>-185.05</v>
      </c>
      <c r="D212" s="154" t="s">
        <v>97</v>
      </c>
      <c r="E212" s="153"/>
      <c r="F212" s="154" t="s">
        <v>491</v>
      </c>
      <c r="G212" s="152" t="s">
        <v>191</v>
      </c>
      <c r="H212" s="152" t="s">
        <v>122</v>
      </c>
      <c r="I212" s="152"/>
    </row>
    <row r="213" customFormat="false" ht="16.5" hidden="false" customHeight="true" outlineLevel="0" collapsed="false">
      <c r="A213" s="151" t="n">
        <v>45533</v>
      </c>
      <c r="B213" s="152" t="s">
        <v>492</v>
      </c>
      <c r="C213" s="153" t="n">
        <v>-205.28</v>
      </c>
      <c r="D213" s="154" t="s">
        <v>97</v>
      </c>
      <c r="E213" s="153"/>
      <c r="F213" s="154" t="s">
        <v>493</v>
      </c>
      <c r="G213" s="152" t="s">
        <v>191</v>
      </c>
      <c r="H213" s="152" t="s">
        <v>122</v>
      </c>
      <c r="I213" s="152"/>
    </row>
    <row r="214" customFormat="false" ht="16.5" hidden="false" customHeight="true" outlineLevel="0" collapsed="false">
      <c r="A214" s="151" t="n">
        <v>45533</v>
      </c>
      <c r="B214" s="152" t="s">
        <v>494</v>
      </c>
      <c r="C214" s="153" t="n">
        <v>-237.27</v>
      </c>
      <c r="D214" s="154" t="s">
        <v>97</v>
      </c>
      <c r="E214" s="153"/>
      <c r="F214" s="154" t="s">
        <v>495</v>
      </c>
      <c r="G214" s="152" t="s">
        <v>191</v>
      </c>
      <c r="H214" s="152" t="s">
        <v>122</v>
      </c>
      <c r="I214" s="152"/>
    </row>
    <row r="215" customFormat="false" ht="16.5" hidden="false" customHeight="true" outlineLevel="0" collapsed="false">
      <c r="A215" s="151" t="n">
        <v>45533</v>
      </c>
      <c r="B215" s="152" t="s">
        <v>496</v>
      </c>
      <c r="C215" s="153" t="n">
        <v>-188.62</v>
      </c>
      <c r="D215" s="154" t="s">
        <v>97</v>
      </c>
      <c r="E215" s="153"/>
      <c r="F215" s="154" t="s">
        <v>497</v>
      </c>
      <c r="G215" s="152" t="s">
        <v>191</v>
      </c>
      <c r="H215" s="152" t="s">
        <v>122</v>
      </c>
      <c r="I215" s="152"/>
    </row>
    <row r="216" customFormat="false" ht="16.5" hidden="false" customHeight="true" outlineLevel="0" collapsed="false">
      <c r="A216" s="151" t="n">
        <v>45533</v>
      </c>
      <c r="B216" s="152" t="s">
        <v>498</v>
      </c>
      <c r="C216" s="153" t="n">
        <v>-188.06</v>
      </c>
      <c r="D216" s="154" t="s">
        <v>97</v>
      </c>
      <c r="E216" s="153"/>
      <c r="F216" s="154" t="s">
        <v>499</v>
      </c>
      <c r="G216" s="152" t="s">
        <v>191</v>
      </c>
      <c r="H216" s="152" t="s">
        <v>122</v>
      </c>
      <c r="I216" s="152"/>
    </row>
    <row r="217" customFormat="false" ht="16.5" hidden="false" customHeight="true" outlineLevel="0" collapsed="false">
      <c r="A217" s="151" t="n">
        <v>45533</v>
      </c>
      <c r="B217" s="152" t="s">
        <v>484</v>
      </c>
      <c r="C217" s="153" t="n">
        <v>154.53</v>
      </c>
      <c r="D217" s="154" t="s">
        <v>97</v>
      </c>
      <c r="E217" s="153"/>
      <c r="F217" s="154" t="s">
        <v>485</v>
      </c>
      <c r="G217" s="152" t="s">
        <v>191</v>
      </c>
      <c r="H217" s="152" t="s">
        <v>100</v>
      </c>
      <c r="I217" s="152"/>
    </row>
    <row r="218" customFormat="false" ht="16.5" hidden="false" customHeight="true" outlineLevel="0" collapsed="false">
      <c r="A218" s="151" t="n">
        <v>45533</v>
      </c>
      <c r="B218" s="152" t="s">
        <v>486</v>
      </c>
      <c r="C218" s="153" t="n">
        <v>194.99</v>
      </c>
      <c r="D218" s="154" t="s">
        <v>97</v>
      </c>
      <c r="E218" s="153"/>
      <c r="F218" s="154" t="s">
        <v>487</v>
      </c>
      <c r="G218" s="152" t="s">
        <v>191</v>
      </c>
      <c r="H218" s="152" t="s">
        <v>100</v>
      </c>
      <c r="I218" s="152"/>
    </row>
    <row r="219" customFormat="false" ht="16.5" hidden="false" customHeight="true" outlineLevel="0" collapsed="false">
      <c r="A219" s="151" t="n">
        <v>45533</v>
      </c>
      <c r="B219" s="152" t="s">
        <v>488</v>
      </c>
      <c r="C219" s="153" t="n">
        <v>254.54</v>
      </c>
      <c r="D219" s="154" t="s">
        <v>97</v>
      </c>
      <c r="E219" s="153"/>
      <c r="F219" s="154" t="s">
        <v>489</v>
      </c>
      <c r="G219" s="152" t="s">
        <v>191</v>
      </c>
      <c r="H219" s="152" t="s">
        <v>100</v>
      </c>
      <c r="I219" s="152"/>
    </row>
    <row r="220" customFormat="false" ht="16.5" hidden="false" customHeight="true" outlineLevel="0" collapsed="false">
      <c r="A220" s="151" t="n">
        <v>45533</v>
      </c>
      <c r="B220" s="152" t="s">
        <v>490</v>
      </c>
      <c r="C220" s="153" t="n">
        <v>185.05</v>
      </c>
      <c r="D220" s="154" t="s">
        <v>97</v>
      </c>
      <c r="E220" s="153"/>
      <c r="F220" s="154" t="s">
        <v>491</v>
      </c>
      <c r="G220" s="152" t="s">
        <v>191</v>
      </c>
      <c r="H220" s="152" t="s">
        <v>100</v>
      </c>
      <c r="I220" s="152"/>
    </row>
    <row r="221" customFormat="false" ht="16.5" hidden="false" customHeight="true" outlineLevel="0" collapsed="false">
      <c r="A221" s="151" t="n">
        <v>45533</v>
      </c>
      <c r="B221" s="152" t="s">
        <v>492</v>
      </c>
      <c r="C221" s="153" t="n">
        <v>205.28</v>
      </c>
      <c r="D221" s="154" t="s">
        <v>97</v>
      </c>
      <c r="E221" s="153"/>
      <c r="F221" s="154" t="s">
        <v>493</v>
      </c>
      <c r="G221" s="152" t="s">
        <v>191</v>
      </c>
      <c r="H221" s="152" t="s">
        <v>100</v>
      </c>
      <c r="I221" s="152"/>
    </row>
    <row r="222" customFormat="false" ht="16.5" hidden="false" customHeight="true" outlineLevel="0" collapsed="false">
      <c r="A222" s="151" t="n">
        <v>45533</v>
      </c>
      <c r="B222" s="152" t="s">
        <v>494</v>
      </c>
      <c r="C222" s="153" t="n">
        <v>237.27</v>
      </c>
      <c r="D222" s="154" t="s">
        <v>97</v>
      </c>
      <c r="E222" s="153"/>
      <c r="F222" s="154" t="s">
        <v>495</v>
      </c>
      <c r="G222" s="152" t="s">
        <v>191</v>
      </c>
      <c r="H222" s="152" t="s">
        <v>100</v>
      </c>
      <c r="I222" s="152"/>
    </row>
    <row r="223" customFormat="false" ht="16.5" hidden="false" customHeight="true" outlineLevel="0" collapsed="false">
      <c r="A223" s="151" t="n">
        <v>45533</v>
      </c>
      <c r="B223" s="152" t="s">
        <v>496</v>
      </c>
      <c r="C223" s="153" t="n">
        <v>188.62</v>
      </c>
      <c r="D223" s="154" t="s">
        <v>97</v>
      </c>
      <c r="E223" s="153"/>
      <c r="F223" s="154" t="s">
        <v>497</v>
      </c>
      <c r="G223" s="152" t="s">
        <v>191</v>
      </c>
      <c r="H223" s="152" t="s">
        <v>100</v>
      </c>
      <c r="I223" s="152"/>
    </row>
    <row r="224" customFormat="false" ht="16.5" hidden="false" customHeight="true" outlineLevel="0" collapsed="false">
      <c r="A224" s="151" t="n">
        <v>45533</v>
      </c>
      <c r="B224" s="152" t="s">
        <v>498</v>
      </c>
      <c r="C224" s="153" t="n">
        <v>188.06</v>
      </c>
      <c r="D224" s="154" t="s">
        <v>97</v>
      </c>
      <c r="E224" s="153"/>
      <c r="F224" s="154" t="s">
        <v>499</v>
      </c>
      <c r="G224" s="152" t="s">
        <v>191</v>
      </c>
      <c r="H224" s="152" t="s">
        <v>100</v>
      </c>
      <c r="I224" s="152"/>
    </row>
    <row r="225" customFormat="false" ht="16.5" hidden="false" customHeight="true" outlineLevel="0" collapsed="false">
      <c r="A225" s="151" t="n">
        <v>45516</v>
      </c>
      <c r="B225" s="152" t="s">
        <v>500</v>
      </c>
      <c r="C225" s="153" t="n">
        <v>-197.3</v>
      </c>
      <c r="D225" s="154" t="s">
        <v>97</v>
      </c>
      <c r="E225" s="153"/>
      <c r="F225" s="154" t="s">
        <v>501</v>
      </c>
      <c r="G225" s="152" t="s">
        <v>191</v>
      </c>
      <c r="H225" s="152" t="s">
        <v>122</v>
      </c>
      <c r="I225" s="152"/>
    </row>
    <row r="226" customFormat="false" ht="16.5" hidden="false" customHeight="true" outlineLevel="0" collapsed="false">
      <c r="A226" s="151" t="n">
        <v>45516</v>
      </c>
      <c r="B226" s="152" t="s">
        <v>502</v>
      </c>
      <c r="C226" s="153" t="n">
        <v>-239.09</v>
      </c>
      <c r="D226" s="154" t="s">
        <v>97</v>
      </c>
      <c r="E226" s="153"/>
      <c r="F226" s="154" t="s">
        <v>503</v>
      </c>
      <c r="G226" s="152" t="s">
        <v>191</v>
      </c>
      <c r="H226" s="152" t="s">
        <v>122</v>
      </c>
      <c r="I226" s="152"/>
    </row>
    <row r="227" customFormat="false" ht="16.5" hidden="false" customHeight="true" outlineLevel="0" collapsed="false">
      <c r="A227" s="151" t="n">
        <v>45516</v>
      </c>
      <c r="B227" s="152" t="s">
        <v>504</v>
      </c>
      <c r="C227" s="153" t="n">
        <v>-214.07</v>
      </c>
      <c r="D227" s="154" t="s">
        <v>97</v>
      </c>
      <c r="E227" s="153"/>
      <c r="F227" s="154" t="s">
        <v>505</v>
      </c>
      <c r="G227" s="152" t="s">
        <v>191</v>
      </c>
      <c r="H227" s="152" t="s">
        <v>122</v>
      </c>
      <c r="I227" s="152"/>
    </row>
    <row r="228" customFormat="false" ht="16.5" hidden="false" customHeight="true" outlineLevel="0" collapsed="false">
      <c r="A228" s="151" t="n">
        <v>45516</v>
      </c>
      <c r="B228" s="152" t="s">
        <v>506</v>
      </c>
      <c r="C228" s="153" t="n">
        <v>-230.4</v>
      </c>
      <c r="D228" s="154" t="s">
        <v>97</v>
      </c>
      <c r="E228" s="153"/>
      <c r="F228" s="154" t="s">
        <v>507</v>
      </c>
      <c r="G228" s="152" t="s">
        <v>191</v>
      </c>
      <c r="H228" s="152" t="s">
        <v>122</v>
      </c>
      <c r="I228" s="152"/>
    </row>
    <row r="229" customFormat="false" ht="16.5" hidden="false" customHeight="true" outlineLevel="0" collapsed="false">
      <c r="A229" s="151" t="n">
        <v>45516</v>
      </c>
      <c r="B229" s="152" t="s">
        <v>508</v>
      </c>
      <c r="C229" s="153" t="n">
        <v>-231.37</v>
      </c>
      <c r="D229" s="154" t="s">
        <v>97</v>
      </c>
      <c r="E229" s="153"/>
      <c r="F229" s="154" t="s">
        <v>509</v>
      </c>
      <c r="G229" s="152" t="s">
        <v>191</v>
      </c>
      <c r="H229" s="152" t="s">
        <v>122</v>
      </c>
      <c r="I229" s="152"/>
    </row>
    <row r="230" customFormat="false" ht="16.5" hidden="false" customHeight="true" outlineLevel="0" collapsed="false">
      <c r="A230" s="151" t="n">
        <v>45516</v>
      </c>
      <c r="B230" s="152" t="s">
        <v>510</v>
      </c>
      <c r="C230" s="153" t="n">
        <v>-256.98</v>
      </c>
      <c r="D230" s="154" t="s">
        <v>97</v>
      </c>
      <c r="E230" s="153"/>
      <c r="F230" s="154" t="s">
        <v>511</v>
      </c>
      <c r="G230" s="152" t="s">
        <v>191</v>
      </c>
      <c r="H230" s="152" t="s">
        <v>122</v>
      </c>
      <c r="I230" s="152"/>
    </row>
    <row r="231" customFormat="false" ht="16.5" hidden="false" customHeight="true" outlineLevel="0" collapsed="false">
      <c r="A231" s="151" t="n">
        <v>45516</v>
      </c>
      <c r="B231" s="152" t="s">
        <v>512</v>
      </c>
      <c r="C231" s="153" t="n">
        <v>-172.72</v>
      </c>
      <c r="D231" s="154" t="s">
        <v>97</v>
      </c>
      <c r="E231" s="153"/>
      <c r="F231" s="154" t="s">
        <v>513</v>
      </c>
      <c r="G231" s="152" t="s">
        <v>191</v>
      </c>
      <c r="H231" s="152" t="s">
        <v>122</v>
      </c>
      <c r="I231" s="152"/>
    </row>
    <row r="232" customFormat="false" ht="16.5" hidden="false" customHeight="true" outlineLevel="0" collapsed="false">
      <c r="A232" s="151" t="n">
        <v>45516</v>
      </c>
      <c r="B232" s="152" t="s">
        <v>514</v>
      </c>
      <c r="C232" s="153" t="n">
        <v>-296.71</v>
      </c>
      <c r="D232" s="154" t="s">
        <v>97</v>
      </c>
      <c r="E232" s="153"/>
      <c r="F232" s="154" t="s">
        <v>515</v>
      </c>
      <c r="G232" s="152" t="s">
        <v>191</v>
      </c>
      <c r="H232" s="152" t="s">
        <v>122</v>
      </c>
      <c r="I232" s="152"/>
    </row>
    <row r="233" customFormat="false" ht="16.5" hidden="false" customHeight="true" outlineLevel="0" collapsed="false">
      <c r="A233" s="151" t="n">
        <v>45516</v>
      </c>
      <c r="B233" s="152" t="s">
        <v>516</v>
      </c>
      <c r="C233" s="153" t="n">
        <v>-190.79</v>
      </c>
      <c r="D233" s="154" t="s">
        <v>97</v>
      </c>
      <c r="E233" s="153"/>
      <c r="F233" s="154" t="s">
        <v>517</v>
      </c>
      <c r="G233" s="152" t="s">
        <v>191</v>
      </c>
      <c r="H233" s="152" t="s">
        <v>122</v>
      </c>
      <c r="I233" s="152"/>
    </row>
    <row r="234" customFormat="false" ht="16.5" hidden="false" customHeight="true" outlineLevel="0" collapsed="false">
      <c r="A234" s="151" t="n">
        <v>45516</v>
      </c>
      <c r="B234" s="152" t="s">
        <v>518</v>
      </c>
      <c r="C234" s="153" t="n">
        <v>-211.74</v>
      </c>
      <c r="D234" s="154" t="s">
        <v>97</v>
      </c>
      <c r="E234" s="153"/>
      <c r="F234" s="154" t="s">
        <v>519</v>
      </c>
      <c r="G234" s="152" t="s">
        <v>191</v>
      </c>
      <c r="H234" s="152" t="s">
        <v>122</v>
      </c>
      <c r="I234" s="152"/>
    </row>
    <row r="235" customFormat="false" ht="16.5" hidden="false" customHeight="true" outlineLevel="0" collapsed="false">
      <c r="A235" s="151" t="n">
        <v>45516</v>
      </c>
      <c r="B235" s="152" t="s">
        <v>500</v>
      </c>
      <c r="C235" s="153" t="n">
        <v>197.3</v>
      </c>
      <c r="D235" s="154" t="s">
        <v>97</v>
      </c>
      <c r="E235" s="153"/>
      <c r="F235" s="154" t="s">
        <v>501</v>
      </c>
      <c r="G235" s="152" t="s">
        <v>191</v>
      </c>
      <c r="H235" s="152" t="s">
        <v>100</v>
      </c>
      <c r="I235" s="152"/>
    </row>
    <row r="236" customFormat="false" ht="16.5" hidden="false" customHeight="true" outlineLevel="0" collapsed="false">
      <c r="A236" s="151" t="n">
        <v>45516</v>
      </c>
      <c r="B236" s="152" t="s">
        <v>502</v>
      </c>
      <c r="C236" s="153" t="n">
        <v>239.09</v>
      </c>
      <c r="D236" s="154" t="s">
        <v>97</v>
      </c>
      <c r="E236" s="153"/>
      <c r="F236" s="154" t="s">
        <v>503</v>
      </c>
      <c r="G236" s="152" t="s">
        <v>191</v>
      </c>
      <c r="H236" s="152" t="s">
        <v>100</v>
      </c>
      <c r="I236" s="152"/>
    </row>
    <row r="237" customFormat="false" ht="16.5" hidden="false" customHeight="true" outlineLevel="0" collapsed="false">
      <c r="A237" s="151" t="n">
        <v>45516</v>
      </c>
      <c r="B237" s="152" t="s">
        <v>504</v>
      </c>
      <c r="C237" s="153" t="n">
        <v>214.07</v>
      </c>
      <c r="D237" s="154" t="s">
        <v>97</v>
      </c>
      <c r="E237" s="153"/>
      <c r="F237" s="154" t="s">
        <v>505</v>
      </c>
      <c r="G237" s="152" t="s">
        <v>191</v>
      </c>
      <c r="H237" s="152" t="s">
        <v>100</v>
      </c>
      <c r="I237" s="152"/>
    </row>
    <row r="238" customFormat="false" ht="16.5" hidden="false" customHeight="true" outlineLevel="0" collapsed="false">
      <c r="A238" s="151" t="n">
        <v>45516</v>
      </c>
      <c r="B238" s="152" t="s">
        <v>506</v>
      </c>
      <c r="C238" s="153" t="n">
        <v>230.4</v>
      </c>
      <c r="D238" s="154" t="s">
        <v>97</v>
      </c>
      <c r="E238" s="153"/>
      <c r="F238" s="154" t="s">
        <v>507</v>
      </c>
      <c r="G238" s="152" t="s">
        <v>191</v>
      </c>
      <c r="H238" s="152" t="s">
        <v>100</v>
      </c>
      <c r="I238" s="152"/>
    </row>
    <row r="239" customFormat="false" ht="16.5" hidden="false" customHeight="true" outlineLevel="0" collapsed="false">
      <c r="A239" s="151" t="n">
        <v>45516</v>
      </c>
      <c r="B239" s="152" t="s">
        <v>508</v>
      </c>
      <c r="C239" s="153" t="n">
        <v>231.37</v>
      </c>
      <c r="D239" s="154" t="s">
        <v>97</v>
      </c>
      <c r="E239" s="153"/>
      <c r="F239" s="154" t="s">
        <v>509</v>
      </c>
      <c r="G239" s="152" t="s">
        <v>191</v>
      </c>
      <c r="H239" s="152" t="s">
        <v>100</v>
      </c>
      <c r="I239" s="152"/>
    </row>
    <row r="240" customFormat="false" ht="16.5" hidden="false" customHeight="true" outlineLevel="0" collapsed="false">
      <c r="A240" s="151" t="n">
        <v>45516</v>
      </c>
      <c r="B240" s="152" t="s">
        <v>510</v>
      </c>
      <c r="C240" s="153" t="n">
        <v>256.98</v>
      </c>
      <c r="D240" s="154" t="s">
        <v>97</v>
      </c>
      <c r="E240" s="153"/>
      <c r="F240" s="154" t="s">
        <v>511</v>
      </c>
      <c r="G240" s="152" t="s">
        <v>191</v>
      </c>
      <c r="H240" s="152" t="s">
        <v>100</v>
      </c>
      <c r="I240" s="152"/>
    </row>
    <row r="241" customFormat="false" ht="16.5" hidden="false" customHeight="true" outlineLevel="0" collapsed="false">
      <c r="A241" s="151" t="n">
        <v>45516</v>
      </c>
      <c r="B241" s="152" t="s">
        <v>512</v>
      </c>
      <c r="C241" s="153" t="n">
        <v>172.72</v>
      </c>
      <c r="D241" s="154" t="s">
        <v>97</v>
      </c>
      <c r="E241" s="153"/>
      <c r="F241" s="154" t="s">
        <v>513</v>
      </c>
      <c r="G241" s="152" t="s">
        <v>191</v>
      </c>
      <c r="H241" s="152" t="s">
        <v>100</v>
      </c>
      <c r="I241" s="152"/>
    </row>
    <row r="242" customFormat="false" ht="16.5" hidden="false" customHeight="true" outlineLevel="0" collapsed="false">
      <c r="A242" s="151" t="n">
        <v>45516</v>
      </c>
      <c r="B242" s="152" t="s">
        <v>514</v>
      </c>
      <c r="C242" s="153" t="n">
        <v>296.71</v>
      </c>
      <c r="D242" s="154" t="s">
        <v>97</v>
      </c>
      <c r="E242" s="153"/>
      <c r="F242" s="154" t="s">
        <v>515</v>
      </c>
      <c r="G242" s="152" t="s">
        <v>191</v>
      </c>
      <c r="H242" s="152" t="s">
        <v>100</v>
      </c>
      <c r="I242" s="152"/>
    </row>
    <row r="243" customFormat="false" ht="16.5" hidden="false" customHeight="true" outlineLevel="0" collapsed="false">
      <c r="A243" s="151" t="n">
        <v>45516</v>
      </c>
      <c r="B243" s="152" t="s">
        <v>516</v>
      </c>
      <c r="C243" s="153" t="n">
        <v>190.79</v>
      </c>
      <c r="D243" s="154" t="s">
        <v>97</v>
      </c>
      <c r="E243" s="153"/>
      <c r="F243" s="154" t="s">
        <v>517</v>
      </c>
      <c r="G243" s="152" t="s">
        <v>191</v>
      </c>
      <c r="H243" s="152" t="s">
        <v>100</v>
      </c>
      <c r="I243" s="152"/>
    </row>
    <row r="244" customFormat="false" ht="16.5" hidden="false" customHeight="true" outlineLevel="0" collapsed="false">
      <c r="A244" s="151" t="n">
        <v>45516</v>
      </c>
      <c r="B244" s="152" t="s">
        <v>518</v>
      </c>
      <c r="C244" s="153" t="n">
        <v>211.74</v>
      </c>
      <c r="D244" s="154" t="s">
        <v>97</v>
      </c>
      <c r="E244" s="153"/>
      <c r="F244" s="154" t="s">
        <v>519</v>
      </c>
      <c r="G244" s="152" t="s">
        <v>191</v>
      </c>
      <c r="H244" s="152" t="s">
        <v>100</v>
      </c>
      <c r="I244" s="152"/>
    </row>
    <row r="245" customFormat="false" ht="16.5" hidden="false" customHeight="true" outlineLevel="0" collapsed="false">
      <c r="A245" s="151" t="n">
        <v>45538</v>
      </c>
      <c r="B245" s="152" t="s">
        <v>429</v>
      </c>
      <c r="C245" s="155" t="n">
        <v>163982.93</v>
      </c>
      <c r="D245" s="154" t="s">
        <v>136</v>
      </c>
      <c r="E245" s="153" t="n">
        <v>88.73</v>
      </c>
      <c r="F245" s="154" t="s">
        <v>520</v>
      </c>
      <c r="G245" s="152" t="s">
        <v>188</v>
      </c>
      <c r="H245" s="152" t="s">
        <v>138</v>
      </c>
      <c r="I245" s="152"/>
    </row>
    <row r="246" customFormat="false" ht="16.5" hidden="false" customHeight="true" outlineLevel="0" collapsed="false">
      <c r="A246" s="151" t="n">
        <v>45538</v>
      </c>
      <c r="B246" s="152" t="s">
        <v>60</v>
      </c>
      <c r="C246" s="155" t="n">
        <v>6129627.35</v>
      </c>
      <c r="D246" s="154" t="s">
        <v>136</v>
      </c>
      <c r="E246" s="153"/>
      <c r="F246" s="154"/>
      <c r="G246" s="152" t="s">
        <v>315</v>
      </c>
      <c r="H246" s="152" t="s">
        <v>138</v>
      </c>
      <c r="I246" s="152"/>
    </row>
    <row r="247" customFormat="false" ht="16.5" hidden="false" customHeight="true" outlineLevel="0" collapsed="false">
      <c r="A247" s="151" t="n">
        <v>45537</v>
      </c>
      <c r="B247" s="152" t="s">
        <v>521</v>
      </c>
      <c r="C247" s="153" t="n">
        <v>-197.36</v>
      </c>
      <c r="D247" s="154" t="s">
        <v>97</v>
      </c>
      <c r="E247" s="153" t="n">
        <v>-197.36</v>
      </c>
      <c r="F247" s="154" t="s">
        <v>522</v>
      </c>
      <c r="G247" s="152" t="s">
        <v>188</v>
      </c>
      <c r="H247" s="152" t="s">
        <v>106</v>
      </c>
      <c r="I247" s="152"/>
    </row>
    <row r="248" customFormat="false" ht="16.5" hidden="false" customHeight="true" outlineLevel="0" collapsed="false">
      <c r="A248" s="151" t="n">
        <v>45537</v>
      </c>
      <c r="B248" s="152" t="s">
        <v>523</v>
      </c>
      <c r="C248" s="153" t="n">
        <v>-190.02</v>
      </c>
      <c r="D248" s="154" t="s">
        <v>97</v>
      </c>
      <c r="E248" s="153" t="n">
        <v>-190.02</v>
      </c>
      <c r="F248" s="154" t="s">
        <v>524</v>
      </c>
      <c r="G248" s="152" t="s">
        <v>188</v>
      </c>
      <c r="H248" s="152" t="s">
        <v>106</v>
      </c>
      <c r="I248" s="152"/>
    </row>
    <row r="249" customFormat="false" ht="16.5" hidden="false" customHeight="true" outlineLevel="0" collapsed="false">
      <c r="A249" s="151" t="n">
        <v>45537</v>
      </c>
      <c r="B249" s="152" t="s">
        <v>525</v>
      </c>
      <c r="C249" s="153" t="n">
        <v>-88.73</v>
      </c>
      <c r="D249" s="154" t="s">
        <v>97</v>
      </c>
      <c r="E249" s="153" t="n">
        <v>-88.73</v>
      </c>
      <c r="F249" s="154" t="s">
        <v>520</v>
      </c>
      <c r="G249" s="152" t="s">
        <v>188</v>
      </c>
      <c r="H249" s="152" t="s">
        <v>106</v>
      </c>
      <c r="I249" s="152"/>
    </row>
    <row r="250" customFormat="false" ht="16.5" hidden="false" customHeight="true" outlineLevel="0" collapsed="false">
      <c r="A250" s="151" t="n">
        <v>45537</v>
      </c>
      <c r="B250" s="152" t="s">
        <v>526</v>
      </c>
      <c r="C250" s="153" t="n">
        <v>-20</v>
      </c>
      <c r="D250" s="154" t="s">
        <v>97</v>
      </c>
      <c r="E250" s="153"/>
      <c r="F250" s="154" t="s">
        <v>527</v>
      </c>
      <c r="G250" s="152" t="s">
        <v>190</v>
      </c>
      <c r="H250" s="152" t="s">
        <v>106</v>
      </c>
      <c r="I250" s="152"/>
    </row>
    <row r="251" customFormat="false" ht="16.5" hidden="false" customHeight="true" outlineLevel="0" collapsed="false">
      <c r="A251" s="151" t="n">
        <v>45538</v>
      </c>
      <c r="B251" s="152" t="s">
        <v>475</v>
      </c>
      <c r="C251" s="156" t="n">
        <v>1.22588</v>
      </c>
      <c r="D251" s="154" t="s">
        <v>141</v>
      </c>
      <c r="E251" s="153" t="n">
        <v>197.36</v>
      </c>
      <c r="F251" s="154" t="s">
        <v>522</v>
      </c>
      <c r="G251" s="152" t="s">
        <v>188</v>
      </c>
      <c r="H251" s="152" t="s">
        <v>140</v>
      </c>
      <c r="I251" s="152"/>
    </row>
    <row r="252" customFormat="false" ht="16.5" hidden="false" customHeight="true" outlineLevel="0" collapsed="false">
      <c r="A252" s="151" t="n">
        <v>45539</v>
      </c>
      <c r="B252" s="152" t="s">
        <v>472</v>
      </c>
      <c r="C252" s="155" t="n">
        <v>347648.17</v>
      </c>
      <c r="D252" s="154" t="s">
        <v>136</v>
      </c>
      <c r="E252" s="153" t="n">
        <v>190.02</v>
      </c>
      <c r="F252" s="154" t="s">
        <v>524</v>
      </c>
      <c r="G252" s="152" t="s">
        <v>188</v>
      </c>
      <c r="H252" s="152" t="s">
        <v>135</v>
      </c>
      <c r="I252" s="152"/>
    </row>
    <row r="253" customFormat="false" ht="16.5" hidden="false" customHeight="true" outlineLevel="0" collapsed="false">
      <c r="A253" s="151" t="n">
        <v>45539</v>
      </c>
      <c r="B253" s="152" t="s">
        <v>60</v>
      </c>
      <c r="C253" s="155" t="n">
        <v>1629960.72</v>
      </c>
      <c r="D253" s="154" t="s">
        <v>136</v>
      </c>
      <c r="E253" s="153"/>
      <c r="F253" s="154"/>
      <c r="G253" s="152" t="s">
        <v>315</v>
      </c>
      <c r="H253" s="152" t="s">
        <v>135</v>
      </c>
      <c r="I253" s="152"/>
    </row>
    <row r="254" customFormat="false" ht="16.5" hidden="false" customHeight="true" outlineLevel="0" collapsed="false">
      <c r="A254" s="151" t="n">
        <v>45540</v>
      </c>
      <c r="B254" s="152" t="s">
        <v>528</v>
      </c>
      <c r="C254" s="153" t="n">
        <v>20</v>
      </c>
      <c r="D254" s="154" t="s">
        <v>97</v>
      </c>
      <c r="E254" s="153"/>
      <c r="F254" s="154" t="s">
        <v>527</v>
      </c>
      <c r="G254" s="152" t="s">
        <v>190</v>
      </c>
      <c r="H254" s="152" t="s">
        <v>122</v>
      </c>
      <c r="I254" s="152"/>
    </row>
    <row r="255" customFormat="false" ht="16.5" hidden="false" customHeight="true" outlineLevel="0" collapsed="false">
      <c r="A255" s="151" t="n">
        <v>45540</v>
      </c>
      <c r="B255" s="152" t="s">
        <v>529</v>
      </c>
      <c r="C255" s="153" t="n">
        <v>-2599.63</v>
      </c>
      <c r="D255" s="154" t="s">
        <v>97</v>
      </c>
      <c r="E255" s="153"/>
      <c r="F255" s="154" t="s">
        <v>530</v>
      </c>
      <c r="G255" s="152" t="s">
        <v>190</v>
      </c>
      <c r="H255" s="152" t="s">
        <v>106</v>
      </c>
      <c r="I255" s="152"/>
    </row>
    <row r="256" customFormat="false" ht="16.5" hidden="false" customHeight="true" outlineLevel="0" collapsed="false">
      <c r="A256" s="151" t="n">
        <v>45544</v>
      </c>
      <c r="B256" s="152" t="s">
        <v>528</v>
      </c>
      <c r="C256" s="153" t="n">
        <v>2599.63</v>
      </c>
      <c r="D256" s="154" t="s">
        <v>97</v>
      </c>
      <c r="E256" s="153"/>
      <c r="F256" s="154" t="s">
        <v>530</v>
      </c>
      <c r="G256" s="152" t="s">
        <v>190</v>
      </c>
      <c r="H256" s="152" t="s">
        <v>122</v>
      </c>
      <c r="I256" s="152"/>
    </row>
    <row r="257" customFormat="false" ht="16.5" hidden="false" customHeight="true" outlineLevel="0" collapsed="false">
      <c r="A257" s="151" t="n">
        <v>45546</v>
      </c>
      <c r="B257" s="152" t="s">
        <v>324</v>
      </c>
      <c r="C257" s="153" t="n">
        <v>-3565.28</v>
      </c>
      <c r="D257" s="154" t="s">
        <v>97</v>
      </c>
      <c r="E257" s="153"/>
      <c r="F257" s="154" t="s">
        <v>531</v>
      </c>
      <c r="G257" s="152" t="s">
        <v>193</v>
      </c>
      <c r="H257" s="152" t="s">
        <v>96</v>
      </c>
      <c r="I257" s="152"/>
    </row>
    <row r="258" customFormat="false" ht="16.5" hidden="false" customHeight="true" outlineLevel="0" collapsed="false">
      <c r="A258" s="151" t="n">
        <v>45546</v>
      </c>
      <c r="B258" s="152" t="s">
        <v>532</v>
      </c>
      <c r="C258" s="153" t="n">
        <v>3565.28</v>
      </c>
      <c r="D258" s="154" t="s">
        <v>97</v>
      </c>
      <c r="E258" s="153"/>
      <c r="F258" s="154" t="s">
        <v>531</v>
      </c>
      <c r="G258" s="152" t="s">
        <v>193</v>
      </c>
      <c r="H258" s="152" t="s">
        <v>96</v>
      </c>
      <c r="I258" s="152"/>
    </row>
    <row r="259" customFormat="false" ht="16.5" hidden="false" customHeight="true" outlineLevel="0" collapsed="false">
      <c r="A259" s="151" t="n">
        <v>45546</v>
      </c>
      <c r="B259" s="152" t="s">
        <v>324</v>
      </c>
      <c r="C259" s="153" t="n">
        <v>-5542.7</v>
      </c>
      <c r="D259" s="154" t="s">
        <v>97</v>
      </c>
      <c r="E259" s="153"/>
      <c r="F259" s="154" t="s">
        <v>533</v>
      </c>
      <c r="G259" s="152" t="s">
        <v>193</v>
      </c>
      <c r="H259" s="152" t="s">
        <v>98</v>
      </c>
      <c r="I259" s="152"/>
    </row>
    <row r="260" customFormat="false" ht="16.5" hidden="false" customHeight="true" outlineLevel="0" collapsed="false">
      <c r="A260" s="151" t="n">
        <v>45546</v>
      </c>
      <c r="B260" s="152" t="s">
        <v>418</v>
      </c>
      <c r="C260" s="153" t="n">
        <v>-4445.21</v>
      </c>
      <c r="D260" s="154" t="s">
        <v>97</v>
      </c>
      <c r="E260" s="153"/>
      <c r="F260" s="154" t="s">
        <v>533</v>
      </c>
      <c r="G260" s="152" t="s">
        <v>193</v>
      </c>
      <c r="H260" s="152" t="s">
        <v>98</v>
      </c>
      <c r="I260" s="152"/>
    </row>
    <row r="261" customFormat="false" ht="16.5" hidden="false" customHeight="true" outlineLevel="0" collapsed="false">
      <c r="A261" s="151" t="n">
        <v>45546</v>
      </c>
      <c r="B261" s="152" t="s">
        <v>534</v>
      </c>
      <c r="C261" s="153" t="n">
        <v>9987.91</v>
      </c>
      <c r="D261" s="154" t="s">
        <v>97</v>
      </c>
      <c r="E261" s="153"/>
      <c r="F261" s="154" t="s">
        <v>533</v>
      </c>
      <c r="G261" s="152" t="s">
        <v>193</v>
      </c>
      <c r="H261" s="152" t="s">
        <v>98</v>
      </c>
      <c r="I261" s="152"/>
    </row>
    <row r="262" customFormat="false" ht="16.5" hidden="false" customHeight="true" outlineLevel="0" collapsed="false">
      <c r="A262" s="151" t="n">
        <v>45552</v>
      </c>
      <c r="B262" s="152" t="s">
        <v>486</v>
      </c>
      <c r="C262" s="153" t="n">
        <v>-188.7</v>
      </c>
      <c r="D262" s="154" t="s">
        <v>97</v>
      </c>
      <c r="E262" s="153"/>
      <c r="F262" s="154" t="s">
        <v>535</v>
      </c>
      <c r="G262" s="152" t="s">
        <v>191</v>
      </c>
      <c r="H262" s="152" t="s">
        <v>122</v>
      </c>
      <c r="I262" s="152"/>
    </row>
    <row r="263" customFormat="false" ht="16.5" hidden="false" customHeight="true" outlineLevel="0" collapsed="false">
      <c r="A263" s="151" t="n">
        <v>45552</v>
      </c>
      <c r="B263" s="152" t="s">
        <v>484</v>
      </c>
      <c r="C263" s="153" t="n">
        <v>-149.27</v>
      </c>
      <c r="D263" s="154" t="s">
        <v>97</v>
      </c>
      <c r="E263" s="153"/>
      <c r="F263" s="154" t="s">
        <v>536</v>
      </c>
      <c r="G263" s="152" t="s">
        <v>191</v>
      </c>
      <c r="H263" s="152" t="s">
        <v>122</v>
      </c>
      <c r="I263" s="152"/>
    </row>
    <row r="264" customFormat="false" ht="16.5" hidden="false" customHeight="true" outlineLevel="0" collapsed="false">
      <c r="A264" s="151" t="n">
        <v>45552</v>
      </c>
      <c r="B264" s="152" t="s">
        <v>488</v>
      </c>
      <c r="C264" s="153" t="n">
        <v>-221.88</v>
      </c>
      <c r="D264" s="154" t="s">
        <v>97</v>
      </c>
      <c r="E264" s="153"/>
      <c r="F264" s="154" t="s">
        <v>537</v>
      </c>
      <c r="G264" s="152" t="s">
        <v>191</v>
      </c>
      <c r="H264" s="152" t="s">
        <v>122</v>
      </c>
      <c r="I264" s="152"/>
    </row>
    <row r="265" customFormat="false" ht="16.5" hidden="false" customHeight="true" outlineLevel="0" collapsed="false">
      <c r="A265" s="151" t="n">
        <v>45555</v>
      </c>
      <c r="B265" s="152" t="s">
        <v>518</v>
      </c>
      <c r="C265" s="153" t="n">
        <v>-2135.82</v>
      </c>
      <c r="D265" s="154" t="s">
        <v>97</v>
      </c>
      <c r="E265" s="153"/>
      <c r="F265" s="154" t="s">
        <v>538</v>
      </c>
      <c r="G265" s="152" t="s">
        <v>191</v>
      </c>
      <c r="H265" s="152" t="s">
        <v>122</v>
      </c>
      <c r="I265" s="152"/>
    </row>
    <row r="266" customFormat="false" ht="16.5" hidden="false" customHeight="true" outlineLevel="0" collapsed="false">
      <c r="A266" s="151" t="n">
        <v>45552</v>
      </c>
      <c r="B266" s="152" t="s">
        <v>486</v>
      </c>
      <c r="C266" s="153" t="n">
        <v>188.7</v>
      </c>
      <c r="D266" s="154" t="s">
        <v>97</v>
      </c>
      <c r="E266" s="153"/>
      <c r="F266" s="154" t="s">
        <v>535</v>
      </c>
      <c r="G266" s="152" t="s">
        <v>191</v>
      </c>
      <c r="H266" s="152" t="s">
        <v>100</v>
      </c>
      <c r="I266" s="152"/>
    </row>
    <row r="267" customFormat="false" ht="16.5" hidden="false" customHeight="true" outlineLevel="0" collapsed="false">
      <c r="A267" s="151" t="n">
        <v>45552</v>
      </c>
      <c r="B267" s="152" t="s">
        <v>484</v>
      </c>
      <c r="C267" s="153" t="n">
        <v>149.27</v>
      </c>
      <c r="D267" s="154" t="s">
        <v>97</v>
      </c>
      <c r="E267" s="153"/>
      <c r="F267" s="154" t="s">
        <v>536</v>
      </c>
      <c r="G267" s="152" t="s">
        <v>191</v>
      </c>
      <c r="H267" s="152" t="s">
        <v>100</v>
      </c>
      <c r="I267" s="152"/>
    </row>
    <row r="268" customFormat="false" ht="16.5" hidden="false" customHeight="true" outlineLevel="0" collapsed="false">
      <c r="A268" s="151" t="n">
        <v>45552</v>
      </c>
      <c r="B268" s="152" t="s">
        <v>488</v>
      </c>
      <c r="C268" s="153" t="n">
        <v>221.88</v>
      </c>
      <c r="D268" s="154" t="s">
        <v>97</v>
      </c>
      <c r="E268" s="153"/>
      <c r="F268" s="154" t="s">
        <v>537</v>
      </c>
      <c r="G268" s="152" t="s">
        <v>191</v>
      </c>
      <c r="H268" s="152" t="s">
        <v>100</v>
      </c>
      <c r="I268" s="152"/>
    </row>
    <row r="269" customFormat="false" ht="16.5" hidden="false" customHeight="true" outlineLevel="0" collapsed="false">
      <c r="A269" s="151" t="n">
        <v>45555</v>
      </c>
      <c r="B269" s="152" t="s">
        <v>518</v>
      </c>
      <c r="C269" s="153" t="n">
        <v>2135.82</v>
      </c>
      <c r="D269" s="154" t="s">
        <v>97</v>
      </c>
      <c r="E269" s="153"/>
      <c r="F269" s="154" t="s">
        <v>538</v>
      </c>
      <c r="G269" s="152" t="s">
        <v>191</v>
      </c>
      <c r="H269" s="152" t="s">
        <v>100</v>
      </c>
      <c r="I269" s="152"/>
    </row>
    <row r="270" customFormat="false" ht="16.5" hidden="false" customHeight="true" outlineLevel="0" collapsed="false">
      <c r="A270" s="151" t="n">
        <v>45565</v>
      </c>
      <c r="B270" s="152" t="s">
        <v>539</v>
      </c>
      <c r="C270" s="153" t="n">
        <v>0.5</v>
      </c>
      <c r="D270" s="154" t="s">
        <v>97</v>
      </c>
      <c r="E270" s="153"/>
      <c r="F270" s="154"/>
      <c r="G270" s="152" t="s">
        <v>199</v>
      </c>
      <c r="H270" s="152" t="s">
        <v>122</v>
      </c>
      <c r="I270" s="152"/>
    </row>
    <row r="271" customFormat="false" ht="16.5" hidden="false" customHeight="true" outlineLevel="0" collapsed="false">
      <c r="A271" s="151" t="n">
        <v>45567</v>
      </c>
      <c r="B271" s="152"/>
      <c r="C271" s="153" t="n">
        <v>438.56</v>
      </c>
      <c r="D271" s="154" t="s">
        <v>97</v>
      </c>
      <c r="E271" s="153"/>
      <c r="F271" s="154" t="s">
        <v>540</v>
      </c>
      <c r="G271" s="152" t="s">
        <v>190</v>
      </c>
      <c r="H271" s="152" t="s">
        <v>122</v>
      </c>
      <c r="I271" s="152"/>
    </row>
    <row r="272" customFormat="false" ht="16.5" hidden="false" customHeight="true" outlineLevel="0" collapsed="false">
      <c r="A272" s="151" t="n">
        <v>45567</v>
      </c>
      <c r="B272" s="152"/>
      <c r="C272" s="153" t="n">
        <v>-438.56</v>
      </c>
      <c r="D272" s="154" t="s">
        <v>97</v>
      </c>
      <c r="E272" s="153"/>
      <c r="F272" s="154" t="s">
        <v>540</v>
      </c>
      <c r="G272" s="152" t="s">
        <v>190</v>
      </c>
      <c r="H272" s="152" t="s">
        <v>105</v>
      </c>
      <c r="I272" s="152"/>
    </row>
    <row r="273" customFormat="false" ht="16.5" hidden="false" customHeight="true" outlineLevel="0" collapsed="false">
      <c r="A273" s="151" t="n">
        <v>45568</v>
      </c>
      <c r="B273" s="152" t="s">
        <v>541</v>
      </c>
      <c r="C273" s="156" t="n">
        <v>1.44655</v>
      </c>
      <c r="D273" s="154" t="s">
        <v>141</v>
      </c>
      <c r="E273" s="153" t="n">
        <v>189.88</v>
      </c>
      <c r="F273" s="154" t="s">
        <v>542</v>
      </c>
      <c r="G273" s="152" t="s">
        <v>188</v>
      </c>
      <c r="H273" s="152" t="s">
        <v>140</v>
      </c>
      <c r="I273" s="152"/>
    </row>
    <row r="274" customFormat="false" ht="16.5" hidden="false" customHeight="true" outlineLevel="0" collapsed="false">
      <c r="A274" s="151" t="n">
        <v>45566</v>
      </c>
      <c r="B274" s="152" t="s">
        <v>543</v>
      </c>
      <c r="C274" s="153" t="n">
        <v>20.71</v>
      </c>
      <c r="D274" s="154" t="s">
        <v>97</v>
      </c>
      <c r="E274" s="153"/>
      <c r="F274" s="154"/>
      <c r="G274" s="152" t="s">
        <v>199</v>
      </c>
      <c r="H274" s="152" t="s">
        <v>122</v>
      </c>
      <c r="I274" s="152"/>
    </row>
    <row r="275" customFormat="false" ht="16.5" hidden="false" customHeight="true" outlineLevel="0" collapsed="false">
      <c r="A275" s="151" t="n">
        <v>45567</v>
      </c>
      <c r="B275" s="152" t="s">
        <v>544</v>
      </c>
      <c r="C275" s="153" t="n">
        <v>-182.41</v>
      </c>
      <c r="D275" s="154" t="s">
        <v>97</v>
      </c>
      <c r="E275" s="153"/>
      <c r="F275" s="154" t="s">
        <v>545</v>
      </c>
      <c r="G275" s="152" t="s">
        <v>191</v>
      </c>
      <c r="H275" s="152" t="s">
        <v>122</v>
      </c>
      <c r="I275" s="152"/>
    </row>
    <row r="276" customFormat="false" ht="16.5" hidden="false" customHeight="true" outlineLevel="0" collapsed="false">
      <c r="A276" s="151" t="n">
        <v>45567</v>
      </c>
      <c r="B276" s="152" t="s">
        <v>546</v>
      </c>
      <c r="C276" s="153" t="n">
        <v>-226.55</v>
      </c>
      <c r="D276" s="154" t="s">
        <v>97</v>
      </c>
      <c r="E276" s="153"/>
      <c r="F276" s="154" t="s">
        <v>547</v>
      </c>
      <c r="G276" s="152" t="s">
        <v>191</v>
      </c>
      <c r="H276" s="152" t="s">
        <v>122</v>
      </c>
      <c r="I276" s="152"/>
    </row>
    <row r="277" customFormat="false" ht="16.5" hidden="false" customHeight="true" outlineLevel="0" collapsed="false">
      <c r="A277" s="151" t="n">
        <v>45567</v>
      </c>
      <c r="B277" s="152" t="s">
        <v>544</v>
      </c>
      <c r="C277" s="153" t="n">
        <v>182.41</v>
      </c>
      <c r="D277" s="154" t="s">
        <v>97</v>
      </c>
      <c r="E277" s="153"/>
      <c r="F277" s="154" t="s">
        <v>545</v>
      </c>
      <c r="G277" s="152" t="s">
        <v>191</v>
      </c>
      <c r="H277" s="152" t="s">
        <v>100</v>
      </c>
      <c r="I277" s="152"/>
    </row>
    <row r="278" customFormat="false" ht="16.5" hidden="false" customHeight="true" outlineLevel="0" collapsed="false">
      <c r="A278" s="151" t="n">
        <v>45567</v>
      </c>
      <c r="B278" s="152" t="s">
        <v>546</v>
      </c>
      <c r="C278" s="153" t="n">
        <v>226.55</v>
      </c>
      <c r="D278" s="154" t="s">
        <v>97</v>
      </c>
      <c r="E278" s="153"/>
      <c r="F278" s="154" t="s">
        <v>547</v>
      </c>
      <c r="G278" s="152" t="s">
        <v>191</v>
      </c>
      <c r="H278" s="152" t="s">
        <v>100</v>
      </c>
      <c r="I278" s="152"/>
    </row>
    <row r="279" customFormat="false" ht="16.5" hidden="false" customHeight="true" outlineLevel="0" collapsed="false">
      <c r="A279" s="151" t="n">
        <v>45567</v>
      </c>
      <c r="B279" s="152" t="s">
        <v>548</v>
      </c>
      <c r="C279" s="153" t="n">
        <v>-189.88</v>
      </c>
      <c r="D279" s="154" t="s">
        <v>97</v>
      </c>
      <c r="E279" s="153" t="n">
        <v>-189.88</v>
      </c>
      <c r="F279" s="154" t="s">
        <v>542</v>
      </c>
      <c r="G279" s="152" t="s">
        <v>188</v>
      </c>
      <c r="H279" s="152" t="s">
        <v>106</v>
      </c>
      <c r="I279" s="152"/>
    </row>
    <row r="280" customFormat="false" ht="16.5" hidden="false" customHeight="true" outlineLevel="0" collapsed="false">
      <c r="A280" s="151" t="n">
        <v>45582</v>
      </c>
      <c r="B280" s="152" t="s">
        <v>549</v>
      </c>
      <c r="C280" s="153" t="n">
        <v>0.3</v>
      </c>
      <c r="D280" s="154" t="s">
        <v>97</v>
      </c>
      <c r="E280" s="153"/>
      <c r="F280" s="154"/>
      <c r="G280" s="152" t="s">
        <v>199</v>
      </c>
      <c r="H280" s="152" t="s">
        <v>122</v>
      </c>
      <c r="I280" s="152"/>
    </row>
    <row r="281" customFormat="false" ht="16.5" hidden="false" customHeight="true" outlineLevel="0" collapsed="false">
      <c r="A281" s="151" t="n">
        <v>45604</v>
      </c>
      <c r="B281" s="152" t="s">
        <v>541</v>
      </c>
      <c r="C281" s="156" t="n">
        <v>1.19943</v>
      </c>
      <c r="D281" s="154" t="s">
        <v>141</v>
      </c>
      <c r="E281" s="153" t="n">
        <v>189.88</v>
      </c>
      <c r="F281" s="154" t="s">
        <v>550</v>
      </c>
      <c r="G281" s="152" t="s">
        <v>188</v>
      </c>
      <c r="H281" s="152" t="s">
        <v>140</v>
      </c>
      <c r="I281" s="152"/>
    </row>
    <row r="282" customFormat="false" ht="16.5" hidden="false" customHeight="true" outlineLevel="0" collapsed="false">
      <c r="A282" s="151" t="n">
        <v>45608</v>
      </c>
      <c r="B282" s="152" t="s">
        <v>541</v>
      </c>
      <c r="C282" s="156" t="n">
        <v>1.32434</v>
      </c>
      <c r="D282" s="154" t="s">
        <v>141</v>
      </c>
      <c r="E282" s="153" t="n">
        <v>189.88</v>
      </c>
      <c r="F282" s="154" t="s">
        <v>551</v>
      </c>
      <c r="G282" s="152" t="s">
        <v>188</v>
      </c>
      <c r="H282" s="152" t="s">
        <v>140</v>
      </c>
      <c r="I282" s="152"/>
    </row>
    <row r="283" customFormat="false" ht="16.5" hidden="false" customHeight="true" outlineLevel="0" collapsed="false">
      <c r="A283" s="151" t="n">
        <v>45608</v>
      </c>
      <c r="B283" s="152" t="s">
        <v>552</v>
      </c>
      <c r="C283" s="153" t="n">
        <v>-189.88</v>
      </c>
      <c r="D283" s="154" t="s">
        <v>97</v>
      </c>
      <c r="E283" s="153" t="n">
        <v>-189.88</v>
      </c>
      <c r="F283" s="154" t="s">
        <v>551</v>
      </c>
      <c r="G283" s="152" t="s">
        <v>188</v>
      </c>
      <c r="H283" s="152" t="s">
        <v>106</v>
      </c>
      <c r="I283" s="152"/>
    </row>
    <row r="284" customFormat="false" ht="16.5" hidden="false" customHeight="true" outlineLevel="0" collapsed="false">
      <c r="A284" s="151" t="n">
        <v>45603</v>
      </c>
      <c r="B284" s="152" t="s">
        <v>553</v>
      </c>
      <c r="C284" s="153" t="n">
        <v>-189.88</v>
      </c>
      <c r="D284" s="154" t="s">
        <v>97</v>
      </c>
      <c r="E284" s="153" t="n">
        <v>-189.88</v>
      </c>
      <c r="F284" s="154" t="s">
        <v>550</v>
      </c>
      <c r="G284" s="152" t="s">
        <v>188</v>
      </c>
      <c r="H284" s="152" t="s">
        <v>106</v>
      </c>
      <c r="I284" s="152"/>
    </row>
    <row r="285" customFormat="false" ht="16.5" hidden="false" customHeight="true" outlineLevel="0" collapsed="false">
      <c r="A285" s="151" t="n">
        <v>45610</v>
      </c>
      <c r="B285" s="152" t="s">
        <v>541</v>
      </c>
      <c r="C285" s="156" t="n">
        <v>1.23226</v>
      </c>
      <c r="D285" s="154" t="s">
        <v>141</v>
      </c>
      <c r="E285" s="153" t="n">
        <v>189.88</v>
      </c>
      <c r="F285" s="154" t="s">
        <v>554</v>
      </c>
      <c r="G285" s="152" t="s">
        <v>188</v>
      </c>
      <c r="H285" s="152" t="s">
        <v>140</v>
      </c>
      <c r="I285" s="152"/>
    </row>
    <row r="286" customFormat="false" ht="16.5" hidden="false" customHeight="true" outlineLevel="0" collapsed="false">
      <c r="A286" s="151" t="n">
        <v>45612</v>
      </c>
      <c r="B286" s="152"/>
      <c r="C286" s="153" t="n">
        <v>3005.15</v>
      </c>
      <c r="D286" s="154" t="s">
        <v>97</v>
      </c>
      <c r="E286" s="153"/>
      <c r="F286" s="154" t="s">
        <v>555</v>
      </c>
      <c r="G286" s="152" t="s">
        <v>190</v>
      </c>
      <c r="H286" s="152" t="s">
        <v>122</v>
      </c>
      <c r="I286" s="152"/>
    </row>
    <row r="287" customFormat="false" ht="16.5" hidden="false" customHeight="true" outlineLevel="0" collapsed="false">
      <c r="A287" s="151" t="n">
        <v>45612</v>
      </c>
      <c r="B287" s="152"/>
      <c r="C287" s="153" t="n">
        <v>-200.15</v>
      </c>
      <c r="D287" s="154" t="s">
        <v>97</v>
      </c>
      <c r="E287" s="153"/>
      <c r="F287" s="154" t="s">
        <v>556</v>
      </c>
      <c r="G287" s="152" t="s">
        <v>190</v>
      </c>
      <c r="H287" s="152" t="s">
        <v>105</v>
      </c>
      <c r="I287" s="152"/>
    </row>
    <row r="288" customFormat="false" ht="16.5" hidden="false" customHeight="true" outlineLevel="0" collapsed="false">
      <c r="A288" s="151" t="n">
        <v>45612</v>
      </c>
      <c r="B288" s="152"/>
      <c r="C288" s="153" t="n">
        <v>200.15</v>
      </c>
      <c r="D288" s="154" t="s">
        <v>97</v>
      </c>
      <c r="E288" s="153"/>
      <c r="F288" s="154" t="s">
        <v>556</v>
      </c>
      <c r="G288" s="152" t="s">
        <v>190</v>
      </c>
      <c r="H288" s="152" t="s">
        <v>122</v>
      </c>
      <c r="I288" s="152"/>
    </row>
    <row r="289" customFormat="false" ht="16.5" hidden="false" customHeight="true" outlineLevel="0" collapsed="false">
      <c r="A289" s="151" t="n">
        <v>45614</v>
      </c>
      <c r="B289" s="152" t="s">
        <v>557</v>
      </c>
      <c r="C289" s="153" t="n">
        <v>-976.78</v>
      </c>
      <c r="D289" s="154" t="s">
        <v>97</v>
      </c>
      <c r="E289" s="153"/>
      <c r="F289" s="154" t="s">
        <v>558</v>
      </c>
      <c r="G289" s="152" t="s">
        <v>191</v>
      </c>
      <c r="H289" s="152" t="s">
        <v>122</v>
      </c>
      <c r="I289" s="152"/>
    </row>
    <row r="290" customFormat="false" ht="16.5" hidden="false" customHeight="true" outlineLevel="0" collapsed="false">
      <c r="A290" s="151" t="n">
        <v>45614</v>
      </c>
      <c r="B290" s="152" t="s">
        <v>559</v>
      </c>
      <c r="C290" s="153" t="n">
        <v>-835.37</v>
      </c>
      <c r="D290" s="154" t="s">
        <v>97</v>
      </c>
      <c r="E290" s="153"/>
      <c r="F290" s="154" t="s">
        <v>560</v>
      </c>
      <c r="G290" s="152" t="s">
        <v>191</v>
      </c>
      <c r="H290" s="152" t="s">
        <v>122</v>
      </c>
      <c r="I290" s="152"/>
    </row>
    <row r="291" customFormat="false" ht="16.5" hidden="false" customHeight="true" outlineLevel="0" collapsed="false">
      <c r="A291" s="151" t="n">
        <v>45614</v>
      </c>
      <c r="B291" s="152" t="s">
        <v>561</v>
      </c>
      <c r="C291" s="153" t="n">
        <v>-991.1</v>
      </c>
      <c r="D291" s="154" t="s">
        <v>97</v>
      </c>
      <c r="E291" s="153"/>
      <c r="F291" s="154" t="s">
        <v>562</v>
      </c>
      <c r="G291" s="152" t="s">
        <v>191</v>
      </c>
      <c r="H291" s="152" t="s">
        <v>122</v>
      </c>
      <c r="I291" s="152"/>
    </row>
    <row r="292" customFormat="false" ht="16.5" hidden="false" customHeight="true" outlineLevel="0" collapsed="false">
      <c r="A292" s="151" t="n">
        <v>45614</v>
      </c>
      <c r="B292" s="152" t="s">
        <v>557</v>
      </c>
      <c r="C292" s="153" t="n">
        <v>976.78</v>
      </c>
      <c r="D292" s="154" t="s">
        <v>97</v>
      </c>
      <c r="E292" s="153"/>
      <c r="F292" s="154" t="s">
        <v>558</v>
      </c>
      <c r="G292" s="152" t="s">
        <v>191</v>
      </c>
      <c r="H292" s="152" t="s">
        <v>100</v>
      </c>
      <c r="I292" s="152"/>
    </row>
    <row r="293" customFormat="false" ht="16.5" hidden="false" customHeight="true" outlineLevel="0" collapsed="false">
      <c r="A293" s="151" t="n">
        <v>45614</v>
      </c>
      <c r="B293" s="152" t="s">
        <v>559</v>
      </c>
      <c r="C293" s="153" t="n">
        <v>835.37</v>
      </c>
      <c r="D293" s="154" t="s">
        <v>97</v>
      </c>
      <c r="E293" s="153"/>
      <c r="F293" s="154" t="s">
        <v>560</v>
      </c>
      <c r="G293" s="152" t="s">
        <v>191</v>
      </c>
      <c r="H293" s="152" t="s">
        <v>100</v>
      </c>
      <c r="I293" s="152"/>
    </row>
    <row r="294" customFormat="false" ht="16.5" hidden="false" customHeight="true" outlineLevel="0" collapsed="false">
      <c r="A294" s="151" t="n">
        <v>45614</v>
      </c>
      <c r="B294" s="152" t="s">
        <v>561</v>
      </c>
      <c r="C294" s="153" t="n">
        <v>991.1</v>
      </c>
      <c r="D294" s="154" t="s">
        <v>97</v>
      </c>
      <c r="E294" s="153"/>
      <c r="F294" s="154" t="s">
        <v>562</v>
      </c>
      <c r="G294" s="152" t="s">
        <v>191</v>
      </c>
      <c r="H294" s="152" t="s">
        <v>100</v>
      </c>
      <c r="I294" s="152"/>
    </row>
    <row r="295" customFormat="false" ht="16.5" hidden="false" customHeight="true" outlineLevel="0" collapsed="false">
      <c r="A295" s="151" t="n">
        <v>45614</v>
      </c>
      <c r="B295" s="152" t="s">
        <v>563</v>
      </c>
      <c r="C295" s="153" t="n">
        <v>-3005.15</v>
      </c>
      <c r="D295" s="154" t="s">
        <v>97</v>
      </c>
      <c r="E295" s="153"/>
      <c r="F295" s="154" t="s">
        <v>564</v>
      </c>
      <c r="G295" s="152" t="s">
        <v>190</v>
      </c>
      <c r="H295" s="152" t="s">
        <v>106</v>
      </c>
      <c r="I295" s="152"/>
    </row>
    <row r="296" customFormat="false" ht="16.5" hidden="false" customHeight="true" outlineLevel="0" collapsed="false">
      <c r="A296" s="151" t="n">
        <v>45611</v>
      </c>
      <c r="B296" s="152" t="s">
        <v>565</v>
      </c>
      <c r="C296" s="153" t="n">
        <v>-189.88</v>
      </c>
      <c r="D296" s="154" t="s">
        <v>97</v>
      </c>
      <c r="E296" s="153" t="n">
        <v>-189.88</v>
      </c>
      <c r="F296" s="154" t="s">
        <v>554</v>
      </c>
      <c r="G296" s="152" t="s">
        <v>188</v>
      </c>
      <c r="H296" s="152" t="s">
        <v>106</v>
      </c>
      <c r="I296" s="152"/>
    </row>
    <row r="297" customFormat="false" ht="16.5" hidden="false" customHeight="true" outlineLevel="0" collapsed="false">
      <c r="A297" s="151" t="n">
        <v>45610</v>
      </c>
      <c r="B297" s="152" t="s">
        <v>566</v>
      </c>
      <c r="C297" s="153" t="n">
        <v>-3005.15</v>
      </c>
      <c r="D297" s="154" t="s">
        <v>97</v>
      </c>
      <c r="E297" s="153"/>
      <c r="F297" s="154" t="s">
        <v>555</v>
      </c>
      <c r="G297" s="152" t="s">
        <v>190</v>
      </c>
      <c r="H297" s="152" t="s">
        <v>106</v>
      </c>
      <c r="I297" s="152"/>
    </row>
    <row r="298" customFormat="false" ht="16.5" hidden="false" customHeight="true" outlineLevel="0" collapsed="false">
      <c r="A298" s="151" t="n">
        <v>45619</v>
      </c>
      <c r="B298" s="152"/>
      <c r="C298" s="153" t="n">
        <v>3005.15</v>
      </c>
      <c r="D298" s="154" t="s">
        <v>97</v>
      </c>
      <c r="E298" s="153"/>
      <c r="F298" s="154" t="s">
        <v>564</v>
      </c>
      <c r="G298" s="152" t="s">
        <v>190</v>
      </c>
      <c r="H298" s="152" t="s">
        <v>122</v>
      </c>
      <c r="I298" s="152"/>
    </row>
    <row r="299" customFormat="false" ht="16.5" hidden="false" customHeight="true" outlineLevel="0" collapsed="false">
      <c r="A299" s="151" t="n">
        <v>45619</v>
      </c>
      <c r="B299" s="152"/>
      <c r="C299" s="153" t="n">
        <v>-3921</v>
      </c>
      <c r="D299" s="154" t="s">
        <v>97</v>
      </c>
      <c r="E299" s="153"/>
      <c r="F299" s="154" t="s">
        <v>567</v>
      </c>
      <c r="G299" s="152" t="s">
        <v>190</v>
      </c>
      <c r="H299" s="152" t="s">
        <v>122</v>
      </c>
      <c r="I299" s="152"/>
    </row>
    <row r="300" customFormat="false" ht="16.5" hidden="false" customHeight="true" outlineLevel="0" collapsed="false">
      <c r="A300" s="151" t="n">
        <v>45619</v>
      </c>
      <c r="B300" s="152"/>
      <c r="C300" s="153" t="n">
        <v>3921</v>
      </c>
      <c r="D300" s="154" t="s">
        <v>97</v>
      </c>
      <c r="E300" s="153"/>
      <c r="F300" s="154" t="s">
        <v>567</v>
      </c>
      <c r="G300" s="152" t="s">
        <v>190</v>
      </c>
      <c r="H300" s="152" t="s">
        <v>105</v>
      </c>
      <c r="I300" s="152"/>
    </row>
    <row r="301" customFormat="false" ht="16.5" hidden="false" customHeight="true" outlineLevel="0" collapsed="false">
      <c r="A301" s="151" t="n">
        <v>45616</v>
      </c>
      <c r="B301" s="152" t="s">
        <v>60</v>
      </c>
      <c r="C301" s="153" t="n">
        <v>0</v>
      </c>
      <c r="D301" s="154" t="s">
        <v>97</v>
      </c>
      <c r="E301" s="153"/>
      <c r="F301" s="154"/>
      <c r="G301" s="152" t="s">
        <v>315</v>
      </c>
      <c r="H301" s="152" t="s">
        <v>121</v>
      </c>
      <c r="I301" s="152"/>
    </row>
    <row r="302" customFormat="false" ht="16.5" hidden="false" customHeight="true" outlineLevel="0" collapsed="false">
      <c r="A302" s="151" t="n">
        <v>45617</v>
      </c>
      <c r="B302" s="152" t="s">
        <v>568</v>
      </c>
      <c r="C302" s="153" t="n">
        <v>-99.97</v>
      </c>
      <c r="D302" s="154" t="s">
        <v>97</v>
      </c>
      <c r="E302" s="153"/>
      <c r="F302" s="154" t="s">
        <v>569</v>
      </c>
      <c r="G302" s="152" t="s">
        <v>190</v>
      </c>
      <c r="H302" s="152" t="s">
        <v>106</v>
      </c>
      <c r="I302" s="152"/>
    </row>
    <row r="303" customFormat="false" ht="16.5" hidden="false" customHeight="true" outlineLevel="0" collapsed="false">
      <c r="A303" s="151" t="n">
        <v>45617</v>
      </c>
      <c r="B303" s="152"/>
      <c r="C303" s="153" t="n">
        <v>99.97</v>
      </c>
      <c r="D303" s="154" t="s">
        <v>97</v>
      </c>
      <c r="E303" s="153"/>
      <c r="F303" s="154" t="s">
        <v>569</v>
      </c>
      <c r="G303" s="152" t="s">
        <v>190</v>
      </c>
      <c r="H303" s="152" t="s">
        <v>121</v>
      </c>
      <c r="I303" s="152"/>
    </row>
    <row r="304" customFormat="false" ht="16.5" hidden="false" customHeight="true" outlineLevel="0" collapsed="false">
      <c r="A304" s="151" t="n">
        <v>45621</v>
      </c>
      <c r="B304" s="152" t="s">
        <v>60</v>
      </c>
      <c r="C304" s="159" t="n">
        <v>0</v>
      </c>
      <c r="D304" s="154" t="s">
        <v>103</v>
      </c>
      <c r="E304" s="153"/>
      <c r="F304" s="154"/>
      <c r="G304" s="152" t="s">
        <v>315</v>
      </c>
      <c r="H304" s="152" t="s">
        <v>131</v>
      </c>
      <c r="I304" s="152"/>
    </row>
    <row r="305" customFormat="false" ht="16.5" hidden="false" customHeight="true" outlineLevel="0" collapsed="false">
      <c r="A305" s="151" t="n">
        <v>45621</v>
      </c>
      <c r="B305" s="152" t="s">
        <v>60</v>
      </c>
      <c r="C305" s="159" t="n">
        <v>0</v>
      </c>
      <c r="D305" s="154" t="s">
        <v>103</v>
      </c>
      <c r="E305" s="153"/>
      <c r="F305" s="154"/>
      <c r="G305" s="152" t="s">
        <v>315</v>
      </c>
      <c r="H305" s="152" t="s">
        <v>102</v>
      </c>
      <c r="I305" s="152"/>
    </row>
    <row r="306" customFormat="false" ht="16.5" hidden="false" customHeight="true" outlineLevel="0" collapsed="false">
      <c r="A306" s="151" t="n">
        <v>45622</v>
      </c>
      <c r="B306" s="152"/>
      <c r="C306" s="159" t="n">
        <v>206.82</v>
      </c>
      <c r="D306" s="154" t="s">
        <v>103</v>
      </c>
      <c r="E306" s="153" t="n">
        <v>200.15</v>
      </c>
      <c r="F306" s="154" t="s">
        <v>570</v>
      </c>
      <c r="G306" s="152" t="s">
        <v>188</v>
      </c>
      <c r="H306" s="152" t="s">
        <v>131</v>
      </c>
      <c r="I306" s="152"/>
    </row>
    <row r="307" customFormat="false" ht="16.5" hidden="false" customHeight="true" outlineLevel="0" collapsed="false">
      <c r="A307" s="151" t="n">
        <v>45622</v>
      </c>
      <c r="B307" s="152" t="s">
        <v>571</v>
      </c>
      <c r="C307" s="159" t="n">
        <v>1.99</v>
      </c>
      <c r="D307" s="154" t="s">
        <v>103</v>
      </c>
      <c r="E307" s="153" t="n">
        <v>1.91</v>
      </c>
      <c r="F307" s="154"/>
      <c r="G307" s="152" t="s">
        <v>209</v>
      </c>
      <c r="H307" s="152" t="s">
        <v>102</v>
      </c>
      <c r="I307" s="152"/>
    </row>
    <row r="308" customFormat="false" ht="16.5" hidden="false" customHeight="true" outlineLevel="0" collapsed="false">
      <c r="A308" s="151" t="n">
        <v>45623</v>
      </c>
      <c r="B308" s="152"/>
      <c r="C308" s="159" t="n">
        <v>-186.37</v>
      </c>
      <c r="D308" s="154" t="s">
        <v>103</v>
      </c>
      <c r="E308" s="153" t="n">
        <v>-174.9</v>
      </c>
      <c r="F308" s="154" t="s">
        <v>572</v>
      </c>
      <c r="G308" s="152" t="s">
        <v>188</v>
      </c>
      <c r="H308" s="152" t="s">
        <v>131</v>
      </c>
      <c r="I308" s="152"/>
    </row>
    <row r="309" customFormat="false" ht="16.5" hidden="false" customHeight="true" outlineLevel="0" collapsed="false">
      <c r="A309" s="151" t="n">
        <v>45623</v>
      </c>
      <c r="B309" s="152" t="s">
        <v>573</v>
      </c>
      <c r="C309" s="153" t="n">
        <v>174.9</v>
      </c>
      <c r="D309" s="154" t="s">
        <v>97</v>
      </c>
      <c r="E309" s="153" t="n">
        <v>174.9</v>
      </c>
      <c r="F309" s="154" t="s">
        <v>572</v>
      </c>
      <c r="G309" s="152" t="s">
        <v>188</v>
      </c>
      <c r="H309" s="152" t="s">
        <v>116</v>
      </c>
      <c r="I309" s="152"/>
    </row>
    <row r="310" customFormat="false" ht="16.5" hidden="false" customHeight="true" outlineLevel="0" collapsed="false">
      <c r="A310" s="151" t="n">
        <v>45623</v>
      </c>
      <c r="B310" s="152" t="s">
        <v>574</v>
      </c>
      <c r="C310" s="153" t="n">
        <v>-200.15</v>
      </c>
      <c r="D310" s="154" t="s">
        <v>97</v>
      </c>
      <c r="E310" s="153" t="n">
        <v>-200.15</v>
      </c>
      <c r="F310" s="154" t="s">
        <v>570</v>
      </c>
      <c r="G310" s="152" t="s">
        <v>188</v>
      </c>
      <c r="H310" s="152" t="s">
        <v>106</v>
      </c>
      <c r="I310" s="152"/>
    </row>
    <row r="311" customFormat="false" ht="16.5" hidden="false" customHeight="true" outlineLevel="0" collapsed="false">
      <c r="A311" s="151" t="n">
        <v>45623</v>
      </c>
      <c r="B311" s="152" t="s">
        <v>575</v>
      </c>
      <c r="C311" s="153" t="n">
        <v>2.3</v>
      </c>
      <c r="D311" s="154" t="s">
        <v>97</v>
      </c>
      <c r="E311" s="153"/>
      <c r="F311" s="154"/>
      <c r="G311" s="152" t="s">
        <v>199</v>
      </c>
      <c r="H311" s="152" t="s">
        <v>122</v>
      </c>
      <c r="I311" s="152"/>
    </row>
    <row r="312" customFormat="false" ht="16.5" hidden="false" customHeight="true" outlineLevel="0" collapsed="false">
      <c r="A312" s="151" t="n">
        <v>45626</v>
      </c>
      <c r="B312" s="152"/>
      <c r="C312" s="160" t="n">
        <v>0</v>
      </c>
      <c r="D312" s="154"/>
      <c r="E312" s="160"/>
      <c r="F312" s="154"/>
      <c r="G312" s="152" t="s">
        <v>315</v>
      </c>
      <c r="H312" s="152" t="s">
        <v>117</v>
      </c>
      <c r="I312" s="152"/>
    </row>
    <row r="313" customFormat="false" ht="16.5" hidden="false" customHeight="true" outlineLevel="0" collapsed="false">
      <c r="A313" s="151" t="n">
        <v>45627</v>
      </c>
      <c r="B313" s="152"/>
      <c r="C313" s="153" t="n">
        <v>-4</v>
      </c>
      <c r="D313" s="154" t="s">
        <v>97</v>
      </c>
      <c r="E313" s="153"/>
      <c r="F313" s="154" t="s">
        <v>576</v>
      </c>
      <c r="G313" s="152" t="s">
        <v>190</v>
      </c>
      <c r="H313" s="152" t="s">
        <v>106</v>
      </c>
      <c r="I313" s="152"/>
    </row>
    <row r="314" customFormat="false" ht="16.5" hidden="false" customHeight="true" outlineLevel="0" collapsed="false">
      <c r="A314" s="151" t="n">
        <v>45627</v>
      </c>
      <c r="B314" s="152"/>
      <c r="C314" s="153" t="n">
        <v>-95.67</v>
      </c>
      <c r="D314" s="154" t="s">
        <v>97</v>
      </c>
      <c r="E314" s="153"/>
      <c r="F314" s="154" t="s">
        <v>577</v>
      </c>
      <c r="G314" s="152" t="s">
        <v>190</v>
      </c>
      <c r="H314" s="152" t="s">
        <v>106</v>
      </c>
      <c r="I314" s="152"/>
    </row>
    <row r="315" customFormat="false" ht="16.5" hidden="false" customHeight="true" outlineLevel="0" collapsed="false">
      <c r="A315" s="151" t="n">
        <v>45627</v>
      </c>
      <c r="B315" s="152"/>
      <c r="C315" s="153" t="n">
        <v>-998.9</v>
      </c>
      <c r="D315" s="154" t="s">
        <v>97</v>
      </c>
      <c r="E315" s="153"/>
      <c r="F315" s="154" t="s">
        <v>578</v>
      </c>
      <c r="G315" s="152" t="s">
        <v>190</v>
      </c>
      <c r="H315" s="152" t="s">
        <v>106</v>
      </c>
      <c r="I315" s="152"/>
    </row>
    <row r="316" customFormat="false" ht="16.5" hidden="false" customHeight="true" outlineLevel="0" collapsed="false">
      <c r="A316" s="151" t="n">
        <v>45627</v>
      </c>
      <c r="B316" s="152"/>
      <c r="C316" s="153" t="n">
        <v>4</v>
      </c>
      <c r="D316" s="154" t="s">
        <v>97</v>
      </c>
      <c r="E316" s="153"/>
      <c r="F316" s="154" t="s">
        <v>576</v>
      </c>
      <c r="G316" s="152" t="s">
        <v>190</v>
      </c>
      <c r="H316" s="152" t="s">
        <v>117</v>
      </c>
      <c r="I316" s="152"/>
    </row>
    <row r="317" customFormat="false" ht="16.5" hidden="false" customHeight="true" outlineLevel="0" collapsed="false">
      <c r="A317" s="151" t="n">
        <v>45627</v>
      </c>
      <c r="B317" s="152"/>
      <c r="C317" s="153" t="n">
        <v>95.67</v>
      </c>
      <c r="D317" s="154" t="s">
        <v>97</v>
      </c>
      <c r="E317" s="153"/>
      <c r="F317" s="154" t="s">
        <v>577</v>
      </c>
      <c r="G317" s="152" t="s">
        <v>190</v>
      </c>
      <c r="H317" s="152" t="s">
        <v>117</v>
      </c>
      <c r="I317" s="152"/>
    </row>
    <row r="318" customFormat="false" ht="16.5" hidden="false" customHeight="true" outlineLevel="0" collapsed="false">
      <c r="A318" s="151" t="n">
        <v>45627</v>
      </c>
      <c r="B318" s="152"/>
      <c r="C318" s="153" t="n">
        <v>998.9</v>
      </c>
      <c r="D318" s="154" t="s">
        <v>97</v>
      </c>
      <c r="E318" s="153"/>
      <c r="F318" s="154" t="s">
        <v>578</v>
      </c>
      <c r="G318" s="152" t="s">
        <v>190</v>
      </c>
      <c r="H318" s="152" t="s">
        <v>117</v>
      </c>
      <c r="I318" s="152"/>
    </row>
    <row r="319" customFormat="false" ht="16.5" hidden="false" customHeight="true" outlineLevel="0" collapsed="false">
      <c r="A319" s="151" t="n">
        <v>45627</v>
      </c>
      <c r="B319" s="152"/>
      <c r="C319" s="160" t="n">
        <v>1100</v>
      </c>
      <c r="D319" s="154"/>
      <c r="E319" s="160"/>
      <c r="F319" s="154"/>
      <c r="G319" s="152" t="s">
        <v>315</v>
      </c>
      <c r="H319" s="152" t="s">
        <v>117</v>
      </c>
      <c r="I319" s="152"/>
    </row>
    <row r="320" customFormat="false" ht="16.5" hidden="false" customHeight="true" outlineLevel="0" collapsed="false">
      <c r="A320" s="151" t="n">
        <v>45628</v>
      </c>
      <c r="B320" s="152" t="s">
        <v>579</v>
      </c>
      <c r="C320" s="153" t="n">
        <v>-237.29</v>
      </c>
      <c r="D320" s="154" t="s">
        <v>97</v>
      </c>
      <c r="E320" s="153" t="n">
        <v>-237.29</v>
      </c>
      <c r="F320" s="154" t="s">
        <v>580</v>
      </c>
      <c r="G320" s="152" t="s">
        <v>189</v>
      </c>
      <c r="H320" s="152" t="s">
        <v>106</v>
      </c>
      <c r="I320" s="152"/>
    </row>
    <row r="321" customFormat="false" ht="16.5" hidden="false" customHeight="true" outlineLevel="0" collapsed="false">
      <c r="A321" s="151" t="n">
        <v>45628</v>
      </c>
      <c r="B321" s="152"/>
      <c r="C321" s="158" t="n">
        <v>2.66422</v>
      </c>
      <c r="D321" s="154" t="s">
        <v>150</v>
      </c>
      <c r="E321" s="153" t="n">
        <v>237.29</v>
      </c>
      <c r="F321" s="154" t="s">
        <v>580</v>
      </c>
      <c r="G321" s="152" t="s">
        <v>189</v>
      </c>
      <c r="H321" s="152" t="s">
        <v>149</v>
      </c>
      <c r="I321" s="152"/>
    </row>
    <row r="322" customFormat="false" ht="16.5" hidden="false" customHeight="true" outlineLevel="0" collapsed="false">
      <c r="A322" s="151" t="n">
        <v>45628</v>
      </c>
      <c r="B322" s="152" t="s">
        <v>581</v>
      </c>
      <c r="C322" s="153" t="n">
        <v>-213.27</v>
      </c>
      <c r="D322" s="154" t="s">
        <v>97</v>
      </c>
      <c r="E322" s="153" t="n">
        <v>-213.27</v>
      </c>
      <c r="F322" s="154" t="s">
        <v>582</v>
      </c>
      <c r="G322" s="152" t="s">
        <v>189</v>
      </c>
      <c r="H322" s="152" t="s">
        <v>106</v>
      </c>
      <c r="I322" s="152"/>
    </row>
    <row r="323" customFormat="false" ht="16.5" hidden="false" customHeight="true" outlineLevel="0" collapsed="false">
      <c r="A323" s="151" t="n">
        <v>45628</v>
      </c>
      <c r="B323" s="152"/>
      <c r="C323" s="158" t="n">
        <v>2.98229</v>
      </c>
      <c r="D323" s="154" t="s">
        <v>150</v>
      </c>
      <c r="E323" s="153" t="n">
        <v>213.27</v>
      </c>
      <c r="F323" s="154" t="s">
        <v>582</v>
      </c>
      <c r="G323" s="152" t="s">
        <v>189</v>
      </c>
      <c r="H323" s="152" t="s">
        <v>149</v>
      </c>
      <c r="I323" s="152"/>
    </row>
    <row r="324" customFormat="false" ht="16.5" hidden="false" customHeight="true" outlineLevel="0" collapsed="false">
      <c r="A324" s="151" t="n">
        <v>45628</v>
      </c>
      <c r="B324" s="152" t="s">
        <v>583</v>
      </c>
      <c r="C324" s="153" t="n">
        <v>-158.9</v>
      </c>
      <c r="D324" s="154" t="s">
        <v>97</v>
      </c>
      <c r="E324" s="153" t="n">
        <v>-158.9</v>
      </c>
      <c r="F324" s="154" t="s">
        <v>584</v>
      </c>
      <c r="G324" s="152" t="s">
        <v>189</v>
      </c>
      <c r="H324" s="152" t="s">
        <v>106</v>
      </c>
      <c r="I324" s="152"/>
    </row>
    <row r="325" customFormat="false" ht="16.5" hidden="false" customHeight="true" outlineLevel="0" collapsed="false">
      <c r="A325" s="151" t="n">
        <v>45628</v>
      </c>
      <c r="B325" s="152"/>
      <c r="C325" s="158" t="n">
        <v>2.3169</v>
      </c>
      <c r="D325" s="154" t="s">
        <v>150</v>
      </c>
      <c r="E325" s="153" t="n">
        <v>158.9</v>
      </c>
      <c r="F325" s="154" t="s">
        <v>584</v>
      </c>
      <c r="G325" s="152" t="s">
        <v>189</v>
      </c>
      <c r="H325" s="152" t="s">
        <v>149</v>
      </c>
      <c r="I325" s="152"/>
    </row>
    <row r="326" customFormat="false" ht="16.5" hidden="false" customHeight="true" outlineLevel="0" collapsed="false">
      <c r="A326" s="151" t="n">
        <v>45628</v>
      </c>
      <c r="B326" s="152" t="s">
        <v>585</v>
      </c>
      <c r="C326" s="153" t="n">
        <v>-62.7</v>
      </c>
      <c r="D326" s="154" t="s">
        <v>97</v>
      </c>
      <c r="E326" s="153" t="n">
        <v>-62.7</v>
      </c>
      <c r="F326" s="154" t="s">
        <v>586</v>
      </c>
      <c r="G326" s="152" t="s">
        <v>189</v>
      </c>
      <c r="H326" s="152" t="s">
        <v>106</v>
      </c>
      <c r="I326" s="152"/>
    </row>
    <row r="327" customFormat="false" ht="16.5" hidden="false" customHeight="true" outlineLevel="0" collapsed="false">
      <c r="A327" s="151" t="n">
        <v>45628</v>
      </c>
      <c r="B327" s="152"/>
      <c r="C327" s="158" t="n">
        <v>1.0535</v>
      </c>
      <c r="D327" s="154" t="s">
        <v>150</v>
      </c>
      <c r="E327" s="153" t="n">
        <v>62.7</v>
      </c>
      <c r="F327" s="154" t="s">
        <v>586</v>
      </c>
      <c r="G327" s="152" t="s">
        <v>189</v>
      </c>
      <c r="H327" s="152" t="s">
        <v>149</v>
      </c>
      <c r="I327" s="152"/>
    </row>
    <row r="328" customFormat="false" ht="16.5" hidden="false" customHeight="true" outlineLevel="0" collapsed="false">
      <c r="A328" s="151" t="n">
        <v>45630</v>
      </c>
      <c r="B328" s="152" t="s">
        <v>60</v>
      </c>
      <c r="C328" s="161" t="n">
        <v>0</v>
      </c>
      <c r="D328" s="154" t="s">
        <v>128</v>
      </c>
      <c r="E328" s="153"/>
      <c r="F328" s="154"/>
      <c r="G328" s="152" t="s">
        <v>315</v>
      </c>
      <c r="H328" s="152" t="s">
        <v>127</v>
      </c>
      <c r="I328" s="152"/>
    </row>
    <row r="329" customFormat="false" ht="16.5" hidden="false" customHeight="true" outlineLevel="0" collapsed="false">
      <c r="A329" s="151" t="n">
        <v>45631</v>
      </c>
      <c r="B329" s="152"/>
      <c r="C329" s="153" t="n">
        <v>-1395.96</v>
      </c>
      <c r="D329" s="154" t="s">
        <v>97</v>
      </c>
      <c r="E329" s="153" t="n">
        <v>-1395.96</v>
      </c>
      <c r="F329" s="154" t="s">
        <v>587</v>
      </c>
      <c r="G329" s="152" t="s">
        <v>188</v>
      </c>
      <c r="H329" s="152" t="s">
        <v>117</v>
      </c>
      <c r="I329" s="152"/>
    </row>
    <row r="330" customFormat="false" ht="16.5" hidden="false" customHeight="true" outlineLevel="0" collapsed="false">
      <c r="A330" s="151" t="n">
        <v>45631</v>
      </c>
      <c r="B330" s="152"/>
      <c r="C330" s="161" t="n">
        <v>1970.76</v>
      </c>
      <c r="D330" s="154" t="s">
        <v>128</v>
      </c>
      <c r="E330" s="153" t="n">
        <v>1395.96</v>
      </c>
      <c r="F330" s="154" t="s">
        <v>587</v>
      </c>
      <c r="G330" s="152" t="s">
        <v>188</v>
      </c>
      <c r="H330" s="152" t="s">
        <v>127</v>
      </c>
      <c r="I330" s="152"/>
    </row>
    <row r="331" customFormat="false" ht="16.5" hidden="false" customHeight="true" outlineLevel="0" collapsed="false">
      <c r="A331" s="151" t="n">
        <v>45632</v>
      </c>
      <c r="B331" s="152"/>
      <c r="C331" s="159" t="n">
        <v>-20.56</v>
      </c>
      <c r="D331" s="154" t="s">
        <v>103</v>
      </c>
      <c r="E331" s="153" t="n">
        <v>-19.34</v>
      </c>
      <c r="F331" s="154" t="s">
        <v>588</v>
      </c>
      <c r="G331" s="152" t="s">
        <v>188</v>
      </c>
      <c r="H331" s="152" t="s">
        <v>131</v>
      </c>
      <c r="I331" s="152"/>
    </row>
    <row r="332" customFormat="false" ht="16.5" hidden="false" customHeight="true" outlineLevel="0" collapsed="false">
      <c r="A332" s="151" t="n">
        <v>45632</v>
      </c>
      <c r="B332" s="152"/>
      <c r="C332" s="153" t="n">
        <v>19.34</v>
      </c>
      <c r="D332" s="154" t="s">
        <v>97</v>
      </c>
      <c r="E332" s="153" t="n">
        <v>19.34</v>
      </c>
      <c r="F332" s="154" t="s">
        <v>588</v>
      </c>
      <c r="G332" s="152" t="s">
        <v>188</v>
      </c>
      <c r="H332" s="152" t="s">
        <v>116</v>
      </c>
      <c r="I332" s="152"/>
    </row>
    <row r="333" customFormat="false" ht="16.5" hidden="false" customHeight="true" outlineLevel="0" collapsed="false">
      <c r="A333" s="151" t="n">
        <v>45628</v>
      </c>
      <c r="B333" s="152" t="s">
        <v>589</v>
      </c>
      <c r="C333" s="153" t="n">
        <v>1.55</v>
      </c>
      <c r="D333" s="154" t="s">
        <v>97</v>
      </c>
      <c r="E333" s="153"/>
      <c r="F333" s="154"/>
      <c r="G333" s="152" t="s">
        <v>199</v>
      </c>
      <c r="H333" s="152" t="s">
        <v>122</v>
      </c>
      <c r="I333" s="152"/>
    </row>
    <row r="334" customFormat="false" ht="16.5" hidden="false" customHeight="true" outlineLevel="0" collapsed="false">
      <c r="A334" s="151" t="n">
        <v>45649</v>
      </c>
      <c r="B334" s="152" t="s">
        <v>541</v>
      </c>
      <c r="C334" s="156" t="n">
        <v>1.05194</v>
      </c>
      <c r="D334" s="154" t="s">
        <v>141</v>
      </c>
      <c r="E334" s="153" t="n">
        <v>197.36</v>
      </c>
      <c r="F334" s="154" t="s">
        <v>590</v>
      </c>
      <c r="G334" s="152" t="s">
        <v>188</v>
      </c>
      <c r="H334" s="152" t="s">
        <v>140</v>
      </c>
      <c r="I334" s="152"/>
    </row>
    <row r="335" customFormat="false" ht="16.5" hidden="false" customHeight="true" outlineLevel="0" collapsed="false">
      <c r="A335" s="151" t="n">
        <v>45649</v>
      </c>
      <c r="B335" s="152" t="s">
        <v>60</v>
      </c>
      <c r="C335" s="156" t="n">
        <v>15.53528</v>
      </c>
      <c r="D335" s="154" t="s">
        <v>141</v>
      </c>
      <c r="E335" s="153"/>
      <c r="F335" s="154"/>
      <c r="G335" s="152" t="s">
        <v>315</v>
      </c>
      <c r="H335" s="152" t="s">
        <v>140</v>
      </c>
      <c r="I335" s="152"/>
    </row>
    <row r="336" customFormat="false" ht="16.5" hidden="false" customHeight="true" outlineLevel="0" collapsed="false">
      <c r="A336" s="151" t="n">
        <v>45649</v>
      </c>
      <c r="B336" s="152" t="s">
        <v>591</v>
      </c>
      <c r="C336" s="153" t="n">
        <v>-197.36</v>
      </c>
      <c r="D336" s="154" t="s">
        <v>97</v>
      </c>
      <c r="E336" s="153" t="n">
        <v>-197.36</v>
      </c>
      <c r="F336" s="154" t="s">
        <v>590</v>
      </c>
      <c r="G336" s="152" t="s">
        <v>188</v>
      </c>
      <c r="H336" s="152" t="s">
        <v>106</v>
      </c>
      <c r="I336" s="152"/>
    </row>
    <row r="337" customFormat="false" ht="16.5" hidden="false" customHeight="true" outlineLevel="0" collapsed="false">
      <c r="A337" s="151" t="n">
        <v>45652</v>
      </c>
      <c r="B337" s="152" t="s">
        <v>60</v>
      </c>
      <c r="C337" s="159" t="n">
        <v>0</v>
      </c>
      <c r="D337" s="154" t="s">
        <v>103</v>
      </c>
      <c r="E337" s="153"/>
      <c r="F337" s="154"/>
      <c r="G337" s="152" t="s">
        <v>315</v>
      </c>
      <c r="H337" s="152" t="s">
        <v>125</v>
      </c>
      <c r="I337" s="152"/>
    </row>
    <row r="338" customFormat="false" ht="16.5" hidden="false" customHeight="true" outlineLevel="0" collapsed="false">
      <c r="A338" s="151" t="n">
        <v>45653</v>
      </c>
      <c r="B338" s="152"/>
      <c r="C338" s="161" t="n">
        <v>-998.9</v>
      </c>
      <c r="D338" s="154" t="s">
        <v>128</v>
      </c>
      <c r="E338" s="153" t="n">
        <v>-705.62</v>
      </c>
      <c r="F338" s="154" t="s">
        <v>592</v>
      </c>
      <c r="G338" s="152" t="s">
        <v>188</v>
      </c>
      <c r="H338" s="152" t="s">
        <v>127</v>
      </c>
      <c r="I338" s="152"/>
    </row>
    <row r="339" customFormat="false" ht="16.5" hidden="false" customHeight="true" outlineLevel="0" collapsed="false">
      <c r="A339" s="151" t="n">
        <v>45653</v>
      </c>
      <c r="B339" s="152" t="s">
        <v>60</v>
      </c>
      <c r="C339" s="161" t="n">
        <v>971.86</v>
      </c>
      <c r="D339" s="154" t="s">
        <v>128</v>
      </c>
      <c r="E339" s="153"/>
      <c r="F339" s="154"/>
      <c r="G339" s="152" t="s">
        <v>315</v>
      </c>
      <c r="H339" s="152" t="s">
        <v>127</v>
      </c>
      <c r="I339" s="152"/>
    </row>
    <row r="340" customFormat="false" ht="16.5" hidden="false" customHeight="true" outlineLevel="0" collapsed="false">
      <c r="A340" s="151" t="n">
        <v>45653</v>
      </c>
      <c r="B340" s="152"/>
      <c r="C340" s="159" t="n">
        <v>735.18</v>
      </c>
      <c r="D340" s="154" t="s">
        <v>103</v>
      </c>
      <c r="E340" s="153" t="n">
        <v>705.62</v>
      </c>
      <c r="F340" s="154" t="s">
        <v>592</v>
      </c>
      <c r="G340" s="152" t="s">
        <v>188</v>
      </c>
      <c r="H340" s="152" t="s">
        <v>125</v>
      </c>
      <c r="I340" s="152"/>
    </row>
    <row r="341" customFormat="false" ht="16.5" hidden="false" customHeight="true" outlineLevel="0" collapsed="false">
      <c r="A341" s="151" t="n">
        <v>45653</v>
      </c>
      <c r="B341" s="152" t="s">
        <v>60</v>
      </c>
      <c r="C341" s="159" t="n">
        <v>735.18</v>
      </c>
      <c r="D341" s="154" t="s">
        <v>103</v>
      </c>
      <c r="E341" s="153"/>
      <c r="F341" s="154"/>
      <c r="G341" s="152" t="s">
        <v>315</v>
      </c>
      <c r="H341" s="152" t="s">
        <v>125</v>
      </c>
      <c r="I341" s="152"/>
    </row>
    <row r="342" customFormat="false" ht="16.5" hidden="false" customHeight="true" outlineLevel="0" collapsed="false">
      <c r="A342" s="151" t="n">
        <v>45649</v>
      </c>
      <c r="B342" s="152" t="s">
        <v>483</v>
      </c>
      <c r="C342" s="153" t="n">
        <v>4.09</v>
      </c>
      <c r="D342" s="154" t="s">
        <v>97</v>
      </c>
      <c r="E342" s="153"/>
      <c r="F342" s="154"/>
      <c r="G342" s="152" t="s">
        <v>199</v>
      </c>
      <c r="H342" s="152" t="s">
        <v>122</v>
      </c>
      <c r="I342" s="152"/>
    </row>
    <row r="343" customFormat="false" ht="16.5" hidden="false" customHeight="true" outlineLevel="0" collapsed="false">
      <c r="A343" s="151" t="n">
        <v>45637</v>
      </c>
      <c r="B343" s="152" t="s">
        <v>593</v>
      </c>
      <c r="C343" s="153" t="n">
        <v>1.64</v>
      </c>
      <c r="D343" s="154" t="s">
        <v>97</v>
      </c>
      <c r="E343" s="153"/>
      <c r="F343" s="154"/>
      <c r="G343" s="152" t="s">
        <v>199</v>
      </c>
      <c r="H343" s="152" t="s">
        <v>122</v>
      </c>
      <c r="I343" s="152"/>
    </row>
    <row r="344" customFormat="false" ht="16.5" hidden="false" customHeight="true" outlineLevel="0" collapsed="false">
      <c r="A344" s="151" t="n">
        <v>45649</v>
      </c>
      <c r="B344" s="152" t="s">
        <v>594</v>
      </c>
      <c r="C344" s="153" t="n">
        <v>1.08</v>
      </c>
      <c r="D344" s="154" t="s">
        <v>97</v>
      </c>
      <c r="E344" s="153"/>
      <c r="F344" s="154"/>
      <c r="G344" s="152" t="s">
        <v>199</v>
      </c>
      <c r="H344" s="152" t="s">
        <v>122</v>
      </c>
      <c r="I344" s="152"/>
    </row>
    <row r="345" customFormat="false" ht="16.5" hidden="false" customHeight="true" outlineLevel="0" collapsed="false">
      <c r="A345" s="151" t="n">
        <v>45639</v>
      </c>
      <c r="B345" s="152" t="s">
        <v>595</v>
      </c>
      <c r="C345" s="153" t="n">
        <v>-115.47</v>
      </c>
      <c r="D345" s="154" t="s">
        <v>97</v>
      </c>
      <c r="E345" s="153" t="n">
        <v>-115.47</v>
      </c>
      <c r="F345" s="154" t="s">
        <v>596</v>
      </c>
      <c r="G345" s="152" t="s">
        <v>189</v>
      </c>
      <c r="H345" s="152" t="s">
        <v>106</v>
      </c>
      <c r="I345" s="152"/>
    </row>
    <row r="346" customFormat="false" ht="16.5" hidden="false" customHeight="true" outlineLevel="0" collapsed="false">
      <c r="A346" s="151" t="n">
        <v>45625</v>
      </c>
      <c r="B346" s="152" t="s">
        <v>597</v>
      </c>
      <c r="C346" s="153" t="n">
        <v>-79.75</v>
      </c>
      <c r="D346" s="154" t="s">
        <v>97</v>
      </c>
      <c r="E346" s="153" t="n">
        <v>-79.75</v>
      </c>
      <c r="F346" s="154" t="s">
        <v>598</v>
      </c>
      <c r="G346" s="152" t="s">
        <v>189</v>
      </c>
      <c r="H346" s="152" t="s">
        <v>106</v>
      </c>
      <c r="I346" s="152"/>
    </row>
    <row r="347" customFormat="false" ht="16.5" hidden="false" customHeight="true" outlineLevel="0" collapsed="false">
      <c r="A347" s="151" t="n">
        <v>45639</v>
      </c>
      <c r="B347" s="152"/>
      <c r="C347" s="158" t="n">
        <v>1.62114</v>
      </c>
      <c r="D347" s="154" t="s">
        <v>150</v>
      </c>
      <c r="E347" s="153" t="n">
        <v>115.47</v>
      </c>
      <c r="F347" s="154" t="s">
        <v>596</v>
      </c>
      <c r="G347" s="152" t="s">
        <v>189</v>
      </c>
      <c r="H347" s="152" t="s">
        <v>149</v>
      </c>
      <c r="I347" s="152"/>
    </row>
    <row r="348" customFormat="false" ht="16.5" hidden="false" customHeight="true" outlineLevel="0" collapsed="false">
      <c r="A348" s="151" t="n">
        <v>45625</v>
      </c>
      <c r="B348" s="152"/>
      <c r="C348" s="158" t="n">
        <v>1.00581</v>
      </c>
      <c r="D348" s="154" t="s">
        <v>150</v>
      </c>
      <c r="E348" s="153" t="n">
        <v>79.75</v>
      </c>
      <c r="F348" s="154" t="s">
        <v>598</v>
      </c>
      <c r="G348" s="152" t="s">
        <v>189</v>
      </c>
      <c r="H348" s="152" t="s">
        <v>149</v>
      </c>
      <c r="I348" s="152"/>
    </row>
    <row r="349" customFormat="false" ht="16.5" hidden="false" customHeight="true" outlineLevel="0" collapsed="false">
      <c r="A349" s="151" t="n">
        <v>45657</v>
      </c>
      <c r="B349" s="152" t="s">
        <v>60</v>
      </c>
      <c r="C349" s="153" t="n">
        <v>4572.63</v>
      </c>
      <c r="D349" s="154" t="s">
        <v>97</v>
      </c>
      <c r="E349" s="153"/>
      <c r="F349" s="154"/>
      <c r="G349" s="152" t="s">
        <v>315</v>
      </c>
      <c r="H349" s="152" t="s">
        <v>106</v>
      </c>
      <c r="I349" s="152"/>
    </row>
    <row r="350" customFormat="false" ht="16.5" hidden="false" customHeight="true" outlineLevel="0" collapsed="false">
      <c r="A350" s="151" t="n">
        <v>45657</v>
      </c>
      <c r="B350" s="152" t="s">
        <v>60</v>
      </c>
      <c r="C350" s="153" t="n">
        <v>0.22</v>
      </c>
      <c r="D350" s="154" t="s">
        <v>97</v>
      </c>
      <c r="E350" s="153"/>
      <c r="F350" s="154"/>
      <c r="G350" s="152" t="s">
        <v>315</v>
      </c>
      <c r="H350" s="152" t="s">
        <v>104</v>
      </c>
      <c r="I350" s="152"/>
    </row>
    <row r="351" customFormat="false" ht="16.5" hidden="false" customHeight="true" outlineLevel="0" collapsed="false">
      <c r="A351" s="151" t="n">
        <v>45657</v>
      </c>
      <c r="B351" s="152" t="s">
        <v>60</v>
      </c>
      <c r="C351" s="153" t="n">
        <v>3.18</v>
      </c>
      <c r="D351" s="154" t="s">
        <v>97</v>
      </c>
      <c r="E351" s="153"/>
      <c r="F351" s="154"/>
      <c r="G351" s="152" t="s">
        <v>315</v>
      </c>
      <c r="H351" s="152" t="s">
        <v>110</v>
      </c>
      <c r="I351" s="152"/>
    </row>
    <row r="352" customFormat="false" ht="16.5" hidden="false" customHeight="true" outlineLevel="0" collapsed="false">
      <c r="A352" s="151" t="n">
        <v>45657</v>
      </c>
      <c r="B352" s="152" t="s">
        <v>60</v>
      </c>
      <c r="C352" s="153" t="n">
        <v>22593</v>
      </c>
      <c r="D352" s="154" t="s">
        <v>97</v>
      </c>
      <c r="E352" s="153"/>
      <c r="F352" s="154"/>
      <c r="G352" s="152" t="s">
        <v>315</v>
      </c>
      <c r="H352" s="152" t="s">
        <v>132</v>
      </c>
      <c r="I352" s="152"/>
    </row>
    <row r="353" customFormat="false" ht="16.5" hidden="false" customHeight="true" outlineLevel="0" collapsed="false">
      <c r="A353" s="151" t="n">
        <v>45657</v>
      </c>
      <c r="B353" s="152" t="s">
        <v>60</v>
      </c>
      <c r="C353" s="153" t="n">
        <v>0</v>
      </c>
      <c r="D353" s="154" t="s">
        <v>97</v>
      </c>
      <c r="E353" s="153"/>
      <c r="F353" s="154"/>
      <c r="G353" s="152" t="s">
        <v>315</v>
      </c>
      <c r="H353" s="152" t="s">
        <v>156</v>
      </c>
      <c r="I353" s="152"/>
    </row>
    <row r="354" customFormat="false" ht="16.5" hidden="false" customHeight="true" outlineLevel="0" collapsed="false">
      <c r="A354" s="151" t="n">
        <v>45657</v>
      </c>
      <c r="B354" s="152" t="s">
        <v>60</v>
      </c>
      <c r="C354" s="153" t="n">
        <v>9300</v>
      </c>
      <c r="D354" s="154" t="s">
        <v>97</v>
      </c>
      <c r="E354" s="153"/>
      <c r="F354" s="154"/>
      <c r="G354" s="152" t="s">
        <v>315</v>
      </c>
      <c r="H354" s="152" t="s">
        <v>133</v>
      </c>
      <c r="I354" s="152"/>
    </row>
    <row r="355" customFormat="false" ht="16.5" hidden="false" customHeight="true" outlineLevel="0" collapsed="false">
      <c r="A355" s="151" t="n">
        <v>45657</v>
      </c>
      <c r="B355" s="152" t="s">
        <v>60</v>
      </c>
      <c r="C355" s="153" t="n">
        <v>1392</v>
      </c>
      <c r="D355" s="154" t="s">
        <v>97</v>
      </c>
      <c r="E355" s="153"/>
      <c r="F355" s="154"/>
      <c r="G355" s="152" t="s">
        <v>315</v>
      </c>
      <c r="H355" s="152" t="s">
        <v>108</v>
      </c>
      <c r="I355" s="152"/>
    </row>
    <row r="356" customFormat="false" ht="16.5" hidden="false" customHeight="true" outlineLevel="0" collapsed="false">
      <c r="A356" s="151" t="n">
        <v>45657</v>
      </c>
      <c r="B356" s="152" t="s">
        <v>60</v>
      </c>
      <c r="C356" s="153" t="n">
        <v>2396.53</v>
      </c>
      <c r="D356" s="154" t="s">
        <v>97</v>
      </c>
      <c r="E356" s="153"/>
      <c r="F356" s="154"/>
      <c r="G356" s="152" t="s">
        <v>315</v>
      </c>
      <c r="H356" s="152" t="s">
        <v>111</v>
      </c>
      <c r="I356" s="152"/>
    </row>
    <row r="357" customFormat="false" ht="16.5" hidden="false" customHeight="true" outlineLevel="0" collapsed="false">
      <c r="A357" s="151" t="n">
        <v>45657</v>
      </c>
      <c r="B357" s="152" t="s">
        <v>60</v>
      </c>
      <c r="C357" s="153" t="n">
        <v>2396.53</v>
      </c>
      <c r="D357" s="154" t="s">
        <v>97</v>
      </c>
      <c r="E357" s="153"/>
      <c r="F357" s="154"/>
      <c r="G357" s="152" t="s">
        <v>315</v>
      </c>
      <c r="H357" s="152" t="s">
        <v>112</v>
      </c>
      <c r="I357" s="152"/>
    </row>
    <row r="358" customFormat="false" ht="16.5" hidden="false" customHeight="true" outlineLevel="0" collapsed="false">
      <c r="A358" s="151" t="n">
        <v>45657</v>
      </c>
      <c r="B358" s="152" t="s">
        <v>60</v>
      </c>
      <c r="C358" s="153" t="n">
        <v>4807.32</v>
      </c>
      <c r="D358" s="154" t="s">
        <v>97</v>
      </c>
      <c r="E358" s="153"/>
      <c r="F358" s="154"/>
      <c r="G358" s="152" t="s">
        <v>315</v>
      </c>
      <c r="H358" s="152" t="s">
        <v>113</v>
      </c>
      <c r="I358" s="152"/>
    </row>
    <row r="359" customFormat="false" ht="16.5" hidden="false" customHeight="true" outlineLevel="0" collapsed="false">
      <c r="A359" s="151" t="n">
        <v>45657</v>
      </c>
      <c r="B359" s="152" t="s">
        <v>60</v>
      </c>
      <c r="C359" s="153" t="n">
        <v>4807.21</v>
      </c>
      <c r="D359" s="154" t="s">
        <v>97</v>
      </c>
      <c r="E359" s="153"/>
      <c r="F359" s="154"/>
      <c r="G359" s="152" t="s">
        <v>315</v>
      </c>
      <c r="H359" s="152" t="s">
        <v>114</v>
      </c>
      <c r="I359" s="152"/>
    </row>
    <row r="360" customFormat="false" ht="16.5" hidden="false" customHeight="true" outlineLevel="0" collapsed="false">
      <c r="A360" s="151" t="n">
        <v>45657</v>
      </c>
      <c r="B360" s="152" t="s">
        <v>60</v>
      </c>
      <c r="C360" s="153" t="n">
        <v>0</v>
      </c>
      <c r="D360" s="154" t="s">
        <v>97</v>
      </c>
      <c r="E360" s="153"/>
      <c r="F360" s="154"/>
      <c r="G360" s="152" t="s">
        <v>315</v>
      </c>
      <c r="H360" s="152" t="s">
        <v>152</v>
      </c>
      <c r="I360" s="152"/>
    </row>
    <row r="361" customFormat="false" ht="16.5" hidden="false" customHeight="true" outlineLevel="0" collapsed="false">
      <c r="A361" s="151" t="n">
        <v>45657</v>
      </c>
      <c r="B361" s="152" t="s">
        <v>60</v>
      </c>
      <c r="C361" s="153" t="n">
        <v>15834.19</v>
      </c>
      <c r="D361" s="154" t="s">
        <v>97</v>
      </c>
      <c r="E361" s="153"/>
      <c r="F361" s="154"/>
      <c r="G361" s="152" t="s">
        <v>315</v>
      </c>
      <c r="H361" s="152" t="s">
        <v>153</v>
      </c>
      <c r="I361" s="152"/>
    </row>
    <row r="362" customFormat="false" ht="16.5" hidden="false" customHeight="true" outlineLevel="0" collapsed="false">
      <c r="A362" s="151" t="n">
        <v>45657</v>
      </c>
      <c r="B362" s="152" t="s">
        <v>60</v>
      </c>
      <c r="C362" s="153" t="n">
        <v>113.02</v>
      </c>
      <c r="D362" s="154" t="s">
        <v>97</v>
      </c>
      <c r="E362" s="153"/>
      <c r="F362" s="154"/>
      <c r="G362" s="152" t="s">
        <v>315</v>
      </c>
      <c r="H362" s="152" t="s">
        <v>155</v>
      </c>
      <c r="I362" s="152"/>
    </row>
    <row r="363" customFormat="false" ht="16.5" hidden="false" customHeight="true" outlineLevel="0" collapsed="false">
      <c r="A363" s="151" t="n">
        <v>45657</v>
      </c>
      <c r="B363" s="152" t="s">
        <v>60</v>
      </c>
      <c r="C363" s="153" t="n">
        <v>0</v>
      </c>
      <c r="D363" s="154" t="s">
        <v>97</v>
      </c>
      <c r="E363" s="153"/>
      <c r="F363" s="154"/>
      <c r="G363" s="152" t="s">
        <v>315</v>
      </c>
      <c r="H363" s="152" t="s">
        <v>154</v>
      </c>
      <c r="I363" s="152"/>
    </row>
    <row r="364" customFormat="false" ht="16.5" hidden="false" customHeight="true" outlineLevel="0" collapsed="false">
      <c r="A364" s="151" t="n">
        <v>45657</v>
      </c>
      <c r="B364" s="152" t="s">
        <v>60</v>
      </c>
      <c r="C364" s="153" t="n">
        <v>0</v>
      </c>
      <c r="D364" s="154" t="s">
        <v>97</v>
      </c>
      <c r="E364" s="153"/>
      <c r="F364" s="154"/>
      <c r="G364" s="152" t="s">
        <v>315</v>
      </c>
      <c r="H364" s="152" t="s">
        <v>151</v>
      </c>
      <c r="I364" s="152"/>
    </row>
    <row r="365" customFormat="false" ht="16.5" hidden="false" customHeight="true" outlineLevel="0" collapsed="false">
      <c r="A365" s="151" t="n">
        <v>45656</v>
      </c>
      <c r="B365" s="152" t="s">
        <v>60</v>
      </c>
      <c r="C365" s="153" t="n">
        <v>0</v>
      </c>
      <c r="D365" s="154" t="s">
        <v>97</v>
      </c>
      <c r="E365" s="153"/>
      <c r="F365" s="154"/>
      <c r="G365" s="152" t="s">
        <v>315</v>
      </c>
      <c r="H365" s="152" t="s">
        <v>115</v>
      </c>
      <c r="I365" s="152"/>
    </row>
    <row r="366" customFormat="false" ht="16.5" hidden="false" customHeight="true" outlineLevel="0" collapsed="false">
      <c r="A366" s="151" t="n">
        <v>45657</v>
      </c>
      <c r="B366" s="152" t="s">
        <v>60</v>
      </c>
      <c r="C366" s="153" t="n">
        <v>0</v>
      </c>
      <c r="D366" s="154" t="s">
        <v>97</v>
      </c>
      <c r="E366" s="153"/>
      <c r="F366" s="154"/>
      <c r="G366" s="152" t="s">
        <v>315</v>
      </c>
      <c r="H366" s="152" t="s">
        <v>115</v>
      </c>
      <c r="I366" s="152"/>
    </row>
    <row r="367" customFormat="false" ht="16.5" hidden="false" customHeight="true" outlineLevel="0" collapsed="false">
      <c r="A367" s="151" t="n">
        <v>45657</v>
      </c>
      <c r="B367" s="152" t="s">
        <v>60</v>
      </c>
      <c r="C367" s="153" t="n">
        <v>0</v>
      </c>
      <c r="D367" s="154" t="s">
        <v>97</v>
      </c>
      <c r="E367" s="153"/>
      <c r="F367" s="154"/>
      <c r="G367" s="152" t="s">
        <v>315</v>
      </c>
      <c r="H367" s="152" t="s">
        <v>105</v>
      </c>
      <c r="I367" s="152"/>
    </row>
    <row r="368" customFormat="false" ht="16.5" hidden="false" customHeight="true" outlineLevel="0" collapsed="false">
      <c r="A368" s="151" t="n">
        <v>45657</v>
      </c>
      <c r="B368" s="152" t="s">
        <v>60</v>
      </c>
      <c r="C368" s="153" t="n">
        <v>0.14</v>
      </c>
      <c r="D368" s="154" t="s">
        <v>97</v>
      </c>
      <c r="E368" s="153"/>
      <c r="F368" s="154"/>
      <c r="G368" s="152" t="s">
        <v>315</v>
      </c>
      <c r="H368" s="152" t="s">
        <v>116</v>
      </c>
      <c r="I368" s="152"/>
    </row>
    <row r="369" customFormat="false" ht="16.5" hidden="false" customHeight="true" outlineLevel="0" collapsed="false">
      <c r="A369" s="151" t="n">
        <v>45657</v>
      </c>
      <c r="B369" s="152" t="s">
        <v>60</v>
      </c>
      <c r="C369" s="153" t="n">
        <v>50</v>
      </c>
      <c r="D369" s="154" t="s">
        <v>97</v>
      </c>
      <c r="E369" s="153"/>
      <c r="F369" s="154"/>
      <c r="G369" s="152" t="s">
        <v>315</v>
      </c>
      <c r="H369" s="152" t="s">
        <v>157</v>
      </c>
      <c r="I369" s="152"/>
    </row>
    <row r="370" customFormat="false" ht="16.5" hidden="false" customHeight="true" outlineLevel="0" collapsed="false">
      <c r="A370" s="151" t="n">
        <v>45657</v>
      </c>
      <c r="B370" s="152" t="s">
        <v>60</v>
      </c>
      <c r="C370" s="153" t="n">
        <v>1000</v>
      </c>
      <c r="D370" s="154" t="s">
        <v>97</v>
      </c>
      <c r="E370" s="153"/>
      <c r="F370" s="154"/>
      <c r="G370" s="152" t="s">
        <v>315</v>
      </c>
      <c r="H370" s="152" t="s">
        <v>117</v>
      </c>
      <c r="I370" s="152"/>
    </row>
    <row r="371" customFormat="false" ht="16.5" hidden="false" customHeight="true" outlineLevel="0" collapsed="false">
      <c r="A371" s="151" t="n">
        <v>45657</v>
      </c>
      <c r="B371" s="152"/>
      <c r="C371" s="153" t="n">
        <v>0.22</v>
      </c>
      <c r="D371" s="154" t="s">
        <v>97</v>
      </c>
      <c r="E371" s="153"/>
      <c r="F371" s="154"/>
      <c r="G371" s="152" t="s">
        <v>209</v>
      </c>
      <c r="H371" s="152" t="s">
        <v>118</v>
      </c>
      <c r="I371" s="152"/>
    </row>
    <row r="372" customFormat="false" ht="16.5" hidden="false" customHeight="true" outlineLevel="0" collapsed="false">
      <c r="A372" s="151" t="n">
        <v>45657</v>
      </c>
      <c r="B372" s="152"/>
      <c r="C372" s="159" t="n">
        <v>0.18</v>
      </c>
      <c r="D372" s="154" t="s">
        <v>103</v>
      </c>
      <c r="E372" s="153"/>
      <c r="F372" s="154"/>
      <c r="G372" s="152" t="s">
        <v>209</v>
      </c>
      <c r="H372" s="152" t="s">
        <v>126</v>
      </c>
      <c r="I372" s="152"/>
    </row>
    <row r="373" customFormat="false" ht="16.5" hidden="false" customHeight="true" outlineLevel="0" collapsed="false">
      <c r="A373" s="151" t="n">
        <v>45657</v>
      </c>
      <c r="B373" s="152" t="s">
        <v>60</v>
      </c>
      <c r="C373" s="153" t="n">
        <v>0.22</v>
      </c>
      <c r="D373" s="154" t="s">
        <v>97</v>
      </c>
      <c r="E373" s="153"/>
      <c r="F373" s="154"/>
      <c r="G373" s="152" t="s">
        <v>315</v>
      </c>
      <c r="H373" s="152" t="s">
        <v>118</v>
      </c>
      <c r="I373" s="152"/>
    </row>
    <row r="374" customFormat="false" ht="16.5" hidden="false" customHeight="true" outlineLevel="0" collapsed="false">
      <c r="A374" s="151" t="n">
        <v>45657</v>
      </c>
      <c r="B374" s="152" t="s">
        <v>60</v>
      </c>
      <c r="C374" s="159" t="n">
        <v>0.18</v>
      </c>
      <c r="D374" s="154" t="s">
        <v>103</v>
      </c>
      <c r="E374" s="153"/>
      <c r="F374" s="154"/>
      <c r="G374" s="152" t="s">
        <v>315</v>
      </c>
      <c r="H374" s="152" t="s">
        <v>126</v>
      </c>
      <c r="I374" s="152"/>
    </row>
    <row r="375" customFormat="false" ht="16.5" hidden="false" customHeight="true" outlineLevel="0" collapsed="false">
      <c r="A375" s="151" t="n">
        <v>45657</v>
      </c>
      <c r="B375" s="152" t="s">
        <v>60</v>
      </c>
      <c r="C375" s="153" t="n">
        <v>3000</v>
      </c>
      <c r="D375" s="154" t="s">
        <v>97</v>
      </c>
      <c r="E375" s="153"/>
      <c r="F375" s="154"/>
      <c r="G375" s="152" t="s">
        <v>315</v>
      </c>
      <c r="H375" s="152" t="s">
        <v>109</v>
      </c>
      <c r="I375" s="152"/>
    </row>
    <row r="376" customFormat="false" ht="16.5" hidden="false" customHeight="true" outlineLevel="0" collapsed="false">
      <c r="A376" s="151" t="n">
        <v>45660</v>
      </c>
      <c r="B376" s="152"/>
      <c r="C376" s="153" t="n">
        <v>1497.6</v>
      </c>
      <c r="D376" s="154" t="s">
        <v>97</v>
      </c>
      <c r="E376" s="153"/>
      <c r="F376" s="154" t="s">
        <v>599</v>
      </c>
      <c r="G376" s="152" t="s">
        <v>190</v>
      </c>
      <c r="H376" s="152" t="s">
        <v>117</v>
      </c>
      <c r="I376" s="152"/>
    </row>
    <row r="377" customFormat="false" ht="16.5" hidden="false" customHeight="true" outlineLevel="0" collapsed="false">
      <c r="A377" s="151" t="n">
        <v>45659</v>
      </c>
      <c r="B377" s="152" t="s">
        <v>600</v>
      </c>
      <c r="C377" s="153" t="n">
        <v>-0.01</v>
      </c>
      <c r="D377" s="154" t="s">
        <v>97</v>
      </c>
      <c r="E377" s="153"/>
      <c r="F377" s="154"/>
      <c r="G377" s="152" t="s">
        <v>204</v>
      </c>
      <c r="H377" s="152" t="s">
        <v>117</v>
      </c>
      <c r="I377" s="152"/>
    </row>
    <row r="378" customFormat="false" ht="16.5" hidden="false" customHeight="true" outlineLevel="0" collapsed="false">
      <c r="A378" s="151" t="n">
        <v>45659</v>
      </c>
      <c r="B378" s="152" t="s">
        <v>601</v>
      </c>
      <c r="C378" s="159" t="n">
        <v>0</v>
      </c>
      <c r="D378" s="154" t="s">
        <v>103</v>
      </c>
      <c r="E378" s="153"/>
      <c r="F378" s="154"/>
      <c r="G378" s="152" t="s">
        <v>204</v>
      </c>
      <c r="H378" s="152" t="s">
        <v>125</v>
      </c>
      <c r="I378" s="152"/>
    </row>
    <row r="379" customFormat="false" ht="16.5" hidden="false" customHeight="true" outlineLevel="0" collapsed="false">
      <c r="A379" s="151" t="n">
        <v>45660</v>
      </c>
      <c r="B379" s="152"/>
      <c r="C379" s="153" t="n">
        <v>53.05</v>
      </c>
      <c r="D379" s="154" t="s">
        <v>97</v>
      </c>
      <c r="E379" s="153"/>
      <c r="F379" s="154"/>
      <c r="G379" s="152" t="s">
        <v>209</v>
      </c>
      <c r="H379" s="152" t="s">
        <v>110</v>
      </c>
      <c r="I379" s="152"/>
    </row>
    <row r="380" customFormat="false" ht="16.5" hidden="false" customHeight="true" outlineLevel="0" collapsed="false">
      <c r="A380" s="151" t="n">
        <v>45660</v>
      </c>
      <c r="B380" s="152"/>
      <c r="C380" s="153" t="n">
        <v>143.82</v>
      </c>
      <c r="D380" s="154" t="s">
        <v>97</v>
      </c>
      <c r="E380" s="153"/>
      <c r="F380" s="154"/>
      <c r="G380" s="152" t="s">
        <v>209</v>
      </c>
      <c r="H380" s="152" t="s">
        <v>114</v>
      </c>
      <c r="I380" s="152"/>
    </row>
    <row r="381" customFormat="false" ht="16.5" hidden="false" customHeight="true" outlineLevel="0" collapsed="false">
      <c r="A381" s="151" t="n">
        <v>45660</v>
      </c>
      <c r="B381" s="152" t="s">
        <v>60</v>
      </c>
      <c r="C381" s="153" t="n">
        <v>4951.03</v>
      </c>
      <c r="D381" s="154" t="s">
        <v>97</v>
      </c>
      <c r="E381" s="153"/>
      <c r="F381" s="154"/>
      <c r="G381" s="152" t="s">
        <v>315</v>
      </c>
      <c r="H381" s="152" t="s">
        <v>114</v>
      </c>
      <c r="I381" s="152"/>
    </row>
    <row r="382" customFormat="false" ht="16.5" hidden="false" customHeight="true" outlineLevel="0" collapsed="false">
      <c r="A382" s="151" t="n">
        <v>45660</v>
      </c>
      <c r="B382" s="152"/>
      <c r="C382" s="153" t="n">
        <v>71.61</v>
      </c>
      <c r="D382" s="154" t="s">
        <v>97</v>
      </c>
      <c r="E382" s="153"/>
      <c r="F382" s="154"/>
      <c r="G382" s="152" t="s">
        <v>209</v>
      </c>
      <c r="H382" s="152" t="s">
        <v>112</v>
      </c>
      <c r="I382" s="152"/>
    </row>
    <row r="383" customFormat="false" ht="16.5" hidden="false" customHeight="true" outlineLevel="0" collapsed="false">
      <c r="A383" s="151" t="n">
        <v>45660</v>
      </c>
      <c r="B383" s="152" t="s">
        <v>60</v>
      </c>
      <c r="C383" s="153" t="n">
        <v>2468.14</v>
      </c>
      <c r="D383" s="154" t="s">
        <v>97</v>
      </c>
      <c r="E383" s="153"/>
      <c r="F383" s="154"/>
      <c r="G383" s="152" t="s">
        <v>315</v>
      </c>
      <c r="H383" s="152" t="s">
        <v>112</v>
      </c>
      <c r="I383" s="152"/>
    </row>
    <row r="384" customFormat="false" ht="16.5" hidden="false" customHeight="true" outlineLevel="0" collapsed="false">
      <c r="A384" s="151" t="n">
        <v>45660</v>
      </c>
      <c r="B384" s="152"/>
      <c r="C384" s="153" t="n">
        <v>143.82</v>
      </c>
      <c r="D384" s="154" t="s">
        <v>97</v>
      </c>
      <c r="E384" s="153"/>
      <c r="F384" s="154"/>
      <c r="G384" s="152" t="s">
        <v>209</v>
      </c>
      <c r="H384" s="152" t="s">
        <v>113</v>
      </c>
      <c r="I384" s="152"/>
    </row>
    <row r="385" customFormat="false" ht="16.5" hidden="false" customHeight="true" outlineLevel="0" collapsed="false">
      <c r="A385" s="151" t="n">
        <v>45660</v>
      </c>
      <c r="B385" s="152" t="s">
        <v>60</v>
      </c>
      <c r="C385" s="153" t="n">
        <v>4951.14</v>
      </c>
      <c r="D385" s="154" t="s">
        <v>97</v>
      </c>
      <c r="E385" s="153"/>
      <c r="F385" s="154"/>
      <c r="G385" s="152" t="s">
        <v>315</v>
      </c>
      <c r="H385" s="152" t="s">
        <v>113</v>
      </c>
      <c r="I385" s="152"/>
    </row>
    <row r="386" customFormat="false" ht="16.5" hidden="false" customHeight="true" outlineLevel="0" collapsed="false">
      <c r="A386" s="151" t="n">
        <v>45660</v>
      </c>
      <c r="B386" s="152"/>
      <c r="C386" s="153" t="n">
        <v>71.61</v>
      </c>
      <c r="D386" s="154" t="s">
        <v>97</v>
      </c>
      <c r="E386" s="153"/>
      <c r="F386" s="154"/>
      <c r="G386" s="152" t="s">
        <v>209</v>
      </c>
      <c r="H386" s="152" t="s">
        <v>111</v>
      </c>
      <c r="I386" s="152"/>
    </row>
    <row r="387" customFormat="false" ht="16.5" hidden="false" customHeight="true" outlineLevel="0" collapsed="false">
      <c r="A387" s="151" t="n">
        <v>45660</v>
      </c>
      <c r="B387" s="152" t="s">
        <v>60</v>
      </c>
      <c r="C387" s="153" t="n">
        <v>2468.14</v>
      </c>
      <c r="D387" s="154" t="s">
        <v>97</v>
      </c>
      <c r="E387" s="153"/>
      <c r="F387" s="154"/>
      <c r="G387" s="152" t="s">
        <v>315</v>
      </c>
      <c r="H387" s="152" t="s">
        <v>111</v>
      </c>
      <c r="I387" s="152"/>
    </row>
    <row r="388" customFormat="false" ht="16.5" hidden="false" customHeight="true" outlineLevel="0" collapsed="false">
      <c r="A388" s="151" t="n">
        <v>45660</v>
      </c>
      <c r="B388" s="152" t="s">
        <v>602</v>
      </c>
      <c r="C388" s="153" t="n">
        <v>-28.07</v>
      </c>
      <c r="D388" s="154" t="s">
        <v>97</v>
      </c>
      <c r="E388" s="153"/>
      <c r="F388" s="154"/>
      <c r="G388" s="152" t="s">
        <v>164</v>
      </c>
      <c r="H388" s="152" t="s">
        <v>106</v>
      </c>
      <c r="I388" s="152"/>
    </row>
    <row r="389" customFormat="false" ht="16.5" hidden="false" customHeight="true" outlineLevel="0" collapsed="false">
      <c r="A389" s="151" t="n">
        <v>45659</v>
      </c>
      <c r="B389" s="152" t="s">
        <v>603</v>
      </c>
      <c r="C389" s="153" t="n">
        <v>7.65</v>
      </c>
      <c r="D389" s="154" t="s">
        <v>97</v>
      </c>
      <c r="E389" s="153"/>
      <c r="F389" s="154"/>
      <c r="G389" s="152" t="s">
        <v>197</v>
      </c>
      <c r="H389" s="152" t="s">
        <v>106</v>
      </c>
      <c r="I389" s="152"/>
    </row>
    <row r="390" customFormat="false" ht="16.5" hidden="false" customHeight="true" outlineLevel="0" collapsed="false">
      <c r="A390" s="151" t="n">
        <v>45659</v>
      </c>
      <c r="B390" s="152" t="s">
        <v>604</v>
      </c>
      <c r="C390" s="153" t="n">
        <v>-1497.6</v>
      </c>
      <c r="D390" s="154" t="s">
        <v>97</v>
      </c>
      <c r="E390" s="153"/>
      <c r="F390" s="154" t="s">
        <v>599</v>
      </c>
      <c r="G390" s="152" t="s">
        <v>190</v>
      </c>
      <c r="H390" s="152" t="s">
        <v>106</v>
      </c>
      <c r="I390" s="152"/>
    </row>
    <row r="391" customFormat="false" ht="16.5" hidden="false" customHeight="true" outlineLevel="0" collapsed="false">
      <c r="A391" s="151" t="n">
        <v>45659</v>
      </c>
      <c r="B391" s="152" t="s">
        <v>605</v>
      </c>
      <c r="C391" s="153" t="n">
        <v>25.94</v>
      </c>
      <c r="D391" s="154" t="s">
        <v>97</v>
      </c>
      <c r="E391" s="153"/>
      <c r="F391" s="154"/>
      <c r="G391" s="152" t="s">
        <v>224</v>
      </c>
      <c r="H391" s="152" t="s">
        <v>106</v>
      </c>
      <c r="I391" s="152"/>
    </row>
    <row r="392" customFormat="false" ht="16.5" hidden="false" customHeight="true" outlineLevel="0" collapsed="false">
      <c r="A392" s="151" t="n">
        <v>45659</v>
      </c>
      <c r="B392" s="152" t="s">
        <v>606</v>
      </c>
      <c r="C392" s="153" t="n">
        <v>-200.15</v>
      </c>
      <c r="D392" s="154" t="s">
        <v>97</v>
      </c>
      <c r="E392" s="153"/>
      <c r="F392" s="154"/>
      <c r="G392" s="152" t="s">
        <v>162</v>
      </c>
      <c r="H392" s="152" t="s">
        <v>106</v>
      </c>
      <c r="I392" s="152"/>
    </row>
    <row r="393" customFormat="false" ht="16.5" hidden="false" customHeight="true" outlineLevel="0" collapsed="false">
      <c r="A393" s="151" t="n">
        <v>45659</v>
      </c>
      <c r="B393" s="152" t="s">
        <v>607</v>
      </c>
      <c r="C393" s="153" t="n">
        <v>597.96</v>
      </c>
      <c r="D393" s="154" t="s">
        <v>97</v>
      </c>
      <c r="E393" s="153"/>
      <c r="F393" s="154"/>
      <c r="G393" s="152" t="s">
        <v>194</v>
      </c>
      <c r="H393" s="152" t="s">
        <v>106</v>
      </c>
      <c r="I393" s="152"/>
    </row>
    <row r="394" customFormat="false" ht="16.5" hidden="false" customHeight="true" outlineLevel="0" collapsed="false">
      <c r="A394" s="151" t="n">
        <v>45659</v>
      </c>
      <c r="B394" s="152" t="s">
        <v>608</v>
      </c>
      <c r="C394" s="153" t="n">
        <v>266.95</v>
      </c>
      <c r="D394" s="154" t="s">
        <v>97</v>
      </c>
      <c r="E394" s="153"/>
      <c r="F394" s="154"/>
      <c r="G394" s="152" t="s">
        <v>206</v>
      </c>
      <c r="H394" s="152" t="s">
        <v>106</v>
      </c>
      <c r="I394" s="152"/>
    </row>
    <row r="395" customFormat="false" ht="16.5" hidden="false" customHeight="true" outlineLevel="0" collapsed="false">
      <c r="A395" s="151" t="n">
        <v>45659</v>
      </c>
      <c r="B395" s="152" t="s">
        <v>609</v>
      </c>
      <c r="C395" s="153" t="n">
        <v>100.69</v>
      </c>
      <c r="D395" s="154" t="s">
        <v>97</v>
      </c>
      <c r="E395" s="153"/>
      <c r="F395" s="154"/>
      <c r="G395" s="152" t="s">
        <v>206</v>
      </c>
      <c r="H395" s="152" t="s">
        <v>106</v>
      </c>
      <c r="I395" s="152"/>
    </row>
    <row r="396" customFormat="false" ht="16.5" hidden="false" customHeight="true" outlineLevel="0" collapsed="false">
      <c r="A396" s="151" t="n">
        <v>45661</v>
      </c>
      <c r="B396" s="152"/>
      <c r="C396" s="153" t="n">
        <v>-200.15</v>
      </c>
      <c r="D396" s="154" t="s">
        <v>97</v>
      </c>
      <c r="E396" s="153"/>
      <c r="F396" s="154"/>
      <c r="G396" s="152" t="s">
        <v>164</v>
      </c>
      <c r="H396" s="152" t="s">
        <v>108</v>
      </c>
      <c r="I396" s="152"/>
    </row>
    <row r="397" customFormat="false" ht="16.5" hidden="false" customHeight="true" outlineLevel="0" collapsed="false">
      <c r="A397" s="151" t="n">
        <v>45664</v>
      </c>
      <c r="B397" s="152" t="s">
        <v>610</v>
      </c>
      <c r="C397" s="153" t="n">
        <v>0.11</v>
      </c>
      <c r="D397" s="154" t="s">
        <v>97</v>
      </c>
      <c r="E397" s="153"/>
      <c r="F397" s="154"/>
      <c r="G397" s="152" t="s">
        <v>209</v>
      </c>
      <c r="H397" s="152" t="s">
        <v>117</v>
      </c>
      <c r="I397" s="152"/>
    </row>
    <row r="398" customFormat="false" ht="16.5" hidden="false" customHeight="true" outlineLevel="0" collapsed="false">
      <c r="A398" s="151" t="n">
        <v>45664</v>
      </c>
      <c r="B398" s="152" t="s">
        <v>610</v>
      </c>
      <c r="C398" s="159" t="n">
        <v>0.12</v>
      </c>
      <c r="D398" s="154" t="s">
        <v>103</v>
      </c>
      <c r="E398" s="153"/>
      <c r="F398" s="154"/>
      <c r="G398" s="152" t="s">
        <v>209</v>
      </c>
      <c r="H398" s="152" t="s">
        <v>125</v>
      </c>
      <c r="I398" s="152"/>
    </row>
    <row r="399" customFormat="false" ht="16.5" hidden="false" customHeight="true" outlineLevel="0" collapsed="false">
      <c r="A399" s="151" t="n">
        <v>45663</v>
      </c>
      <c r="B399" s="152" t="s">
        <v>611</v>
      </c>
      <c r="C399" s="153" t="n">
        <v>-48.87</v>
      </c>
      <c r="D399" s="154" t="s">
        <v>97</v>
      </c>
      <c r="E399" s="153"/>
      <c r="F399" s="154"/>
      <c r="G399" s="152" t="s">
        <v>203</v>
      </c>
      <c r="H399" s="152" t="s">
        <v>106</v>
      </c>
      <c r="I399" s="152"/>
    </row>
    <row r="400" customFormat="false" ht="16.5" hidden="false" customHeight="true" outlineLevel="0" collapsed="false">
      <c r="A400" s="151" t="n">
        <v>45663</v>
      </c>
      <c r="B400" s="152" t="s">
        <v>612</v>
      </c>
      <c r="C400" s="153" t="n">
        <v>-39.26</v>
      </c>
      <c r="D400" s="154" t="s">
        <v>97</v>
      </c>
      <c r="E400" s="153"/>
      <c r="F400" s="154"/>
      <c r="G400" s="152" t="s">
        <v>197</v>
      </c>
      <c r="H400" s="152" t="s">
        <v>106</v>
      </c>
      <c r="I400" s="152"/>
    </row>
    <row r="401" customFormat="false" ht="16.5" hidden="false" customHeight="true" outlineLevel="0" collapsed="false">
      <c r="A401" s="151" t="n">
        <v>45663</v>
      </c>
      <c r="B401" s="152" t="s">
        <v>613</v>
      </c>
      <c r="C401" s="153" t="n">
        <v>-5.39</v>
      </c>
      <c r="D401" s="154" t="s">
        <v>97</v>
      </c>
      <c r="E401" s="153"/>
      <c r="F401" s="154"/>
      <c r="G401" s="152" t="s">
        <v>218</v>
      </c>
      <c r="H401" s="152" t="s">
        <v>106</v>
      </c>
      <c r="I401" s="152"/>
    </row>
    <row r="402" customFormat="false" ht="16.5" hidden="false" customHeight="true" outlineLevel="0" collapsed="false">
      <c r="A402" s="151" t="n">
        <v>45663</v>
      </c>
      <c r="B402" s="152" t="s">
        <v>614</v>
      </c>
      <c r="C402" s="153" t="n">
        <v>-1.99</v>
      </c>
      <c r="D402" s="154" t="s">
        <v>97</v>
      </c>
      <c r="E402" s="153"/>
      <c r="F402" s="154"/>
      <c r="G402" s="152" t="s">
        <v>160</v>
      </c>
      <c r="H402" s="152" t="s">
        <v>106</v>
      </c>
      <c r="I402" s="152"/>
    </row>
    <row r="403" customFormat="false" ht="16.5" hidden="false" customHeight="true" outlineLevel="0" collapsed="false">
      <c r="A403" s="151" t="n">
        <v>45663</v>
      </c>
      <c r="B403" s="152" t="s">
        <v>615</v>
      </c>
      <c r="C403" s="153" t="n">
        <v>99.97</v>
      </c>
      <c r="D403" s="154" t="s">
        <v>97</v>
      </c>
      <c r="E403" s="153"/>
      <c r="F403" s="154" t="s">
        <v>616</v>
      </c>
      <c r="G403" s="152" t="s">
        <v>190</v>
      </c>
      <c r="H403" s="152" t="s">
        <v>106</v>
      </c>
      <c r="I403" s="152"/>
    </row>
    <row r="404" customFormat="false" ht="16.5" hidden="false" customHeight="true" outlineLevel="0" collapsed="false">
      <c r="A404" s="151" t="n">
        <v>45663</v>
      </c>
      <c r="B404" s="152" t="s">
        <v>617</v>
      </c>
      <c r="C404" s="153" t="n">
        <v>99.97</v>
      </c>
      <c r="D404" s="154" t="s">
        <v>97</v>
      </c>
      <c r="E404" s="153"/>
      <c r="F404" s="154" t="s">
        <v>618</v>
      </c>
      <c r="G404" s="152" t="s">
        <v>190</v>
      </c>
      <c r="H404" s="152" t="s">
        <v>106</v>
      </c>
      <c r="I404" s="152"/>
    </row>
    <row r="405" customFormat="false" ht="16.5" hidden="false" customHeight="true" outlineLevel="0" collapsed="false">
      <c r="A405" s="151" t="n">
        <v>45663</v>
      </c>
      <c r="B405" s="152"/>
      <c r="C405" s="153" t="n">
        <v>-99.97</v>
      </c>
      <c r="D405" s="154" t="s">
        <v>97</v>
      </c>
      <c r="E405" s="153"/>
      <c r="F405" s="154" t="s">
        <v>616</v>
      </c>
      <c r="G405" s="152" t="s">
        <v>190</v>
      </c>
      <c r="H405" s="152" t="s">
        <v>132</v>
      </c>
      <c r="I405" s="152"/>
    </row>
    <row r="406" customFormat="false" ht="16.5" hidden="false" customHeight="true" outlineLevel="0" collapsed="false">
      <c r="A406" s="151" t="n">
        <v>45663</v>
      </c>
      <c r="B406" s="152"/>
      <c r="C406" s="153" t="n">
        <v>-99.97</v>
      </c>
      <c r="D406" s="154" t="s">
        <v>97</v>
      </c>
      <c r="E406" s="153"/>
      <c r="F406" s="154" t="s">
        <v>618</v>
      </c>
      <c r="G406" s="152" t="s">
        <v>190</v>
      </c>
      <c r="H406" s="152" t="s">
        <v>133</v>
      </c>
      <c r="I406" s="152"/>
    </row>
    <row r="407" customFormat="false" ht="16.5" hidden="false" customHeight="true" outlineLevel="0" collapsed="false">
      <c r="A407" s="151" t="n">
        <v>45670</v>
      </c>
      <c r="B407" s="152"/>
      <c r="C407" s="153" t="n">
        <v>-1999.92</v>
      </c>
      <c r="D407" s="154" t="s">
        <v>97</v>
      </c>
      <c r="E407" s="153" t="n">
        <v>-1999.92</v>
      </c>
      <c r="F407" s="154" t="s">
        <v>619</v>
      </c>
      <c r="G407" s="152" t="s">
        <v>188</v>
      </c>
      <c r="H407" s="152" t="s">
        <v>117</v>
      </c>
      <c r="I407" s="152"/>
    </row>
    <row r="408" customFormat="false" ht="16.5" hidden="false" customHeight="true" outlineLevel="0" collapsed="false">
      <c r="A408" s="151" t="n">
        <v>45670</v>
      </c>
      <c r="B408" s="152"/>
      <c r="C408" s="159" t="n">
        <v>2028.85</v>
      </c>
      <c r="D408" s="154" t="s">
        <v>103</v>
      </c>
      <c r="E408" s="153" t="n">
        <v>1999.92</v>
      </c>
      <c r="F408" s="154" t="s">
        <v>619</v>
      </c>
      <c r="G408" s="152" t="s">
        <v>188</v>
      </c>
      <c r="H408" s="152" t="s">
        <v>125</v>
      </c>
      <c r="I408" s="152"/>
    </row>
    <row r="409" customFormat="false" ht="16.5" hidden="false" customHeight="true" outlineLevel="0" collapsed="false">
      <c r="A409" s="151" t="n">
        <v>45669</v>
      </c>
      <c r="B409" s="152" t="s">
        <v>620</v>
      </c>
      <c r="C409" s="158" t="n">
        <v>-1.10045</v>
      </c>
      <c r="D409" s="154" t="s">
        <v>150</v>
      </c>
      <c r="E409" s="153"/>
      <c r="F409" s="154"/>
      <c r="G409" s="152" t="s">
        <v>168</v>
      </c>
      <c r="H409" s="152" t="s">
        <v>149</v>
      </c>
      <c r="I409" s="152"/>
    </row>
    <row r="410" customFormat="false" ht="16.5" hidden="false" customHeight="true" outlineLevel="0" collapsed="false">
      <c r="A410" s="151" t="n">
        <v>45672</v>
      </c>
      <c r="B410" s="152"/>
      <c r="C410" s="153" t="n">
        <v>1999.92</v>
      </c>
      <c r="D410" s="154" t="s">
        <v>97</v>
      </c>
      <c r="E410" s="153"/>
      <c r="F410" s="154" t="s">
        <v>621</v>
      </c>
      <c r="G410" s="152" t="s">
        <v>190</v>
      </c>
      <c r="H410" s="152" t="s">
        <v>117</v>
      </c>
      <c r="I410" s="152"/>
    </row>
    <row r="411" customFormat="false" ht="16.5" hidden="false" customHeight="true" outlineLevel="0" collapsed="false">
      <c r="A411" s="151" t="n">
        <v>45671</v>
      </c>
      <c r="B411" s="152" t="s">
        <v>622</v>
      </c>
      <c r="C411" s="153" t="n">
        <v>-1999.92</v>
      </c>
      <c r="D411" s="154" t="s">
        <v>97</v>
      </c>
      <c r="E411" s="153"/>
      <c r="F411" s="154" t="s">
        <v>621</v>
      </c>
      <c r="G411" s="152" t="s">
        <v>190</v>
      </c>
      <c r="H411" s="152" t="s">
        <v>106</v>
      </c>
      <c r="I411" s="152"/>
    </row>
    <row r="412" customFormat="false" ht="16.5" hidden="false" customHeight="true" outlineLevel="0" collapsed="false">
      <c r="A412" s="151" t="n">
        <v>45670</v>
      </c>
      <c r="B412" s="152" t="s">
        <v>623</v>
      </c>
      <c r="C412" s="153" t="n">
        <v>-99.97</v>
      </c>
      <c r="D412" s="154" t="s">
        <v>97</v>
      </c>
      <c r="E412" s="153"/>
      <c r="F412" s="154"/>
      <c r="G412" s="152" t="s">
        <v>162</v>
      </c>
      <c r="H412" s="152" t="s">
        <v>106</v>
      </c>
      <c r="I412" s="152"/>
    </row>
    <row r="413" customFormat="false" ht="16.5" hidden="false" customHeight="true" outlineLevel="0" collapsed="false">
      <c r="A413" s="151" t="n">
        <v>45667</v>
      </c>
      <c r="B413" s="152" t="s">
        <v>624</v>
      </c>
      <c r="C413" s="153" t="n">
        <v>-15.53</v>
      </c>
      <c r="D413" s="154" t="s">
        <v>97</v>
      </c>
      <c r="E413" s="153"/>
      <c r="F413" s="154"/>
      <c r="G413" s="152" t="s">
        <v>212</v>
      </c>
      <c r="H413" s="152" t="s">
        <v>106</v>
      </c>
      <c r="I413" s="152"/>
    </row>
    <row r="414" customFormat="false" ht="16.5" hidden="false" customHeight="true" outlineLevel="0" collapsed="false">
      <c r="A414" s="151" t="n">
        <v>45666</v>
      </c>
      <c r="B414" s="152" t="s">
        <v>625</v>
      </c>
      <c r="C414" s="153" t="n">
        <v>237.31</v>
      </c>
      <c r="D414" s="154" t="s">
        <v>97</v>
      </c>
      <c r="E414" s="153"/>
      <c r="F414" s="154"/>
      <c r="G414" s="152" t="s">
        <v>198</v>
      </c>
      <c r="H414" s="152" t="s">
        <v>106</v>
      </c>
      <c r="I414" s="152"/>
    </row>
    <row r="415" customFormat="false" ht="16.5" hidden="false" customHeight="true" outlineLevel="0" collapsed="false">
      <c r="A415" s="151" t="n">
        <v>45666</v>
      </c>
      <c r="B415" s="152" t="s">
        <v>626</v>
      </c>
      <c r="C415" s="153" t="n">
        <v>260.83</v>
      </c>
      <c r="D415" s="154" t="s">
        <v>97</v>
      </c>
      <c r="E415" s="153"/>
      <c r="F415" s="154"/>
      <c r="G415" s="152" t="s">
        <v>215</v>
      </c>
      <c r="H415" s="152" t="s">
        <v>106</v>
      </c>
      <c r="I415" s="152"/>
    </row>
    <row r="416" customFormat="false" ht="16.5" hidden="false" customHeight="true" outlineLevel="0" collapsed="false">
      <c r="A416" s="151" t="n">
        <v>45672</v>
      </c>
      <c r="B416" s="152"/>
      <c r="C416" s="153" t="n">
        <v>-1999.92</v>
      </c>
      <c r="D416" s="154" t="s">
        <v>97</v>
      </c>
      <c r="E416" s="153" t="n">
        <v>-1999.92</v>
      </c>
      <c r="F416" s="154" t="s">
        <v>627</v>
      </c>
      <c r="G416" s="152" t="s">
        <v>188</v>
      </c>
      <c r="H416" s="152" t="s">
        <v>117</v>
      </c>
      <c r="I416" s="152"/>
    </row>
    <row r="417" customFormat="false" ht="16.5" hidden="false" customHeight="true" outlineLevel="0" collapsed="false">
      <c r="A417" s="151" t="n">
        <v>45672</v>
      </c>
      <c r="B417" s="152"/>
      <c r="C417" s="159" t="n">
        <v>2056.51</v>
      </c>
      <c r="D417" s="154" t="s">
        <v>103</v>
      </c>
      <c r="E417" s="153" t="n">
        <v>1999.92</v>
      </c>
      <c r="F417" s="154" t="s">
        <v>627</v>
      </c>
      <c r="G417" s="152" t="s">
        <v>188</v>
      </c>
      <c r="H417" s="152" t="s">
        <v>125</v>
      </c>
      <c r="I417" s="152"/>
    </row>
    <row r="418" customFormat="false" ht="16.5" hidden="false" customHeight="true" outlineLevel="0" collapsed="false">
      <c r="A418" s="151" t="n">
        <v>45679</v>
      </c>
      <c r="B418" s="152"/>
      <c r="C418" s="153" t="n">
        <v>-37.88</v>
      </c>
      <c r="D418" s="154" t="s">
        <v>97</v>
      </c>
      <c r="E418" s="153"/>
      <c r="F418" s="154"/>
      <c r="G418" s="152" t="s">
        <v>164</v>
      </c>
      <c r="H418" s="152" t="s">
        <v>108</v>
      </c>
      <c r="I418" s="152"/>
    </row>
    <row r="419" customFormat="false" ht="16.5" hidden="false" customHeight="true" outlineLevel="0" collapsed="false">
      <c r="A419" s="151" t="n">
        <v>45663</v>
      </c>
      <c r="B419" s="152" t="s">
        <v>628</v>
      </c>
      <c r="C419" s="153" t="n">
        <v>20.71</v>
      </c>
      <c r="D419" s="154" t="s">
        <v>97</v>
      </c>
      <c r="E419" s="153"/>
      <c r="F419" s="154"/>
      <c r="G419" s="152" t="s">
        <v>199</v>
      </c>
      <c r="H419" s="152" t="s">
        <v>122</v>
      </c>
      <c r="I419" s="152"/>
    </row>
    <row r="420" customFormat="false" ht="16.5" hidden="false" customHeight="true" outlineLevel="0" collapsed="false">
      <c r="A420" s="151" t="n">
        <v>45678</v>
      </c>
      <c r="B420" s="152" t="s">
        <v>549</v>
      </c>
      <c r="C420" s="153" t="n">
        <v>0.35</v>
      </c>
      <c r="D420" s="154" t="s">
        <v>97</v>
      </c>
      <c r="E420" s="153"/>
      <c r="F420" s="154"/>
      <c r="G420" s="152" t="s">
        <v>199</v>
      </c>
      <c r="H420" s="152" t="s">
        <v>122</v>
      </c>
      <c r="I420" s="152"/>
    </row>
    <row r="421" customFormat="false" ht="16.5" hidden="false" customHeight="true" outlineLevel="0" collapsed="false">
      <c r="A421" s="151" t="n">
        <v>45678</v>
      </c>
      <c r="B421" s="152" t="s">
        <v>60</v>
      </c>
      <c r="C421" s="153" t="n">
        <v>48.82</v>
      </c>
      <c r="D421" s="154" t="s">
        <v>97</v>
      </c>
      <c r="E421" s="153"/>
      <c r="F421" s="154"/>
      <c r="G421" s="152" t="s">
        <v>315</v>
      </c>
      <c r="H421" s="152" t="s">
        <v>122</v>
      </c>
      <c r="I421" s="152"/>
    </row>
    <row r="422" customFormat="false" ht="16.5" hidden="false" customHeight="true" outlineLevel="0" collapsed="false">
      <c r="A422" s="151" t="n">
        <v>45681</v>
      </c>
      <c r="B422" s="152" t="s">
        <v>629</v>
      </c>
      <c r="C422" s="153" t="n">
        <v>18.04</v>
      </c>
      <c r="D422" s="154" t="s">
        <v>97</v>
      </c>
      <c r="E422" s="153"/>
      <c r="F422" s="154"/>
      <c r="G422" s="152" t="s">
        <v>197</v>
      </c>
      <c r="H422" s="152" t="s">
        <v>106</v>
      </c>
      <c r="I422" s="152"/>
    </row>
    <row r="423" customFormat="false" ht="16.5" hidden="false" customHeight="true" outlineLevel="0" collapsed="false">
      <c r="A423" s="151" t="n">
        <v>45679</v>
      </c>
      <c r="B423" s="152" t="s">
        <v>630</v>
      </c>
      <c r="C423" s="153" t="n">
        <v>3.51</v>
      </c>
      <c r="D423" s="154" t="s">
        <v>97</v>
      </c>
      <c r="E423" s="153"/>
      <c r="F423" s="154"/>
      <c r="G423" s="152" t="s">
        <v>197</v>
      </c>
      <c r="H423" s="152" t="s">
        <v>106</v>
      </c>
      <c r="I423" s="152"/>
    </row>
    <row r="424" customFormat="false" ht="16.5" hidden="false" customHeight="true" outlineLevel="0" collapsed="false">
      <c r="A424" s="151" t="n">
        <v>45678</v>
      </c>
      <c r="B424" s="152" t="s">
        <v>631</v>
      </c>
      <c r="C424" s="153" t="n">
        <v>11.99</v>
      </c>
      <c r="D424" s="154" t="s">
        <v>97</v>
      </c>
      <c r="E424" s="153"/>
      <c r="F424" s="154"/>
      <c r="G424" s="152" t="s">
        <v>200</v>
      </c>
      <c r="H424" s="152" t="s">
        <v>106</v>
      </c>
      <c r="I424" s="152"/>
    </row>
    <row r="425" customFormat="false" ht="16.5" hidden="false" customHeight="true" outlineLevel="0" collapsed="false">
      <c r="A425" s="151" t="n">
        <v>45677</v>
      </c>
      <c r="B425" s="152" t="s">
        <v>632</v>
      </c>
      <c r="C425" s="153" t="n">
        <v>-4.21</v>
      </c>
      <c r="D425" s="154" t="s">
        <v>97</v>
      </c>
      <c r="E425" s="153"/>
      <c r="F425" s="154"/>
      <c r="G425" s="152" t="s">
        <v>221</v>
      </c>
      <c r="H425" s="152" t="s">
        <v>106</v>
      </c>
      <c r="I425" s="152"/>
    </row>
    <row r="426" customFormat="false" ht="16.5" hidden="false" customHeight="true" outlineLevel="0" collapsed="false">
      <c r="A426" s="151" t="n">
        <v>45674</v>
      </c>
      <c r="B426" s="152" t="s">
        <v>633</v>
      </c>
      <c r="C426" s="153" t="n">
        <v>-8.58</v>
      </c>
      <c r="D426" s="154" t="s">
        <v>97</v>
      </c>
      <c r="E426" s="153"/>
      <c r="F426" s="154"/>
      <c r="G426" s="152" t="s">
        <v>217</v>
      </c>
      <c r="H426" s="152" t="s">
        <v>106</v>
      </c>
      <c r="I426" s="152"/>
    </row>
    <row r="427" customFormat="false" ht="16.5" hidden="false" customHeight="true" outlineLevel="0" collapsed="false">
      <c r="A427" s="151" t="n">
        <v>45674</v>
      </c>
      <c r="B427" s="152" t="s">
        <v>634</v>
      </c>
      <c r="C427" s="153" t="n">
        <v>3.07</v>
      </c>
      <c r="D427" s="154" t="s">
        <v>97</v>
      </c>
      <c r="E427" s="153"/>
      <c r="F427" s="154"/>
      <c r="G427" s="152" t="s">
        <v>200</v>
      </c>
      <c r="H427" s="152" t="s">
        <v>106</v>
      </c>
      <c r="I427" s="152"/>
    </row>
    <row r="428" customFormat="false" ht="16.5" hidden="false" customHeight="true" outlineLevel="0" collapsed="false">
      <c r="A428" s="151" t="n">
        <v>45674</v>
      </c>
      <c r="B428" s="152" t="s">
        <v>635</v>
      </c>
      <c r="C428" s="153" t="n">
        <v>-13.86</v>
      </c>
      <c r="D428" s="154" t="s">
        <v>97</v>
      </c>
      <c r="E428" s="153"/>
      <c r="F428" s="154"/>
      <c r="G428" s="152" t="s">
        <v>204</v>
      </c>
      <c r="H428" s="152" t="s">
        <v>106</v>
      </c>
      <c r="I428" s="152"/>
    </row>
    <row r="429" customFormat="false" ht="16.5" hidden="false" customHeight="true" outlineLevel="0" collapsed="false">
      <c r="A429" s="151" t="n">
        <v>45674</v>
      </c>
      <c r="B429" s="152" t="s">
        <v>635</v>
      </c>
      <c r="C429" s="153" t="n">
        <v>-12.87</v>
      </c>
      <c r="D429" s="154" t="s">
        <v>97</v>
      </c>
      <c r="E429" s="153"/>
      <c r="F429" s="154"/>
      <c r="G429" s="152" t="s">
        <v>204</v>
      </c>
      <c r="H429" s="152" t="s">
        <v>106</v>
      </c>
      <c r="I429" s="152"/>
    </row>
    <row r="430" customFormat="false" ht="16.5" hidden="false" customHeight="true" outlineLevel="0" collapsed="false">
      <c r="A430" s="151" t="n">
        <v>45673</v>
      </c>
      <c r="B430" s="152" t="s">
        <v>636</v>
      </c>
      <c r="C430" s="153" t="n">
        <v>-9.57</v>
      </c>
      <c r="D430" s="154" t="s">
        <v>97</v>
      </c>
      <c r="E430" s="153"/>
      <c r="F430" s="154"/>
      <c r="G430" s="152" t="s">
        <v>207</v>
      </c>
      <c r="H430" s="152" t="s">
        <v>106</v>
      </c>
      <c r="I430" s="152"/>
    </row>
    <row r="431" customFormat="false" ht="16.5" hidden="false" customHeight="true" outlineLevel="0" collapsed="false">
      <c r="A431" s="151" t="n">
        <v>45673</v>
      </c>
      <c r="B431" s="152" t="s">
        <v>637</v>
      </c>
      <c r="C431" s="153" t="n">
        <v>-8.83</v>
      </c>
      <c r="D431" s="154" t="s">
        <v>97</v>
      </c>
      <c r="E431" s="153"/>
      <c r="F431" s="154"/>
      <c r="G431" s="152" t="s">
        <v>207</v>
      </c>
      <c r="H431" s="152" t="s">
        <v>106</v>
      </c>
      <c r="I431" s="152"/>
    </row>
    <row r="432" customFormat="false" ht="16.5" hidden="false" customHeight="true" outlineLevel="0" collapsed="false">
      <c r="A432" s="151" t="n">
        <v>45672</v>
      </c>
      <c r="B432" s="152" t="s">
        <v>638</v>
      </c>
      <c r="C432" s="153" t="n">
        <v>-66.16</v>
      </c>
      <c r="D432" s="154" t="s">
        <v>97</v>
      </c>
      <c r="E432" s="153"/>
      <c r="F432" s="154"/>
      <c r="G432" s="152" t="s">
        <v>208</v>
      </c>
      <c r="H432" s="152" t="s">
        <v>106</v>
      </c>
      <c r="I432" s="152"/>
    </row>
    <row r="433" customFormat="false" ht="16.5" hidden="false" customHeight="true" outlineLevel="0" collapsed="false">
      <c r="A433" s="151" t="n">
        <v>45672</v>
      </c>
      <c r="B433" s="152" t="s">
        <v>639</v>
      </c>
      <c r="C433" s="153" t="n">
        <v>-28.27</v>
      </c>
      <c r="D433" s="154" t="s">
        <v>97</v>
      </c>
      <c r="E433" s="153"/>
      <c r="F433" s="154"/>
      <c r="G433" s="152" t="s">
        <v>197</v>
      </c>
      <c r="H433" s="152" t="s">
        <v>106</v>
      </c>
      <c r="I433" s="152"/>
    </row>
    <row r="434" customFormat="false" ht="16.5" hidden="false" customHeight="true" outlineLevel="0" collapsed="false">
      <c r="A434" s="151" t="n">
        <v>45672</v>
      </c>
      <c r="B434" s="152" t="s">
        <v>640</v>
      </c>
      <c r="C434" s="153" t="n">
        <v>-20</v>
      </c>
      <c r="D434" s="154" t="s">
        <v>97</v>
      </c>
      <c r="E434" s="153"/>
      <c r="F434" s="154"/>
      <c r="G434" s="152" t="s">
        <v>171</v>
      </c>
      <c r="H434" s="152" t="s">
        <v>106</v>
      </c>
      <c r="I434" s="152"/>
    </row>
    <row r="435" customFormat="false" ht="16.5" hidden="false" customHeight="true" outlineLevel="0" collapsed="false">
      <c r="A435" s="151" t="n">
        <v>45686</v>
      </c>
      <c r="B435" s="152" t="s">
        <v>641</v>
      </c>
      <c r="C435" s="158" t="n">
        <v>1.39113</v>
      </c>
      <c r="D435" s="154" t="s">
        <v>150</v>
      </c>
      <c r="E435" s="153" t="n">
        <v>107.75</v>
      </c>
      <c r="F435" s="154" t="s">
        <v>642</v>
      </c>
      <c r="G435" s="152" t="s">
        <v>189</v>
      </c>
      <c r="H435" s="152" t="s">
        <v>149</v>
      </c>
      <c r="I435" s="152"/>
    </row>
    <row r="436" customFormat="false" ht="16.5" hidden="false" customHeight="true" outlineLevel="0" collapsed="false">
      <c r="A436" s="151" t="n">
        <v>45673</v>
      </c>
      <c r="B436" s="152" t="s">
        <v>643</v>
      </c>
      <c r="C436" s="158" t="n">
        <v>0.82216</v>
      </c>
      <c r="D436" s="154" t="s">
        <v>150</v>
      </c>
      <c r="E436" s="153" t="n">
        <v>73.66</v>
      </c>
      <c r="F436" s="154" t="s">
        <v>644</v>
      </c>
      <c r="G436" s="152" t="s">
        <v>189</v>
      </c>
      <c r="H436" s="152" t="s">
        <v>149</v>
      </c>
      <c r="I436" s="152"/>
    </row>
    <row r="437" customFormat="false" ht="16.5" hidden="false" customHeight="true" outlineLevel="0" collapsed="false">
      <c r="A437" s="151" t="n">
        <v>45687</v>
      </c>
      <c r="B437" s="152" t="s">
        <v>645</v>
      </c>
      <c r="C437" s="153" t="n">
        <v>15857.57</v>
      </c>
      <c r="D437" s="154" t="s">
        <v>97</v>
      </c>
      <c r="E437" s="153"/>
      <c r="F437" s="154" t="s">
        <v>646</v>
      </c>
      <c r="G437" s="152" t="s">
        <v>192</v>
      </c>
      <c r="H437" s="152" t="s">
        <v>106</v>
      </c>
      <c r="I437" s="152"/>
    </row>
    <row r="438" customFormat="false" ht="16.5" hidden="false" customHeight="true" outlineLevel="0" collapsed="false">
      <c r="A438" s="151" t="n">
        <v>45685</v>
      </c>
      <c r="B438" s="152" t="s">
        <v>647</v>
      </c>
      <c r="C438" s="153" t="n">
        <v>-22.83</v>
      </c>
      <c r="D438" s="154" t="s">
        <v>97</v>
      </c>
      <c r="E438" s="153"/>
      <c r="F438" s="154"/>
      <c r="G438" s="152" t="s">
        <v>202</v>
      </c>
      <c r="H438" s="152" t="s">
        <v>106</v>
      </c>
      <c r="I438" s="152"/>
    </row>
    <row r="439" customFormat="false" ht="16.5" hidden="false" customHeight="true" outlineLevel="0" collapsed="false">
      <c r="A439" s="151" t="n">
        <v>45684</v>
      </c>
      <c r="B439" s="152" t="s">
        <v>648</v>
      </c>
      <c r="C439" s="153" t="n">
        <v>-1.4</v>
      </c>
      <c r="D439" s="154" t="s">
        <v>97</v>
      </c>
      <c r="E439" s="153"/>
      <c r="F439" s="154"/>
      <c r="G439" s="152" t="s">
        <v>226</v>
      </c>
      <c r="H439" s="152" t="s">
        <v>106</v>
      </c>
      <c r="I439" s="152"/>
    </row>
    <row r="440" customFormat="false" ht="16.5" hidden="false" customHeight="true" outlineLevel="0" collapsed="false">
      <c r="A440" s="151" t="n">
        <v>45687</v>
      </c>
      <c r="B440" s="152"/>
      <c r="C440" s="153" t="n">
        <v>-15857.57</v>
      </c>
      <c r="D440" s="154" t="s">
        <v>97</v>
      </c>
      <c r="E440" s="153"/>
      <c r="F440" s="154" t="s">
        <v>646</v>
      </c>
      <c r="G440" s="152" t="s">
        <v>192</v>
      </c>
      <c r="H440" s="152" t="s">
        <v>153</v>
      </c>
      <c r="I440" s="152"/>
    </row>
    <row r="441" customFormat="false" ht="16.5" hidden="false" customHeight="true" outlineLevel="0" collapsed="false">
      <c r="A441" s="151" t="n">
        <v>45687</v>
      </c>
      <c r="B441" s="152"/>
      <c r="C441" s="153" t="n">
        <v>-23.38</v>
      </c>
      <c r="D441" s="154" t="s">
        <v>97</v>
      </c>
      <c r="E441" s="153"/>
      <c r="F441" s="154"/>
      <c r="G441" s="152" t="s">
        <v>315</v>
      </c>
      <c r="H441" s="152" t="s">
        <v>153</v>
      </c>
      <c r="I441" s="152"/>
    </row>
    <row r="442" customFormat="false" ht="16.5" hidden="false" customHeight="true" outlineLevel="0" collapsed="false">
      <c r="A442" s="151" t="n">
        <v>45688</v>
      </c>
      <c r="B442" s="152"/>
      <c r="C442" s="153" t="n">
        <v>9980.37</v>
      </c>
      <c r="D442" s="154" t="s">
        <v>97</v>
      </c>
      <c r="E442" s="153"/>
      <c r="F442" s="154" t="s">
        <v>649</v>
      </c>
      <c r="G442" s="152" t="s">
        <v>190</v>
      </c>
      <c r="H442" s="152" t="s">
        <v>110</v>
      </c>
      <c r="I442" s="152"/>
    </row>
    <row r="443" customFormat="false" ht="16.5" hidden="false" customHeight="true" outlineLevel="0" collapsed="false">
      <c r="A443" s="151" t="n">
        <v>45688</v>
      </c>
      <c r="B443" s="152" t="s">
        <v>650</v>
      </c>
      <c r="C443" s="153" t="n">
        <v>-9980.37</v>
      </c>
      <c r="D443" s="154" t="s">
        <v>97</v>
      </c>
      <c r="E443" s="153"/>
      <c r="F443" s="154" t="s">
        <v>649</v>
      </c>
      <c r="G443" s="152" t="s">
        <v>190</v>
      </c>
      <c r="H443" s="152" t="s">
        <v>106</v>
      </c>
      <c r="I443" s="152"/>
    </row>
    <row r="444" customFormat="false" ht="16.5" hidden="false" customHeight="true" outlineLevel="0" collapsed="false">
      <c r="A444" s="151" t="n">
        <v>45688</v>
      </c>
      <c r="B444" s="152" t="s">
        <v>651</v>
      </c>
      <c r="C444" s="153" t="n">
        <v>-1999.92</v>
      </c>
      <c r="D444" s="154" t="s">
        <v>97</v>
      </c>
      <c r="E444" s="153"/>
      <c r="F444" s="154" t="s">
        <v>652</v>
      </c>
      <c r="G444" s="152" t="s">
        <v>190</v>
      </c>
      <c r="H444" s="152" t="s">
        <v>106</v>
      </c>
      <c r="I444" s="152"/>
    </row>
    <row r="445" customFormat="false" ht="16.5" hidden="false" customHeight="true" outlineLevel="0" collapsed="false">
      <c r="A445" s="151" t="n">
        <v>45688</v>
      </c>
      <c r="B445" s="152" t="s">
        <v>653</v>
      </c>
      <c r="C445" s="153" t="n">
        <v>-1.6</v>
      </c>
      <c r="D445" s="154" t="s">
        <v>97</v>
      </c>
      <c r="E445" s="153"/>
      <c r="F445" s="154"/>
      <c r="G445" s="152" t="s">
        <v>219</v>
      </c>
      <c r="H445" s="152" t="s">
        <v>106</v>
      </c>
      <c r="I445" s="152"/>
    </row>
    <row r="446" customFormat="false" ht="16.5" hidden="false" customHeight="true" outlineLevel="0" collapsed="false">
      <c r="A446" s="151" t="n">
        <v>45688</v>
      </c>
      <c r="B446" s="152" t="s">
        <v>654</v>
      </c>
      <c r="C446" s="153" t="n">
        <v>-73.66</v>
      </c>
      <c r="D446" s="154" t="s">
        <v>97</v>
      </c>
      <c r="E446" s="153" t="n">
        <v>-73.66</v>
      </c>
      <c r="F446" s="154" t="s">
        <v>644</v>
      </c>
      <c r="G446" s="152" t="s">
        <v>189</v>
      </c>
      <c r="H446" s="152" t="s">
        <v>106</v>
      </c>
      <c r="I446" s="152"/>
    </row>
    <row r="447" customFormat="false" ht="16.5" hidden="false" customHeight="true" outlineLevel="0" collapsed="false">
      <c r="A447" s="151" t="n">
        <v>45688</v>
      </c>
      <c r="B447" s="152" t="s">
        <v>655</v>
      </c>
      <c r="C447" s="153" t="n">
        <v>-39.45</v>
      </c>
      <c r="D447" s="154" t="s">
        <v>97</v>
      </c>
      <c r="E447" s="153"/>
      <c r="F447" s="154"/>
      <c r="G447" s="152" t="s">
        <v>213</v>
      </c>
      <c r="H447" s="152" t="s">
        <v>106</v>
      </c>
      <c r="I447" s="152"/>
    </row>
    <row r="448" customFormat="false" ht="16.5" hidden="false" customHeight="true" outlineLevel="0" collapsed="false">
      <c r="A448" s="151" t="n">
        <v>45688</v>
      </c>
      <c r="B448" s="152" t="s">
        <v>656</v>
      </c>
      <c r="C448" s="153" t="n">
        <v>-35.05</v>
      </c>
      <c r="D448" s="154" t="s">
        <v>97</v>
      </c>
      <c r="E448" s="153"/>
      <c r="F448" s="154"/>
      <c r="G448" s="152" t="s">
        <v>213</v>
      </c>
      <c r="H448" s="152" t="s">
        <v>106</v>
      </c>
      <c r="I448" s="152"/>
    </row>
    <row r="449" customFormat="false" ht="16.5" hidden="false" customHeight="true" outlineLevel="0" collapsed="false">
      <c r="A449" s="151" t="n">
        <v>45688</v>
      </c>
      <c r="B449" s="152" t="s">
        <v>657</v>
      </c>
      <c r="C449" s="153" t="n">
        <v>-23.53</v>
      </c>
      <c r="D449" s="154" t="s">
        <v>97</v>
      </c>
      <c r="E449" s="153"/>
      <c r="F449" s="154"/>
      <c r="G449" s="152" t="s">
        <v>213</v>
      </c>
      <c r="H449" s="152" t="s">
        <v>106</v>
      </c>
      <c r="I449" s="152"/>
    </row>
    <row r="450" customFormat="false" ht="16.5" hidden="false" customHeight="true" outlineLevel="0" collapsed="false">
      <c r="A450" s="151" t="n">
        <v>45688</v>
      </c>
      <c r="B450" s="152" t="s">
        <v>658</v>
      </c>
      <c r="C450" s="153" t="n">
        <v>-16.03</v>
      </c>
      <c r="D450" s="154" t="s">
        <v>97</v>
      </c>
      <c r="E450" s="153"/>
      <c r="F450" s="154"/>
      <c r="G450" s="152" t="s">
        <v>164</v>
      </c>
      <c r="H450" s="152" t="s">
        <v>106</v>
      </c>
      <c r="I450" s="152"/>
    </row>
    <row r="451" customFormat="false" ht="16.5" hidden="false" customHeight="true" outlineLevel="0" collapsed="false">
      <c r="A451" s="151" t="n">
        <v>45688</v>
      </c>
      <c r="B451" s="152" t="s">
        <v>659</v>
      </c>
      <c r="C451" s="153" t="n">
        <v>-12.7</v>
      </c>
      <c r="D451" s="154" t="s">
        <v>97</v>
      </c>
      <c r="E451" s="153"/>
      <c r="F451" s="154"/>
      <c r="G451" s="152" t="s">
        <v>213</v>
      </c>
      <c r="H451" s="152" t="s">
        <v>106</v>
      </c>
      <c r="I451" s="152"/>
    </row>
    <row r="452" customFormat="false" ht="16.5" hidden="false" customHeight="true" outlineLevel="0" collapsed="false">
      <c r="A452" s="151" t="n">
        <v>45688</v>
      </c>
      <c r="B452" s="152" t="s">
        <v>660</v>
      </c>
      <c r="C452" s="153" t="n">
        <v>-11.54</v>
      </c>
      <c r="D452" s="154" t="s">
        <v>97</v>
      </c>
      <c r="E452" s="153"/>
      <c r="F452" s="154"/>
      <c r="G452" s="152" t="s">
        <v>231</v>
      </c>
      <c r="H452" s="152" t="s">
        <v>106</v>
      </c>
      <c r="I452" s="152"/>
    </row>
    <row r="453" customFormat="false" ht="16.5" hidden="false" customHeight="true" outlineLevel="0" collapsed="false">
      <c r="A453" s="151" t="n">
        <v>45688</v>
      </c>
      <c r="B453" s="152" t="s">
        <v>661</v>
      </c>
      <c r="C453" s="153" t="n">
        <v>-10.83</v>
      </c>
      <c r="D453" s="154" t="s">
        <v>97</v>
      </c>
      <c r="E453" s="153"/>
      <c r="F453" s="154"/>
      <c r="G453" s="152" t="s">
        <v>213</v>
      </c>
      <c r="H453" s="152" t="s">
        <v>106</v>
      </c>
      <c r="I453" s="152"/>
    </row>
    <row r="454" customFormat="false" ht="16.5" hidden="false" customHeight="true" outlineLevel="0" collapsed="false">
      <c r="A454" s="151" t="n">
        <v>45688</v>
      </c>
      <c r="B454" s="152" t="s">
        <v>662</v>
      </c>
      <c r="C454" s="153" t="n">
        <v>-10.15</v>
      </c>
      <c r="D454" s="154" t="s">
        <v>97</v>
      </c>
      <c r="E454" s="153"/>
      <c r="F454" s="154"/>
      <c r="G454" s="152" t="s">
        <v>231</v>
      </c>
      <c r="H454" s="152" t="s">
        <v>106</v>
      </c>
      <c r="I454" s="152"/>
    </row>
    <row r="455" customFormat="false" ht="16.5" hidden="false" customHeight="true" outlineLevel="0" collapsed="false">
      <c r="A455" s="151" t="n">
        <v>45688</v>
      </c>
      <c r="B455" s="152" t="s">
        <v>663</v>
      </c>
      <c r="C455" s="153" t="n">
        <v>-9.84</v>
      </c>
      <c r="D455" s="154" t="s">
        <v>97</v>
      </c>
      <c r="E455" s="153"/>
      <c r="F455" s="154"/>
      <c r="G455" s="152" t="s">
        <v>42</v>
      </c>
      <c r="H455" s="152" t="s">
        <v>106</v>
      </c>
      <c r="I455" s="152"/>
    </row>
    <row r="456" customFormat="false" ht="16.5" hidden="false" customHeight="true" outlineLevel="0" collapsed="false">
      <c r="A456" s="151" t="n">
        <v>45688</v>
      </c>
      <c r="B456" s="152" t="s">
        <v>664</v>
      </c>
      <c r="C456" s="153" t="n">
        <v>-8.02</v>
      </c>
      <c r="D456" s="154" t="s">
        <v>97</v>
      </c>
      <c r="E456" s="153"/>
      <c r="F456" s="154"/>
      <c r="G456" s="152" t="s">
        <v>164</v>
      </c>
      <c r="H456" s="152" t="s">
        <v>106</v>
      </c>
      <c r="I456" s="152"/>
    </row>
    <row r="457" customFormat="false" ht="16.5" hidden="false" customHeight="true" outlineLevel="0" collapsed="false">
      <c r="A457" s="151" t="n">
        <v>45688</v>
      </c>
      <c r="B457" s="152" t="s">
        <v>665</v>
      </c>
      <c r="C457" s="153" t="n">
        <v>-7.9</v>
      </c>
      <c r="D457" s="154" t="s">
        <v>97</v>
      </c>
      <c r="E457" s="153"/>
      <c r="F457" s="154"/>
      <c r="G457" s="152" t="s">
        <v>231</v>
      </c>
      <c r="H457" s="152" t="s">
        <v>106</v>
      </c>
      <c r="I457" s="152"/>
    </row>
    <row r="458" customFormat="false" ht="16.5" hidden="false" customHeight="true" outlineLevel="0" collapsed="false">
      <c r="A458" s="151" t="n">
        <v>45688</v>
      </c>
      <c r="B458" s="152" t="s">
        <v>666</v>
      </c>
      <c r="C458" s="153" t="n">
        <v>-5.98</v>
      </c>
      <c r="D458" s="154" t="s">
        <v>97</v>
      </c>
      <c r="E458" s="153"/>
      <c r="F458" s="154"/>
      <c r="G458" s="152" t="s">
        <v>160</v>
      </c>
      <c r="H458" s="152" t="s">
        <v>106</v>
      </c>
      <c r="I458" s="152"/>
    </row>
    <row r="459" customFormat="false" ht="16.5" hidden="false" customHeight="true" outlineLevel="0" collapsed="false">
      <c r="A459" s="151" t="n">
        <v>45688</v>
      </c>
      <c r="B459" s="152" t="s">
        <v>667</v>
      </c>
      <c r="C459" s="153" t="n">
        <v>-5.83</v>
      </c>
      <c r="D459" s="154" t="s">
        <v>97</v>
      </c>
      <c r="E459" s="153"/>
      <c r="F459" s="154"/>
      <c r="G459" s="152" t="s">
        <v>213</v>
      </c>
      <c r="H459" s="152" t="s">
        <v>106</v>
      </c>
      <c r="I459" s="152"/>
    </row>
    <row r="460" customFormat="false" ht="16.5" hidden="false" customHeight="true" outlineLevel="0" collapsed="false">
      <c r="A460" s="151" t="n">
        <v>45688</v>
      </c>
      <c r="B460" s="152" t="s">
        <v>668</v>
      </c>
      <c r="C460" s="153" t="n">
        <v>-5.75</v>
      </c>
      <c r="D460" s="154" t="s">
        <v>97</v>
      </c>
      <c r="E460" s="153"/>
      <c r="F460" s="154"/>
      <c r="G460" s="152" t="s">
        <v>231</v>
      </c>
      <c r="H460" s="152" t="s">
        <v>106</v>
      </c>
      <c r="I460" s="152"/>
    </row>
    <row r="461" customFormat="false" ht="16.5" hidden="false" customHeight="true" outlineLevel="0" collapsed="false">
      <c r="A461" s="151" t="n">
        <v>45688</v>
      </c>
      <c r="B461" s="152" t="s">
        <v>669</v>
      </c>
      <c r="C461" s="153" t="n">
        <v>-5.75</v>
      </c>
      <c r="D461" s="154" t="s">
        <v>97</v>
      </c>
      <c r="E461" s="153"/>
      <c r="F461" s="154"/>
      <c r="G461" s="152" t="s">
        <v>231</v>
      </c>
      <c r="H461" s="152" t="s">
        <v>106</v>
      </c>
      <c r="I461" s="152"/>
    </row>
    <row r="462" customFormat="false" ht="16.5" hidden="false" customHeight="true" outlineLevel="0" collapsed="false">
      <c r="A462" s="151" t="n">
        <v>45688</v>
      </c>
      <c r="B462" s="152" t="s">
        <v>670</v>
      </c>
      <c r="C462" s="153" t="n">
        <v>-5.39</v>
      </c>
      <c r="D462" s="154" t="s">
        <v>97</v>
      </c>
      <c r="E462" s="153"/>
      <c r="F462" s="154"/>
      <c r="G462" s="152" t="s">
        <v>225</v>
      </c>
      <c r="H462" s="152" t="s">
        <v>106</v>
      </c>
      <c r="I462" s="152"/>
    </row>
    <row r="463" customFormat="false" ht="16.5" hidden="false" customHeight="true" outlineLevel="0" collapsed="false">
      <c r="A463" s="151" t="n">
        <v>45688</v>
      </c>
      <c r="B463" s="152" t="s">
        <v>671</v>
      </c>
      <c r="C463" s="153" t="n">
        <v>-4.17</v>
      </c>
      <c r="D463" s="154" t="s">
        <v>97</v>
      </c>
      <c r="E463" s="153"/>
      <c r="F463" s="154"/>
      <c r="G463" s="152" t="s">
        <v>213</v>
      </c>
      <c r="H463" s="152" t="s">
        <v>106</v>
      </c>
      <c r="I463" s="152"/>
    </row>
    <row r="464" customFormat="false" ht="16.5" hidden="false" customHeight="true" outlineLevel="0" collapsed="false">
      <c r="A464" s="151" t="n">
        <v>45688</v>
      </c>
      <c r="B464" s="152" t="s">
        <v>672</v>
      </c>
      <c r="C464" s="153" t="n">
        <v>-3.97</v>
      </c>
      <c r="D464" s="154" t="s">
        <v>97</v>
      </c>
      <c r="E464" s="153"/>
      <c r="F464" s="154"/>
      <c r="G464" s="152" t="s">
        <v>213</v>
      </c>
      <c r="H464" s="152" t="s">
        <v>106</v>
      </c>
      <c r="I464" s="152"/>
    </row>
    <row r="465" customFormat="false" ht="16.5" hidden="false" customHeight="true" outlineLevel="0" collapsed="false">
      <c r="A465" s="151" t="n">
        <v>45688</v>
      </c>
      <c r="B465" s="152" t="s">
        <v>673</v>
      </c>
      <c r="C465" s="153" t="n">
        <v>-3.75</v>
      </c>
      <c r="D465" s="154" t="s">
        <v>97</v>
      </c>
      <c r="E465" s="153"/>
      <c r="F465" s="154"/>
      <c r="G465" s="152" t="s">
        <v>164</v>
      </c>
      <c r="H465" s="152" t="s">
        <v>106</v>
      </c>
      <c r="I465" s="152"/>
    </row>
    <row r="466" customFormat="false" ht="16.5" hidden="false" customHeight="true" outlineLevel="0" collapsed="false">
      <c r="A466" s="151" t="n">
        <v>45688</v>
      </c>
      <c r="B466" s="152" t="s">
        <v>674</v>
      </c>
      <c r="C466" s="153" t="n">
        <v>-2.66</v>
      </c>
      <c r="D466" s="154" t="s">
        <v>97</v>
      </c>
      <c r="E466" s="153"/>
      <c r="F466" s="154"/>
      <c r="G466" s="152" t="s">
        <v>160</v>
      </c>
      <c r="H466" s="152" t="s">
        <v>106</v>
      </c>
      <c r="I466" s="152"/>
    </row>
    <row r="467" customFormat="false" ht="16.5" hidden="false" customHeight="true" outlineLevel="0" collapsed="false">
      <c r="A467" s="151" t="n">
        <v>45688</v>
      </c>
      <c r="B467" s="152" t="s">
        <v>675</v>
      </c>
      <c r="C467" s="153" t="n">
        <v>-2.64</v>
      </c>
      <c r="D467" s="154" t="s">
        <v>97</v>
      </c>
      <c r="E467" s="153"/>
      <c r="F467" s="154"/>
      <c r="G467" s="152" t="s">
        <v>213</v>
      </c>
      <c r="H467" s="152" t="s">
        <v>106</v>
      </c>
      <c r="I467" s="152"/>
    </row>
    <row r="468" customFormat="false" ht="16.5" hidden="false" customHeight="true" outlineLevel="0" collapsed="false">
      <c r="A468" s="151" t="n">
        <v>45688</v>
      </c>
      <c r="B468" s="152" t="s">
        <v>676</v>
      </c>
      <c r="C468" s="153" t="n">
        <v>-2.4</v>
      </c>
      <c r="D468" s="154" t="s">
        <v>97</v>
      </c>
      <c r="E468" s="153"/>
      <c r="F468" s="154"/>
      <c r="G468" s="152" t="s">
        <v>164</v>
      </c>
      <c r="H468" s="152" t="s">
        <v>106</v>
      </c>
      <c r="I468" s="152"/>
    </row>
    <row r="469" customFormat="false" ht="16.5" hidden="false" customHeight="true" outlineLevel="0" collapsed="false">
      <c r="A469" s="151" t="n">
        <v>45688</v>
      </c>
      <c r="B469" s="152" t="s">
        <v>677</v>
      </c>
      <c r="C469" s="153" t="n">
        <v>-1.99</v>
      </c>
      <c r="D469" s="154" t="s">
        <v>97</v>
      </c>
      <c r="E469" s="153"/>
      <c r="F469" s="154"/>
      <c r="G469" s="152" t="s">
        <v>42</v>
      </c>
      <c r="H469" s="152" t="s">
        <v>106</v>
      </c>
      <c r="I469" s="152"/>
    </row>
    <row r="470" customFormat="false" ht="16.5" hidden="false" customHeight="true" outlineLevel="0" collapsed="false">
      <c r="A470" s="151" t="n">
        <v>45688</v>
      </c>
      <c r="B470" s="152" t="s">
        <v>678</v>
      </c>
      <c r="C470" s="153" t="n">
        <v>-1.97</v>
      </c>
      <c r="D470" s="154" t="s">
        <v>97</v>
      </c>
      <c r="E470" s="153"/>
      <c r="F470" s="154"/>
      <c r="G470" s="152" t="s">
        <v>213</v>
      </c>
      <c r="H470" s="152" t="s">
        <v>106</v>
      </c>
      <c r="I470" s="152"/>
    </row>
    <row r="471" customFormat="false" ht="16.5" hidden="false" customHeight="true" outlineLevel="0" collapsed="false">
      <c r="A471" s="151" t="n">
        <v>45688</v>
      </c>
      <c r="B471" s="152" t="s">
        <v>679</v>
      </c>
      <c r="C471" s="153" t="n">
        <v>-1.8</v>
      </c>
      <c r="D471" s="154" t="s">
        <v>97</v>
      </c>
      <c r="E471" s="153"/>
      <c r="F471" s="154"/>
      <c r="G471" s="152" t="s">
        <v>168</v>
      </c>
      <c r="H471" s="152" t="s">
        <v>106</v>
      </c>
      <c r="I471" s="152"/>
    </row>
    <row r="472" customFormat="false" ht="16.5" hidden="false" customHeight="true" outlineLevel="0" collapsed="false">
      <c r="A472" s="151" t="n">
        <v>45688</v>
      </c>
      <c r="B472" s="152" t="s">
        <v>680</v>
      </c>
      <c r="C472" s="153" t="n">
        <v>-1.5</v>
      </c>
      <c r="D472" s="154" t="s">
        <v>97</v>
      </c>
      <c r="E472" s="153"/>
      <c r="F472" s="154"/>
      <c r="G472" s="152" t="s">
        <v>231</v>
      </c>
      <c r="H472" s="152" t="s">
        <v>106</v>
      </c>
      <c r="I472" s="152"/>
    </row>
    <row r="473" customFormat="false" ht="16.5" hidden="false" customHeight="true" outlineLevel="0" collapsed="false">
      <c r="A473" s="151" t="n">
        <v>45688</v>
      </c>
      <c r="B473" s="152" t="s">
        <v>681</v>
      </c>
      <c r="C473" s="153" t="n">
        <v>-1.4</v>
      </c>
      <c r="D473" s="154" t="s">
        <v>97</v>
      </c>
      <c r="E473" s="153"/>
      <c r="F473" s="154"/>
      <c r="G473" s="152" t="s">
        <v>168</v>
      </c>
      <c r="H473" s="152" t="s">
        <v>106</v>
      </c>
      <c r="I473" s="152"/>
    </row>
    <row r="474" customFormat="false" ht="16.5" hidden="false" customHeight="true" outlineLevel="0" collapsed="false">
      <c r="A474" s="151" t="n">
        <v>45688</v>
      </c>
      <c r="B474" s="152" t="s">
        <v>682</v>
      </c>
      <c r="C474" s="153" t="n">
        <v>-1.34</v>
      </c>
      <c r="D474" s="154" t="s">
        <v>97</v>
      </c>
      <c r="E474" s="153"/>
      <c r="F474" s="154"/>
      <c r="G474" s="152" t="s">
        <v>41</v>
      </c>
      <c r="H474" s="152" t="s">
        <v>106</v>
      </c>
      <c r="I474" s="152"/>
    </row>
    <row r="475" customFormat="false" ht="16.5" hidden="false" customHeight="true" outlineLevel="0" collapsed="false">
      <c r="A475" s="151" t="n">
        <v>45688</v>
      </c>
      <c r="B475" s="152" t="s">
        <v>683</v>
      </c>
      <c r="C475" s="153" t="n">
        <v>-0.99</v>
      </c>
      <c r="D475" s="154" t="s">
        <v>97</v>
      </c>
      <c r="E475" s="153"/>
      <c r="F475" s="154"/>
      <c r="G475" s="152" t="s">
        <v>42</v>
      </c>
      <c r="H475" s="152" t="s">
        <v>106</v>
      </c>
      <c r="I475" s="152"/>
    </row>
    <row r="476" customFormat="false" ht="16.5" hidden="false" customHeight="true" outlineLevel="0" collapsed="false">
      <c r="A476" s="151" t="n">
        <v>45688</v>
      </c>
      <c r="B476" s="152" t="s">
        <v>684</v>
      </c>
      <c r="C476" s="153" t="n">
        <v>-0.99</v>
      </c>
      <c r="D476" s="154" t="s">
        <v>97</v>
      </c>
      <c r="E476" s="153"/>
      <c r="F476" s="154"/>
      <c r="G476" s="152" t="s">
        <v>42</v>
      </c>
      <c r="H476" s="152" t="s">
        <v>106</v>
      </c>
      <c r="I476" s="152"/>
    </row>
    <row r="477" customFormat="false" ht="16.5" hidden="false" customHeight="true" outlineLevel="0" collapsed="false">
      <c r="A477" s="151" t="n">
        <v>45688</v>
      </c>
      <c r="B477" s="152" t="s">
        <v>685</v>
      </c>
      <c r="C477" s="153" t="n">
        <v>-0.82</v>
      </c>
      <c r="D477" s="154" t="s">
        <v>97</v>
      </c>
      <c r="E477" s="153"/>
      <c r="F477" s="154"/>
      <c r="G477" s="152" t="s">
        <v>225</v>
      </c>
      <c r="H477" s="152" t="s">
        <v>106</v>
      </c>
      <c r="I477" s="152"/>
    </row>
    <row r="478" customFormat="false" ht="16.5" hidden="false" customHeight="true" outlineLevel="0" collapsed="false">
      <c r="A478" s="151" t="n">
        <v>45688</v>
      </c>
      <c r="B478" s="152" t="s">
        <v>686</v>
      </c>
      <c r="C478" s="153" t="n">
        <v>-0.7</v>
      </c>
      <c r="D478" s="154" t="s">
        <v>97</v>
      </c>
      <c r="E478" s="153"/>
      <c r="F478" s="154"/>
      <c r="G478" s="152" t="s">
        <v>231</v>
      </c>
      <c r="H478" s="152" t="s">
        <v>106</v>
      </c>
      <c r="I478" s="152"/>
    </row>
    <row r="479" customFormat="false" ht="16.5" hidden="false" customHeight="true" outlineLevel="0" collapsed="false">
      <c r="A479" s="151" t="n">
        <v>45688</v>
      </c>
      <c r="B479" s="152" t="s">
        <v>687</v>
      </c>
      <c r="C479" s="153" t="n">
        <v>-0.61</v>
      </c>
      <c r="D479" s="154" t="s">
        <v>97</v>
      </c>
      <c r="E479" s="153"/>
      <c r="F479" s="154"/>
      <c r="G479" s="152" t="s">
        <v>213</v>
      </c>
      <c r="H479" s="152" t="s">
        <v>106</v>
      </c>
      <c r="I479" s="152"/>
    </row>
    <row r="480" customFormat="false" ht="16.5" hidden="false" customHeight="true" outlineLevel="0" collapsed="false">
      <c r="A480" s="151" t="n">
        <v>45688</v>
      </c>
      <c r="B480" s="152" t="s">
        <v>688</v>
      </c>
      <c r="C480" s="153" t="n">
        <v>-0.49</v>
      </c>
      <c r="D480" s="154" t="s">
        <v>97</v>
      </c>
      <c r="E480" s="153"/>
      <c r="F480" s="154"/>
      <c r="G480" s="152" t="s">
        <v>168</v>
      </c>
      <c r="H480" s="152" t="s">
        <v>106</v>
      </c>
      <c r="I480" s="152"/>
    </row>
    <row r="481" customFormat="false" ht="16.5" hidden="false" customHeight="true" outlineLevel="0" collapsed="false">
      <c r="A481" s="151" t="n">
        <v>45688</v>
      </c>
      <c r="B481" s="152" t="s">
        <v>689</v>
      </c>
      <c r="C481" s="153" t="n">
        <v>-0.36</v>
      </c>
      <c r="D481" s="154" t="s">
        <v>97</v>
      </c>
      <c r="E481" s="153"/>
      <c r="F481" s="154"/>
      <c r="G481" s="152" t="s">
        <v>231</v>
      </c>
      <c r="H481" s="152" t="s">
        <v>106</v>
      </c>
      <c r="I481" s="152"/>
    </row>
    <row r="482" customFormat="false" ht="16.5" hidden="false" customHeight="true" outlineLevel="0" collapsed="false">
      <c r="A482" s="151" t="n">
        <v>45688</v>
      </c>
      <c r="B482" s="152" t="s">
        <v>690</v>
      </c>
      <c r="C482" s="153" t="n">
        <v>-0.26</v>
      </c>
      <c r="D482" s="154" t="s">
        <v>97</v>
      </c>
      <c r="E482" s="153"/>
      <c r="F482" s="154"/>
      <c r="G482" s="152" t="s">
        <v>213</v>
      </c>
      <c r="H482" s="152" t="s">
        <v>106</v>
      </c>
      <c r="I482" s="152"/>
    </row>
    <row r="483" customFormat="false" ht="16.5" hidden="false" customHeight="true" outlineLevel="0" collapsed="false">
      <c r="A483" s="151" t="n">
        <v>45688</v>
      </c>
      <c r="B483" s="152" t="s">
        <v>691</v>
      </c>
      <c r="C483" s="153" t="n">
        <v>-0.25</v>
      </c>
      <c r="D483" s="154" t="s">
        <v>97</v>
      </c>
      <c r="E483" s="153"/>
      <c r="F483" s="154"/>
      <c r="G483" s="152" t="s">
        <v>213</v>
      </c>
      <c r="H483" s="152" t="s">
        <v>106</v>
      </c>
      <c r="I483" s="152"/>
    </row>
    <row r="484" customFormat="false" ht="16.5" hidden="false" customHeight="true" outlineLevel="0" collapsed="false">
      <c r="A484" s="151" t="n">
        <v>45691</v>
      </c>
      <c r="B484" s="152"/>
      <c r="C484" s="153" t="n">
        <v>1999.92</v>
      </c>
      <c r="D484" s="154" t="s">
        <v>97</v>
      </c>
      <c r="E484" s="153"/>
      <c r="F484" s="154" t="s">
        <v>652</v>
      </c>
      <c r="G484" s="152" t="s">
        <v>190</v>
      </c>
      <c r="H484" s="152" t="s">
        <v>121</v>
      </c>
      <c r="I484" s="152"/>
    </row>
    <row r="485" customFormat="false" ht="16.5" hidden="false" customHeight="true" outlineLevel="0" collapsed="false">
      <c r="A485" s="151" t="n">
        <v>45693</v>
      </c>
      <c r="B485" s="152"/>
      <c r="C485" s="153" t="n">
        <v>16.01</v>
      </c>
      <c r="D485" s="154" t="s">
        <v>97</v>
      </c>
      <c r="E485" s="153"/>
      <c r="F485" s="154"/>
      <c r="G485" s="152" t="s">
        <v>42</v>
      </c>
      <c r="H485" s="152" t="s">
        <v>108</v>
      </c>
      <c r="I485" s="152"/>
    </row>
    <row r="486" customFormat="false" ht="16.5" hidden="false" customHeight="true" outlineLevel="0" collapsed="false">
      <c r="A486" s="151" t="n">
        <v>45672</v>
      </c>
      <c r="B486" s="152" t="s">
        <v>692</v>
      </c>
      <c r="C486" s="153" t="n">
        <v>-0.17</v>
      </c>
      <c r="D486" s="154" t="s">
        <v>97</v>
      </c>
      <c r="E486" s="153"/>
      <c r="F486" s="154"/>
      <c r="G486" s="152" t="s">
        <v>204</v>
      </c>
      <c r="H486" s="152" t="s">
        <v>117</v>
      </c>
      <c r="I486" s="152"/>
    </row>
    <row r="487" customFormat="false" ht="16.5" hidden="false" customHeight="true" outlineLevel="0" collapsed="false">
      <c r="A487" s="151" t="n">
        <v>45672</v>
      </c>
      <c r="B487" s="152" t="s">
        <v>692</v>
      </c>
      <c r="C487" s="159" t="n">
        <v>-0.46</v>
      </c>
      <c r="D487" s="154" t="s">
        <v>103</v>
      </c>
      <c r="E487" s="153"/>
      <c r="F487" s="154"/>
      <c r="G487" s="152" t="s">
        <v>204</v>
      </c>
      <c r="H487" s="152" t="s">
        <v>125</v>
      </c>
      <c r="I487" s="152"/>
    </row>
    <row r="488" customFormat="false" ht="16.5" hidden="false" customHeight="true" outlineLevel="0" collapsed="false">
      <c r="A488" s="151" t="n">
        <v>45694</v>
      </c>
      <c r="B488" s="152" t="s">
        <v>610</v>
      </c>
      <c r="C488" s="153" t="n">
        <v>0.14</v>
      </c>
      <c r="D488" s="154" t="s">
        <v>97</v>
      </c>
      <c r="E488" s="153"/>
      <c r="F488" s="154"/>
      <c r="G488" s="152" t="s">
        <v>209</v>
      </c>
      <c r="H488" s="152" t="s">
        <v>117</v>
      </c>
      <c r="I488" s="152"/>
    </row>
    <row r="489" customFormat="false" ht="16.5" hidden="false" customHeight="true" outlineLevel="0" collapsed="false">
      <c r="A489" s="151" t="n">
        <v>45694</v>
      </c>
      <c r="B489" s="152" t="s">
        <v>610</v>
      </c>
      <c r="C489" s="159" t="n">
        <v>0.22</v>
      </c>
      <c r="D489" s="154" t="s">
        <v>103</v>
      </c>
      <c r="E489" s="153"/>
      <c r="F489" s="154"/>
      <c r="G489" s="152" t="s">
        <v>209</v>
      </c>
      <c r="H489" s="152" t="s">
        <v>125</v>
      </c>
      <c r="I489" s="152"/>
    </row>
    <row r="490" customFormat="false" ht="16.5" hidden="false" customHeight="true" outlineLevel="0" collapsed="false">
      <c r="A490" s="151" t="n">
        <v>45692</v>
      </c>
      <c r="B490" s="152"/>
      <c r="C490" s="158" t="n">
        <v>1.50064</v>
      </c>
      <c r="D490" s="154" t="s">
        <v>150</v>
      </c>
      <c r="E490" s="153" t="n">
        <v>246.67</v>
      </c>
      <c r="F490" s="154" t="s">
        <v>693</v>
      </c>
      <c r="G490" s="152" t="s">
        <v>189</v>
      </c>
      <c r="H490" s="152" t="s">
        <v>149</v>
      </c>
      <c r="I490" s="152"/>
    </row>
    <row r="491" customFormat="false" ht="16.5" hidden="false" customHeight="true" outlineLevel="0" collapsed="false">
      <c r="A491" s="151" t="n">
        <v>45692</v>
      </c>
      <c r="B491" s="152" t="s">
        <v>60</v>
      </c>
      <c r="C491" s="158" t="n">
        <v>86.42792</v>
      </c>
      <c r="D491" s="154" t="s">
        <v>150</v>
      </c>
      <c r="E491" s="153"/>
      <c r="F491" s="154"/>
      <c r="G491" s="152" t="s">
        <v>315</v>
      </c>
      <c r="H491" s="152" t="s">
        <v>149</v>
      </c>
      <c r="I491" s="152"/>
    </row>
    <row r="492" customFormat="false" ht="16.5" hidden="false" customHeight="true" outlineLevel="0" collapsed="false">
      <c r="A492" s="151" t="n">
        <v>45681</v>
      </c>
      <c r="B492" s="152" t="s">
        <v>322</v>
      </c>
      <c r="C492" s="153" t="n">
        <v>-1397.19</v>
      </c>
      <c r="D492" s="154" t="s">
        <v>97</v>
      </c>
      <c r="E492" s="153"/>
      <c r="F492" s="154" t="s">
        <v>327</v>
      </c>
      <c r="G492" s="152" t="s">
        <v>193</v>
      </c>
      <c r="H492" s="152" t="s">
        <v>99</v>
      </c>
      <c r="I492" s="152"/>
    </row>
    <row r="493" customFormat="false" ht="16.5" hidden="false" customHeight="true" outlineLevel="0" collapsed="false">
      <c r="A493" s="151" t="n">
        <v>45681</v>
      </c>
      <c r="B493" s="152" t="s">
        <v>328</v>
      </c>
      <c r="C493" s="153" t="n">
        <v>1397.19</v>
      </c>
      <c r="D493" s="154" t="s">
        <v>97</v>
      </c>
      <c r="E493" s="153"/>
      <c r="F493" s="154" t="s">
        <v>327</v>
      </c>
      <c r="G493" s="152" t="s">
        <v>193</v>
      </c>
      <c r="H493" s="152" t="s">
        <v>99</v>
      </c>
      <c r="I493" s="152"/>
    </row>
    <row r="494" customFormat="false" ht="16.5" hidden="false" customHeight="true" outlineLevel="0" collapsed="false">
      <c r="A494" s="151" t="n">
        <v>45706</v>
      </c>
      <c r="B494" s="152"/>
      <c r="C494" s="153" t="n">
        <v>1999.92</v>
      </c>
      <c r="D494" s="154" t="s">
        <v>97</v>
      </c>
      <c r="E494" s="153"/>
      <c r="F494" s="154" t="s">
        <v>694</v>
      </c>
      <c r="G494" s="152" t="s">
        <v>190</v>
      </c>
      <c r="H494" s="152" t="s">
        <v>117</v>
      </c>
      <c r="I494" s="152"/>
    </row>
    <row r="495" customFormat="false" ht="16.5" hidden="false" customHeight="true" outlineLevel="0" collapsed="false">
      <c r="A495" s="151" t="n">
        <v>45706</v>
      </c>
      <c r="B495" s="152" t="s">
        <v>695</v>
      </c>
      <c r="C495" s="153" t="n">
        <v>-9.57</v>
      </c>
      <c r="D495" s="154" t="s">
        <v>97</v>
      </c>
      <c r="E495" s="153"/>
      <c r="F495" s="154"/>
      <c r="G495" s="152" t="s">
        <v>207</v>
      </c>
      <c r="H495" s="152" t="s">
        <v>106</v>
      </c>
      <c r="I495" s="152"/>
    </row>
    <row r="496" customFormat="false" ht="16.5" hidden="false" customHeight="true" outlineLevel="0" collapsed="false">
      <c r="A496" s="151" t="n">
        <v>45706</v>
      </c>
      <c r="B496" s="152" t="s">
        <v>696</v>
      </c>
      <c r="C496" s="153" t="n">
        <v>-8.83</v>
      </c>
      <c r="D496" s="154" t="s">
        <v>97</v>
      </c>
      <c r="E496" s="153"/>
      <c r="F496" s="154"/>
      <c r="G496" s="152" t="s">
        <v>207</v>
      </c>
      <c r="H496" s="152" t="s">
        <v>106</v>
      </c>
      <c r="I496" s="152"/>
    </row>
    <row r="497" customFormat="false" ht="16.5" hidden="false" customHeight="true" outlineLevel="0" collapsed="false">
      <c r="A497" s="151" t="n">
        <v>45705</v>
      </c>
      <c r="B497" s="152" t="s">
        <v>697</v>
      </c>
      <c r="C497" s="153" t="n">
        <v>-66.16</v>
      </c>
      <c r="D497" s="154" t="s">
        <v>97</v>
      </c>
      <c r="E497" s="153"/>
      <c r="F497" s="154"/>
      <c r="G497" s="152" t="s">
        <v>208</v>
      </c>
      <c r="H497" s="152" t="s">
        <v>106</v>
      </c>
      <c r="I497" s="152"/>
    </row>
    <row r="498" customFormat="false" ht="16.5" hidden="false" customHeight="true" outlineLevel="0" collapsed="false">
      <c r="A498" s="151" t="n">
        <v>45705</v>
      </c>
      <c r="B498" s="152" t="s">
        <v>698</v>
      </c>
      <c r="C498" s="153" t="n">
        <v>-28.27</v>
      </c>
      <c r="D498" s="154" t="s">
        <v>97</v>
      </c>
      <c r="E498" s="153"/>
      <c r="F498" s="154"/>
      <c r="G498" s="152" t="s">
        <v>197</v>
      </c>
      <c r="H498" s="152" t="s">
        <v>106</v>
      </c>
      <c r="I498" s="152"/>
    </row>
    <row r="499" customFormat="false" ht="16.5" hidden="false" customHeight="true" outlineLevel="0" collapsed="false">
      <c r="A499" s="151" t="n">
        <v>45705</v>
      </c>
      <c r="B499" s="152" t="s">
        <v>699</v>
      </c>
      <c r="C499" s="153" t="n">
        <v>-20</v>
      </c>
      <c r="D499" s="154" t="s">
        <v>97</v>
      </c>
      <c r="E499" s="153"/>
      <c r="F499" s="154"/>
      <c r="G499" s="152" t="s">
        <v>171</v>
      </c>
      <c r="H499" s="152" t="s">
        <v>106</v>
      </c>
      <c r="I499" s="152"/>
    </row>
    <row r="500" customFormat="false" ht="16.5" hidden="false" customHeight="true" outlineLevel="0" collapsed="false">
      <c r="A500" s="151" t="n">
        <v>45705</v>
      </c>
      <c r="B500" s="152" t="s">
        <v>700</v>
      </c>
      <c r="C500" s="153" t="n">
        <v>-8.58</v>
      </c>
      <c r="D500" s="154" t="s">
        <v>97</v>
      </c>
      <c r="E500" s="153"/>
      <c r="F500" s="154"/>
      <c r="G500" s="152" t="s">
        <v>217</v>
      </c>
      <c r="H500" s="152" t="s">
        <v>106</v>
      </c>
      <c r="I500" s="152"/>
    </row>
    <row r="501" customFormat="false" ht="16.5" hidden="false" customHeight="true" outlineLevel="0" collapsed="false">
      <c r="A501" s="151" t="n">
        <v>45705</v>
      </c>
      <c r="B501" s="152" t="s">
        <v>701</v>
      </c>
      <c r="C501" s="153" t="n">
        <v>-1999.92</v>
      </c>
      <c r="D501" s="154" t="s">
        <v>97</v>
      </c>
      <c r="E501" s="153"/>
      <c r="F501" s="154" t="s">
        <v>694</v>
      </c>
      <c r="G501" s="152" t="s">
        <v>190</v>
      </c>
      <c r="H501" s="152" t="s">
        <v>106</v>
      </c>
      <c r="I501" s="152"/>
    </row>
    <row r="502" customFormat="false" ht="16.5" hidden="false" customHeight="true" outlineLevel="0" collapsed="false">
      <c r="A502" s="151" t="n">
        <v>45705</v>
      </c>
      <c r="B502" s="152" t="s">
        <v>702</v>
      </c>
      <c r="C502" s="153" t="n">
        <v>-59.99</v>
      </c>
      <c r="D502" s="154" t="s">
        <v>97</v>
      </c>
      <c r="E502" s="153"/>
      <c r="F502" s="154" t="s">
        <v>703</v>
      </c>
      <c r="G502" s="152" t="s">
        <v>190</v>
      </c>
      <c r="H502" s="152" t="s">
        <v>106</v>
      </c>
      <c r="I502" s="152"/>
    </row>
    <row r="503" customFormat="false" ht="16.5" hidden="false" customHeight="true" outlineLevel="0" collapsed="false">
      <c r="A503" s="151" t="n">
        <v>45702</v>
      </c>
      <c r="B503" s="152" t="s">
        <v>704</v>
      </c>
      <c r="C503" s="153" t="n">
        <v>210.81</v>
      </c>
      <c r="D503" s="154" t="s">
        <v>97</v>
      </c>
      <c r="E503" s="153"/>
      <c r="F503" s="154"/>
      <c r="G503" s="152" t="s">
        <v>201</v>
      </c>
      <c r="H503" s="152" t="s">
        <v>106</v>
      </c>
      <c r="I503" s="152"/>
    </row>
    <row r="504" customFormat="false" ht="16.5" hidden="false" customHeight="true" outlineLevel="0" collapsed="false">
      <c r="A504" s="151" t="n">
        <v>45698</v>
      </c>
      <c r="B504" s="152" t="s">
        <v>705</v>
      </c>
      <c r="C504" s="153" t="n">
        <v>-15.53</v>
      </c>
      <c r="D504" s="154" t="s">
        <v>97</v>
      </c>
      <c r="E504" s="153"/>
      <c r="F504" s="154"/>
      <c r="G504" s="152" t="s">
        <v>212</v>
      </c>
      <c r="H504" s="152" t="s">
        <v>106</v>
      </c>
      <c r="I504" s="152"/>
    </row>
    <row r="505" customFormat="false" ht="16.5" hidden="false" customHeight="true" outlineLevel="0" collapsed="false">
      <c r="A505" s="151" t="n">
        <v>45695</v>
      </c>
      <c r="B505" s="152" t="s">
        <v>706</v>
      </c>
      <c r="C505" s="153" t="n">
        <v>-5.39</v>
      </c>
      <c r="D505" s="154" t="s">
        <v>97</v>
      </c>
      <c r="E505" s="153"/>
      <c r="F505" s="154"/>
      <c r="G505" s="152" t="s">
        <v>218</v>
      </c>
      <c r="H505" s="152" t="s">
        <v>106</v>
      </c>
      <c r="I505" s="152"/>
    </row>
    <row r="506" customFormat="false" ht="16.5" hidden="false" customHeight="true" outlineLevel="0" collapsed="false">
      <c r="A506" s="151" t="n">
        <v>45695</v>
      </c>
      <c r="B506" s="152" t="s">
        <v>707</v>
      </c>
      <c r="C506" s="153" t="n">
        <v>242.67</v>
      </c>
      <c r="D506" s="154" t="s">
        <v>97</v>
      </c>
      <c r="E506" s="153"/>
      <c r="F506" s="154"/>
      <c r="G506" s="152" t="s">
        <v>198</v>
      </c>
      <c r="H506" s="152" t="s">
        <v>106</v>
      </c>
      <c r="I506" s="152"/>
    </row>
    <row r="507" customFormat="false" ht="16.5" hidden="false" customHeight="true" outlineLevel="0" collapsed="false">
      <c r="A507" s="151" t="n">
        <v>45695</v>
      </c>
      <c r="B507" s="152" t="s">
        <v>708</v>
      </c>
      <c r="C507" s="153" t="n">
        <v>99.97</v>
      </c>
      <c r="D507" s="154" t="s">
        <v>97</v>
      </c>
      <c r="E507" s="153"/>
      <c r="F507" s="154" t="s">
        <v>709</v>
      </c>
      <c r="G507" s="152" t="s">
        <v>190</v>
      </c>
      <c r="H507" s="152" t="s">
        <v>106</v>
      </c>
      <c r="I507" s="152"/>
    </row>
    <row r="508" customFormat="false" ht="16.5" hidden="false" customHeight="true" outlineLevel="0" collapsed="false">
      <c r="A508" s="151" t="n">
        <v>45695</v>
      </c>
      <c r="B508" s="152" t="s">
        <v>710</v>
      </c>
      <c r="C508" s="153" t="n">
        <v>267.31</v>
      </c>
      <c r="D508" s="154" t="s">
        <v>97</v>
      </c>
      <c r="E508" s="153"/>
      <c r="F508" s="154"/>
      <c r="G508" s="152" t="s">
        <v>215</v>
      </c>
      <c r="H508" s="152" t="s">
        <v>106</v>
      </c>
      <c r="I508" s="152"/>
    </row>
    <row r="509" customFormat="false" ht="16.5" hidden="false" customHeight="true" outlineLevel="0" collapsed="false">
      <c r="A509" s="151" t="n">
        <v>45694</v>
      </c>
      <c r="B509" s="152" t="s">
        <v>711</v>
      </c>
      <c r="C509" s="153" t="n">
        <v>-48.87</v>
      </c>
      <c r="D509" s="154" t="s">
        <v>97</v>
      </c>
      <c r="E509" s="153"/>
      <c r="F509" s="154"/>
      <c r="G509" s="152" t="s">
        <v>203</v>
      </c>
      <c r="H509" s="152" t="s">
        <v>106</v>
      </c>
      <c r="I509" s="152"/>
    </row>
    <row r="510" customFormat="false" ht="16.5" hidden="false" customHeight="true" outlineLevel="0" collapsed="false">
      <c r="A510" s="151" t="n">
        <v>45694</v>
      </c>
      <c r="B510" s="152" t="s">
        <v>712</v>
      </c>
      <c r="C510" s="153" t="n">
        <v>25.94</v>
      </c>
      <c r="D510" s="154" t="s">
        <v>97</v>
      </c>
      <c r="E510" s="153"/>
      <c r="F510" s="154"/>
      <c r="G510" s="152" t="s">
        <v>224</v>
      </c>
      <c r="H510" s="152" t="s">
        <v>106</v>
      </c>
      <c r="I510" s="152"/>
    </row>
    <row r="511" customFormat="false" ht="16.5" hidden="false" customHeight="true" outlineLevel="0" collapsed="false">
      <c r="A511" s="151" t="n">
        <v>45693</v>
      </c>
      <c r="B511" s="152" t="s">
        <v>713</v>
      </c>
      <c r="C511" s="153" t="n">
        <v>-46.59</v>
      </c>
      <c r="D511" s="154" t="s">
        <v>97</v>
      </c>
      <c r="E511" s="153"/>
      <c r="F511" s="154"/>
      <c r="G511" s="152" t="s">
        <v>197</v>
      </c>
      <c r="H511" s="152" t="s">
        <v>106</v>
      </c>
      <c r="I511" s="152"/>
    </row>
    <row r="512" customFormat="false" ht="16.5" hidden="false" customHeight="true" outlineLevel="0" collapsed="false">
      <c r="A512" s="151" t="n">
        <v>45693</v>
      </c>
      <c r="B512" s="152" t="s">
        <v>714</v>
      </c>
      <c r="C512" s="153" t="n">
        <v>-15.21</v>
      </c>
      <c r="D512" s="154" t="s">
        <v>97</v>
      </c>
      <c r="E512" s="153"/>
      <c r="F512" s="154"/>
      <c r="G512" s="152" t="s">
        <v>222</v>
      </c>
      <c r="H512" s="152" t="s">
        <v>106</v>
      </c>
      <c r="I512" s="152"/>
    </row>
    <row r="513" customFormat="false" ht="16.5" hidden="false" customHeight="true" outlineLevel="0" collapsed="false">
      <c r="A513" s="151" t="n">
        <v>45692</v>
      </c>
      <c r="B513" s="152" t="s">
        <v>715</v>
      </c>
      <c r="C513" s="153" t="n">
        <v>99.97</v>
      </c>
      <c r="D513" s="154" t="s">
        <v>97</v>
      </c>
      <c r="E513" s="153"/>
      <c r="F513" s="154" t="s">
        <v>716</v>
      </c>
      <c r="G513" s="152" t="s">
        <v>190</v>
      </c>
      <c r="H513" s="152" t="s">
        <v>106</v>
      </c>
      <c r="I513" s="152"/>
    </row>
    <row r="514" customFormat="false" ht="16.5" hidden="false" customHeight="true" outlineLevel="0" collapsed="false">
      <c r="A514" s="151" t="n">
        <v>45691</v>
      </c>
      <c r="B514" s="152" t="s">
        <v>717</v>
      </c>
      <c r="C514" s="153" t="n">
        <v>597.96</v>
      </c>
      <c r="D514" s="154" t="s">
        <v>97</v>
      </c>
      <c r="E514" s="153"/>
      <c r="F514" s="154"/>
      <c r="G514" s="152" t="s">
        <v>194</v>
      </c>
      <c r="H514" s="152" t="s">
        <v>106</v>
      </c>
      <c r="I514" s="152"/>
    </row>
    <row r="515" customFormat="false" ht="16.5" hidden="false" customHeight="true" outlineLevel="0" collapsed="false">
      <c r="A515" s="151" t="n">
        <v>45691</v>
      </c>
      <c r="B515" s="152" t="s">
        <v>606</v>
      </c>
      <c r="C515" s="153" t="n">
        <v>-339.37</v>
      </c>
      <c r="D515" s="154" t="s">
        <v>97</v>
      </c>
      <c r="E515" s="153"/>
      <c r="F515" s="154"/>
      <c r="G515" s="152" t="s">
        <v>162</v>
      </c>
      <c r="H515" s="152" t="s">
        <v>106</v>
      </c>
      <c r="I515" s="152"/>
    </row>
    <row r="516" customFormat="false" ht="16.5" hidden="false" customHeight="true" outlineLevel="0" collapsed="false">
      <c r="A516" s="151" t="n">
        <v>45691</v>
      </c>
      <c r="B516" s="152" t="s">
        <v>718</v>
      </c>
      <c r="C516" s="153" t="n">
        <v>266.95</v>
      </c>
      <c r="D516" s="154" t="s">
        <v>97</v>
      </c>
      <c r="E516" s="153"/>
      <c r="F516" s="154"/>
      <c r="G516" s="152" t="s">
        <v>206</v>
      </c>
      <c r="H516" s="152" t="s">
        <v>106</v>
      </c>
      <c r="I516" s="152"/>
    </row>
    <row r="517" customFormat="false" ht="16.5" hidden="false" customHeight="true" outlineLevel="0" collapsed="false">
      <c r="A517" s="151" t="n">
        <v>45691</v>
      </c>
      <c r="B517" s="152" t="s">
        <v>719</v>
      </c>
      <c r="C517" s="153" t="n">
        <v>100.69</v>
      </c>
      <c r="D517" s="154" t="s">
        <v>97</v>
      </c>
      <c r="E517" s="153"/>
      <c r="F517" s="154"/>
      <c r="G517" s="152" t="s">
        <v>206</v>
      </c>
      <c r="H517" s="152" t="s">
        <v>106</v>
      </c>
      <c r="I517" s="152"/>
    </row>
    <row r="518" customFormat="false" ht="16.5" hidden="false" customHeight="true" outlineLevel="0" collapsed="false">
      <c r="A518" s="151" t="n">
        <v>45705</v>
      </c>
      <c r="B518" s="152"/>
      <c r="C518" s="153" t="n">
        <v>59.99</v>
      </c>
      <c r="D518" s="154" t="s">
        <v>97</v>
      </c>
      <c r="E518" s="153"/>
      <c r="F518" s="154" t="s">
        <v>703</v>
      </c>
      <c r="G518" s="152" t="s">
        <v>190</v>
      </c>
      <c r="H518" s="152" t="s">
        <v>108</v>
      </c>
      <c r="I518" s="152"/>
    </row>
    <row r="519" customFormat="false" ht="16.5" hidden="false" customHeight="true" outlineLevel="0" collapsed="false">
      <c r="A519" s="151" t="n">
        <v>45705</v>
      </c>
      <c r="B519" s="152" t="s">
        <v>60</v>
      </c>
      <c r="C519" s="153" t="n">
        <v>1229.97</v>
      </c>
      <c r="D519" s="154" t="s">
        <v>97</v>
      </c>
      <c r="E519" s="153"/>
      <c r="F519" s="154"/>
      <c r="G519" s="152" t="s">
        <v>315</v>
      </c>
      <c r="H519" s="152" t="s">
        <v>108</v>
      </c>
      <c r="I519" s="152"/>
    </row>
    <row r="520" customFormat="false" ht="16.5" hidden="false" customHeight="true" outlineLevel="0" collapsed="false">
      <c r="A520" s="151" t="n">
        <v>45695</v>
      </c>
      <c r="B520" s="152"/>
      <c r="C520" s="153" t="n">
        <v>-99.97</v>
      </c>
      <c r="D520" s="154" t="s">
        <v>97</v>
      </c>
      <c r="E520" s="153"/>
      <c r="F520" s="154" t="s">
        <v>709</v>
      </c>
      <c r="G520" s="152" t="s">
        <v>190</v>
      </c>
      <c r="H520" s="152" t="s">
        <v>132</v>
      </c>
      <c r="I520" s="152"/>
    </row>
    <row r="521" customFormat="false" ht="16.5" hidden="false" customHeight="true" outlineLevel="0" collapsed="false">
      <c r="A521" s="151" t="n">
        <v>45692</v>
      </c>
      <c r="B521" s="152"/>
      <c r="C521" s="153" t="n">
        <v>-99.97</v>
      </c>
      <c r="D521" s="154" t="s">
        <v>97</v>
      </c>
      <c r="E521" s="153"/>
      <c r="F521" s="154" t="s">
        <v>716</v>
      </c>
      <c r="G521" s="152" t="s">
        <v>190</v>
      </c>
      <c r="H521" s="152" t="s">
        <v>133</v>
      </c>
      <c r="I521" s="152"/>
    </row>
    <row r="522" customFormat="false" ht="16.5" hidden="false" customHeight="true" outlineLevel="0" collapsed="false">
      <c r="A522" s="151" t="n">
        <v>45692</v>
      </c>
      <c r="B522" s="152" t="s">
        <v>60</v>
      </c>
      <c r="C522" s="153" t="n">
        <v>9100.06</v>
      </c>
      <c r="D522" s="154" t="s">
        <v>97</v>
      </c>
      <c r="E522" s="153"/>
      <c r="F522" s="154"/>
      <c r="G522" s="152" t="s">
        <v>315</v>
      </c>
      <c r="H522" s="152" t="s">
        <v>133</v>
      </c>
      <c r="I522" s="152"/>
    </row>
    <row r="523" customFormat="false" ht="16.5" hidden="false" customHeight="true" outlineLevel="0" collapsed="false">
      <c r="A523" s="151" t="n">
        <v>45715</v>
      </c>
      <c r="B523" s="152" t="s">
        <v>720</v>
      </c>
      <c r="C523" s="153" t="n">
        <v>99.97</v>
      </c>
      <c r="D523" s="154" t="s">
        <v>97</v>
      </c>
      <c r="E523" s="153"/>
      <c r="F523" s="154" t="s">
        <v>721</v>
      </c>
      <c r="G523" s="152" t="s">
        <v>190</v>
      </c>
      <c r="H523" s="152" t="s">
        <v>116</v>
      </c>
      <c r="I523" s="152"/>
    </row>
    <row r="524" customFormat="false" ht="16.5" hidden="false" customHeight="true" outlineLevel="0" collapsed="false">
      <c r="A524" s="151" t="n">
        <v>45715</v>
      </c>
      <c r="B524" s="152" t="s">
        <v>722</v>
      </c>
      <c r="C524" s="153" t="n">
        <v>-99.97</v>
      </c>
      <c r="D524" s="154" t="s">
        <v>97</v>
      </c>
      <c r="E524" s="153" t="n">
        <v>-99.97</v>
      </c>
      <c r="F524" s="154" t="s">
        <v>723</v>
      </c>
      <c r="G524" s="152" t="s">
        <v>188</v>
      </c>
      <c r="H524" s="152" t="s">
        <v>116</v>
      </c>
      <c r="I524" s="152"/>
    </row>
    <row r="525" customFormat="false" ht="16.5" hidden="false" customHeight="true" outlineLevel="0" collapsed="false">
      <c r="A525" s="151" t="n">
        <v>45715</v>
      </c>
      <c r="B525" s="152" t="s">
        <v>60</v>
      </c>
      <c r="C525" s="153" t="n">
        <v>0.14</v>
      </c>
      <c r="D525" s="154" t="s">
        <v>97</v>
      </c>
      <c r="E525" s="153"/>
      <c r="F525" s="154"/>
      <c r="G525" s="152" t="s">
        <v>315</v>
      </c>
      <c r="H525" s="152" t="s">
        <v>116</v>
      </c>
      <c r="I525" s="152"/>
    </row>
    <row r="526" customFormat="false" ht="16.5" hidden="false" customHeight="true" outlineLevel="0" collapsed="false">
      <c r="A526" s="151" t="n">
        <v>45715</v>
      </c>
      <c r="B526" s="152" t="s">
        <v>724</v>
      </c>
      <c r="C526" s="159" t="n">
        <v>103.86</v>
      </c>
      <c r="D526" s="154" t="s">
        <v>103</v>
      </c>
      <c r="E526" s="153" t="n">
        <v>99.97</v>
      </c>
      <c r="F526" s="154" t="s">
        <v>723</v>
      </c>
      <c r="G526" s="152" t="s">
        <v>188</v>
      </c>
      <c r="H526" s="152" t="s">
        <v>131</v>
      </c>
      <c r="I526" s="152"/>
    </row>
    <row r="527" customFormat="false" ht="16.5" hidden="false" customHeight="true" outlineLevel="0" collapsed="false">
      <c r="A527" s="151" t="n">
        <v>45715</v>
      </c>
      <c r="B527" s="152" t="s">
        <v>725</v>
      </c>
      <c r="C527" s="159" t="n">
        <v>11.99</v>
      </c>
      <c r="D527" s="154" t="s">
        <v>103</v>
      </c>
      <c r="E527" s="153" t="n">
        <v>11.44</v>
      </c>
      <c r="F527" s="154" t="s">
        <v>726</v>
      </c>
      <c r="G527" s="152" t="s">
        <v>191</v>
      </c>
      <c r="H527" s="152" t="s">
        <v>102</v>
      </c>
      <c r="I527" s="152"/>
    </row>
    <row r="528" customFormat="false" ht="16.5" hidden="false" customHeight="true" outlineLevel="0" collapsed="false">
      <c r="A528" s="151" t="n">
        <v>45715</v>
      </c>
      <c r="B528" s="152" t="s">
        <v>725</v>
      </c>
      <c r="C528" s="159" t="n">
        <v>-11.99</v>
      </c>
      <c r="D528" s="154" t="s">
        <v>103</v>
      </c>
      <c r="E528" s="153" t="n">
        <v>-11.44</v>
      </c>
      <c r="F528" s="154" t="s">
        <v>726</v>
      </c>
      <c r="G528" s="152" t="s">
        <v>191</v>
      </c>
      <c r="H528" s="152" t="s">
        <v>131</v>
      </c>
      <c r="I528" s="152"/>
    </row>
    <row r="529" customFormat="false" ht="16.5" hidden="false" customHeight="true" outlineLevel="0" collapsed="false">
      <c r="A529" s="151" t="n">
        <v>45713</v>
      </c>
      <c r="B529" s="152"/>
      <c r="C529" s="153" t="n">
        <v>-1999.92</v>
      </c>
      <c r="D529" s="154" t="s">
        <v>97</v>
      </c>
      <c r="E529" s="153" t="n">
        <v>-1999.92</v>
      </c>
      <c r="F529" s="154" t="s">
        <v>727</v>
      </c>
      <c r="G529" s="152" t="s">
        <v>188</v>
      </c>
      <c r="H529" s="152" t="s">
        <v>117</v>
      </c>
      <c r="I529" s="152"/>
    </row>
    <row r="530" customFormat="false" ht="16.5" hidden="false" customHeight="true" outlineLevel="0" collapsed="false">
      <c r="A530" s="151" t="n">
        <v>45713</v>
      </c>
      <c r="B530" s="152"/>
      <c r="C530" s="159" t="n">
        <v>2086.38</v>
      </c>
      <c r="D530" s="154" t="s">
        <v>103</v>
      </c>
      <c r="E530" s="153" t="n">
        <v>1999.92</v>
      </c>
      <c r="F530" s="154" t="s">
        <v>727</v>
      </c>
      <c r="G530" s="152" t="s">
        <v>188</v>
      </c>
      <c r="H530" s="152" t="s">
        <v>125</v>
      </c>
      <c r="I530" s="152"/>
    </row>
    <row r="531" customFormat="false" ht="16.5" hidden="false" customHeight="true" outlineLevel="0" collapsed="false">
      <c r="A531" s="151" t="n">
        <v>45715</v>
      </c>
      <c r="B531" s="152" t="s">
        <v>728</v>
      </c>
      <c r="C531" s="153" t="n">
        <v>-193.38</v>
      </c>
      <c r="D531" s="154" t="s">
        <v>97</v>
      </c>
      <c r="E531" s="153"/>
      <c r="F531" s="154"/>
      <c r="G531" s="152" t="s">
        <v>176</v>
      </c>
      <c r="H531" s="152" t="s">
        <v>106</v>
      </c>
      <c r="I531" s="152"/>
    </row>
    <row r="532" customFormat="false" ht="16.5" hidden="false" customHeight="true" outlineLevel="0" collapsed="false">
      <c r="A532" s="151" t="n">
        <v>45715</v>
      </c>
      <c r="B532" s="152" t="s">
        <v>729</v>
      </c>
      <c r="C532" s="153" t="n">
        <v>-75.78</v>
      </c>
      <c r="D532" s="154" t="s">
        <v>97</v>
      </c>
      <c r="E532" s="153"/>
      <c r="F532" s="154"/>
      <c r="G532" s="152" t="s">
        <v>176</v>
      </c>
      <c r="H532" s="152" t="s">
        <v>106</v>
      </c>
      <c r="I532" s="152"/>
    </row>
    <row r="533" customFormat="false" ht="16.5" hidden="false" customHeight="true" outlineLevel="0" collapsed="false">
      <c r="A533" s="151" t="n">
        <v>45714</v>
      </c>
      <c r="B533" s="152" t="s">
        <v>730</v>
      </c>
      <c r="C533" s="153" t="n">
        <v>-99.97</v>
      </c>
      <c r="D533" s="154" t="s">
        <v>97</v>
      </c>
      <c r="E533" s="153"/>
      <c r="F533" s="154" t="s">
        <v>721</v>
      </c>
      <c r="G533" s="152" t="s">
        <v>190</v>
      </c>
      <c r="H533" s="152" t="s">
        <v>106</v>
      </c>
      <c r="I533" s="152"/>
    </row>
    <row r="534" customFormat="false" ht="16.5" hidden="false" customHeight="true" outlineLevel="0" collapsed="false">
      <c r="A534" s="151" t="n">
        <v>45713</v>
      </c>
      <c r="B534" s="152" t="s">
        <v>731</v>
      </c>
      <c r="C534" s="153" t="n">
        <v>-1.4</v>
      </c>
      <c r="D534" s="154" t="s">
        <v>97</v>
      </c>
      <c r="E534" s="153"/>
      <c r="F534" s="154"/>
      <c r="G534" s="152" t="s">
        <v>226</v>
      </c>
      <c r="H534" s="152" t="s">
        <v>106</v>
      </c>
      <c r="I534" s="152"/>
    </row>
    <row r="535" customFormat="false" ht="16.5" hidden="false" customHeight="true" outlineLevel="0" collapsed="false">
      <c r="A535" s="151" t="n">
        <v>45709</v>
      </c>
      <c r="B535" s="152" t="s">
        <v>732</v>
      </c>
      <c r="C535" s="153" t="n">
        <v>-4.21</v>
      </c>
      <c r="D535" s="154" t="s">
        <v>97</v>
      </c>
      <c r="E535" s="153"/>
      <c r="F535" s="154"/>
      <c r="G535" s="152" t="s">
        <v>221</v>
      </c>
      <c r="H535" s="152" t="s">
        <v>106</v>
      </c>
      <c r="I535" s="152"/>
    </row>
    <row r="536" customFormat="false" ht="16.5" hidden="false" customHeight="true" outlineLevel="0" collapsed="false">
      <c r="A536" s="151" t="n">
        <v>45709</v>
      </c>
      <c r="B536" s="152" t="s">
        <v>733</v>
      </c>
      <c r="C536" s="153" t="n">
        <v>-2.59</v>
      </c>
      <c r="D536" s="154" t="s">
        <v>97</v>
      </c>
      <c r="E536" s="153"/>
      <c r="F536" s="154"/>
      <c r="G536" s="152" t="s">
        <v>204</v>
      </c>
      <c r="H536" s="152" t="s">
        <v>106</v>
      </c>
      <c r="I536" s="152"/>
    </row>
    <row r="537" customFormat="false" ht="16.5" hidden="false" customHeight="true" outlineLevel="0" collapsed="false">
      <c r="A537" s="151" t="n">
        <v>45717</v>
      </c>
      <c r="B537" s="152" t="s">
        <v>692</v>
      </c>
      <c r="C537" s="153" t="n">
        <v>-0.14</v>
      </c>
      <c r="D537" s="154" t="s">
        <v>97</v>
      </c>
      <c r="E537" s="153"/>
      <c r="F537" s="154"/>
      <c r="G537" s="152" t="s">
        <v>204</v>
      </c>
      <c r="H537" s="152" t="s">
        <v>117</v>
      </c>
      <c r="I537" s="152"/>
    </row>
    <row r="538" customFormat="false" ht="16.5" hidden="false" customHeight="true" outlineLevel="0" collapsed="false">
      <c r="A538" s="151" t="n">
        <v>45717</v>
      </c>
      <c r="B538" s="152" t="s">
        <v>60</v>
      </c>
      <c r="C538" s="153" t="n">
        <v>497.61</v>
      </c>
      <c r="D538" s="154" t="s">
        <v>97</v>
      </c>
      <c r="E538" s="153"/>
      <c r="F538" s="154"/>
      <c r="G538" s="152" t="s">
        <v>315</v>
      </c>
      <c r="H538" s="152" t="s">
        <v>117</v>
      </c>
      <c r="I538" s="152"/>
    </row>
    <row r="539" customFormat="false" ht="16.5" hidden="false" customHeight="true" outlineLevel="0" collapsed="false">
      <c r="A539" s="151" t="n">
        <v>45717</v>
      </c>
      <c r="B539" s="152" t="s">
        <v>692</v>
      </c>
      <c r="C539" s="159" t="n">
        <v>-0.73</v>
      </c>
      <c r="D539" s="154" t="s">
        <v>103</v>
      </c>
      <c r="E539" s="153"/>
      <c r="F539" s="154"/>
      <c r="G539" s="152" t="s">
        <v>204</v>
      </c>
      <c r="H539" s="152" t="s">
        <v>125</v>
      </c>
      <c r="I539" s="152"/>
    </row>
    <row r="540" customFormat="false" ht="16.5" hidden="false" customHeight="true" outlineLevel="0" collapsed="false">
      <c r="A540" s="151" t="n">
        <v>45719</v>
      </c>
      <c r="B540" s="152" t="s">
        <v>610</v>
      </c>
      <c r="C540" s="159" t="n">
        <v>0.11</v>
      </c>
      <c r="D540" s="154" t="s">
        <v>103</v>
      </c>
      <c r="E540" s="153"/>
      <c r="F540" s="154"/>
      <c r="G540" s="152" t="s">
        <v>204</v>
      </c>
      <c r="H540" s="152" t="s">
        <v>125</v>
      </c>
      <c r="I540" s="152"/>
    </row>
    <row r="541" customFormat="false" ht="16.5" hidden="false" customHeight="true" outlineLevel="0" collapsed="false">
      <c r="A541" s="151" t="n">
        <v>45719</v>
      </c>
      <c r="B541" s="152" t="s">
        <v>60</v>
      </c>
      <c r="C541" s="159" t="n">
        <v>6906.18</v>
      </c>
      <c r="D541" s="154" t="s">
        <v>103</v>
      </c>
      <c r="E541" s="153"/>
      <c r="F541" s="154"/>
      <c r="G541" s="152" t="s">
        <v>315</v>
      </c>
      <c r="H541" s="152" t="s">
        <v>125</v>
      </c>
      <c r="I541" s="152"/>
    </row>
    <row r="542" customFormat="false" ht="16.5" hidden="false" customHeight="true" outlineLevel="0" collapsed="false">
      <c r="A542" s="151" t="n">
        <v>45718</v>
      </c>
      <c r="B542" s="152" t="s">
        <v>734</v>
      </c>
      <c r="C542" s="153" t="n">
        <v>99.97</v>
      </c>
      <c r="D542" s="154" t="s">
        <v>97</v>
      </c>
      <c r="E542" s="153"/>
      <c r="F542" s="154" t="s">
        <v>735</v>
      </c>
      <c r="G542" s="152" t="s">
        <v>190</v>
      </c>
      <c r="H542" s="152" t="s">
        <v>106</v>
      </c>
      <c r="I542" s="152"/>
    </row>
    <row r="543" customFormat="false" ht="16.5" hidden="false" customHeight="true" outlineLevel="0" collapsed="false">
      <c r="A543" s="151" t="n">
        <v>45719</v>
      </c>
      <c r="B543" s="152" t="s">
        <v>736</v>
      </c>
      <c r="C543" s="153" t="n">
        <v>-20.41</v>
      </c>
      <c r="D543" s="154" t="s">
        <v>97</v>
      </c>
      <c r="E543" s="153"/>
      <c r="F543" s="154"/>
      <c r="G543" s="152" t="s">
        <v>202</v>
      </c>
      <c r="H543" s="152" t="s">
        <v>106</v>
      </c>
      <c r="I543" s="152"/>
    </row>
    <row r="544" customFormat="false" ht="16.5" hidden="false" customHeight="true" outlineLevel="0" collapsed="false">
      <c r="A544" s="151" t="n">
        <v>45719</v>
      </c>
      <c r="B544" s="152" t="s">
        <v>737</v>
      </c>
      <c r="C544" s="153" t="n">
        <v>-1.6</v>
      </c>
      <c r="D544" s="154" t="s">
        <v>97</v>
      </c>
      <c r="E544" s="153"/>
      <c r="F544" s="154"/>
      <c r="G544" s="152" t="s">
        <v>219</v>
      </c>
      <c r="H544" s="152" t="s">
        <v>106</v>
      </c>
      <c r="I544" s="152"/>
    </row>
    <row r="545" customFormat="false" ht="16.5" hidden="false" customHeight="true" outlineLevel="0" collapsed="false">
      <c r="A545" s="151" t="n">
        <v>45719</v>
      </c>
      <c r="B545" s="152" t="s">
        <v>738</v>
      </c>
      <c r="C545" s="153" t="n">
        <v>25.94</v>
      </c>
      <c r="D545" s="154" t="s">
        <v>97</v>
      </c>
      <c r="E545" s="153"/>
      <c r="F545" s="154"/>
      <c r="G545" s="152" t="s">
        <v>224</v>
      </c>
      <c r="H545" s="152" t="s">
        <v>106</v>
      </c>
      <c r="I545" s="152"/>
    </row>
    <row r="546" customFormat="false" ht="16.5" hidden="false" customHeight="true" outlineLevel="0" collapsed="false">
      <c r="A546" s="151" t="n">
        <v>45719</v>
      </c>
      <c r="B546" s="152" t="s">
        <v>606</v>
      </c>
      <c r="C546" s="153" t="n">
        <v>-339.37</v>
      </c>
      <c r="D546" s="154" t="s">
        <v>97</v>
      </c>
      <c r="E546" s="153"/>
      <c r="F546" s="154"/>
      <c r="G546" s="152" t="s">
        <v>162</v>
      </c>
      <c r="H546" s="152" t="s">
        <v>106</v>
      </c>
      <c r="I546" s="152"/>
    </row>
    <row r="547" customFormat="false" ht="16.5" hidden="false" customHeight="true" outlineLevel="0" collapsed="false">
      <c r="A547" s="151" t="n">
        <v>45719</v>
      </c>
      <c r="B547" s="152" t="s">
        <v>739</v>
      </c>
      <c r="C547" s="153" t="n">
        <v>597.96</v>
      </c>
      <c r="D547" s="154" t="s">
        <v>97</v>
      </c>
      <c r="E547" s="153"/>
      <c r="F547" s="154"/>
      <c r="G547" s="152" t="s">
        <v>194</v>
      </c>
      <c r="H547" s="152" t="s">
        <v>106</v>
      </c>
      <c r="I547" s="152"/>
    </row>
    <row r="548" customFormat="false" ht="16.5" hidden="false" customHeight="true" outlineLevel="0" collapsed="false">
      <c r="A548" s="151" t="n">
        <v>45719</v>
      </c>
      <c r="B548" s="152" t="s">
        <v>740</v>
      </c>
      <c r="C548" s="153" t="n">
        <v>266.95</v>
      </c>
      <c r="D548" s="154" t="s">
        <v>97</v>
      </c>
      <c r="E548" s="153"/>
      <c r="F548" s="154"/>
      <c r="G548" s="152" t="s">
        <v>206</v>
      </c>
      <c r="H548" s="152" t="s">
        <v>106</v>
      </c>
      <c r="I548" s="152"/>
    </row>
    <row r="549" customFormat="false" ht="16.5" hidden="false" customHeight="true" outlineLevel="0" collapsed="false">
      <c r="A549" s="151" t="n">
        <v>45719</v>
      </c>
      <c r="B549" s="152" t="s">
        <v>741</v>
      </c>
      <c r="C549" s="153" t="n">
        <v>100.69</v>
      </c>
      <c r="D549" s="154" t="s">
        <v>97</v>
      </c>
      <c r="E549" s="153"/>
      <c r="F549" s="154"/>
      <c r="G549" s="152" t="s">
        <v>206</v>
      </c>
      <c r="H549" s="152" t="s">
        <v>106</v>
      </c>
      <c r="I549" s="152"/>
    </row>
    <row r="550" customFormat="false" ht="16.5" hidden="false" customHeight="true" outlineLevel="0" collapsed="false">
      <c r="A550" s="151" t="n">
        <v>45719</v>
      </c>
      <c r="B550" s="152" t="s">
        <v>742</v>
      </c>
      <c r="C550" s="153" t="n">
        <v>-246.67</v>
      </c>
      <c r="D550" s="154" t="s">
        <v>97</v>
      </c>
      <c r="E550" s="153" t="n">
        <v>-246.67</v>
      </c>
      <c r="F550" s="154" t="s">
        <v>693</v>
      </c>
      <c r="G550" s="152" t="s">
        <v>189</v>
      </c>
      <c r="H550" s="152" t="s">
        <v>106</v>
      </c>
      <c r="I550" s="152"/>
    </row>
    <row r="551" customFormat="false" ht="16.5" hidden="false" customHeight="true" outlineLevel="0" collapsed="false">
      <c r="A551" s="151" t="n">
        <v>45719</v>
      </c>
      <c r="B551" s="152" t="s">
        <v>743</v>
      </c>
      <c r="C551" s="153" t="n">
        <v>-107.75</v>
      </c>
      <c r="D551" s="154" t="s">
        <v>97</v>
      </c>
      <c r="E551" s="153" t="n">
        <v>-107.75</v>
      </c>
      <c r="F551" s="154" t="s">
        <v>642</v>
      </c>
      <c r="G551" s="152" t="s">
        <v>189</v>
      </c>
      <c r="H551" s="152" t="s">
        <v>106</v>
      </c>
      <c r="I551" s="152"/>
    </row>
    <row r="552" customFormat="false" ht="16.5" hidden="false" customHeight="true" outlineLevel="0" collapsed="false">
      <c r="A552" s="151" t="n">
        <v>45719</v>
      </c>
      <c r="B552" s="152" t="s">
        <v>744</v>
      </c>
      <c r="C552" s="153" t="n">
        <v>-1.6</v>
      </c>
      <c r="D552" s="154" t="s">
        <v>97</v>
      </c>
      <c r="E552" s="153"/>
      <c r="F552" s="154" t="s">
        <v>642</v>
      </c>
      <c r="G552" s="152" t="s">
        <v>168</v>
      </c>
      <c r="H552" s="152" t="s">
        <v>106</v>
      </c>
      <c r="I552" s="152"/>
    </row>
    <row r="553" customFormat="false" ht="16.5" hidden="false" customHeight="true" outlineLevel="0" collapsed="false">
      <c r="A553" s="151" t="n">
        <v>45719</v>
      </c>
      <c r="B553" s="152" t="s">
        <v>745</v>
      </c>
      <c r="C553" s="153" t="n">
        <v>-26.1</v>
      </c>
      <c r="D553" s="154" t="s">
        <v>97</v>
      </c>
      <c r="E553" s="153"/>
      <c r="F553" s="154"/>
      <c r="G553" s="152" t="s">
        <v>213</v>
      </c>
      <c r="H553" s="152" t="s">
        <v>106</v>
      </c>
      <c r="I553" s="152"/>
    </row>
    <row r="554" customFormat="false" ht="16.5" hidden="false" customHeight="true" outlineLevel="0" collapsed="false">
      <c r="A554" s="151" t="n">
        <v>45719</v>
      </c>
      <c r="B554" s="152" t="s">
        <v>746</v>
      </c>
      <c r="C554" s="153" t="n">
        <v>-21.73</v>
      </c>
      <c r="D554" s="154" t="s">
        <v>97</v>
      </c>
      <c r="E554" s="153"/>
      <c r="F554" s="154"/>
      <c r="G554" s="152" t="s">
        <v>213</v>
      </c>
      <c r="H554" s="152" t="s">
        <v>106</v>
      </c>
      <c r="I554" s="152"/>
    </row>
    <row r="555" customFormat="false" ht="16.5" hidden="false" customHeight="true" outlineLevel="0" collapsed="false">
      <c r="A555" s="151" t="n">
        <v>45719</v>
      </c>
      <c r="B555" s="152" t="s">
        <v>747</v>
      </c>
      <c r="C555" s="153" t="n">
        <v>-20.01</v>
      </c>
      <c r="D555" s="154" t="s">
        <v>97</v>
      </c>
      <c r="E555" s="153"/>
      <c r="F555" s="154"/>
      <c r="G555" s="152" t="s">
        <v>213</v>
      </c>
      <c r="H555" s="152" t="s">
        <v>106</v>
      </c>
      <c r="I555" s="152"/>
    </row>
    <row r="556" customFormat="false" ht="16.5" hidden="false" customHeight="true" outlineLevel="0" collapsed="false">
      <c r="A556" s="151" t="n">
        <v>45719</v>
      </c>
      <c r="B556" s="152" t="s">
        <v>748</v>
      </c>
      <c r="C556" s="153" t="n">
        <v>-19.9</v>
      </c>
      <c r="D556" s="154" t="s">
        <v>97</v>
      </c>
      <c r="E556" s="153"/>
      <c r="F556" s="154"/>
      <c r="G556" s="152" t="s">
        <v>213</v>
      </c>
      <c r="H556" s="152" t="s">
        <v>106</v>
      </c>
      <c r="I556" s="152"/>
    </row>
    <row r="557" customFormat="false" ht="16.5" hidden="false" customHeight="true" outlineLevel="0" collapsed="false">
      <c r="A557" s="151" t="n">
        <v>45719</v>
      </c>
      <c r="B557" s="152" t="s">
        <v>749</v>
      </c>
      <c r="C557" s="153" t="n">
        <v>-18.97</v>
      </c>
      <c r="D557" s="154" t="s">
        <v>97</v>
      </c>
      <c r="E557" s="153"/>
      <c r="F557" s="154"/>
      <c r="G557" s="152" t="s">
        <v>213</v>
      </c>
      <c r="H557" s="152" t="s">
        <v>106</v>
      </c>
      <c r="I557" s="152"/>
    </row>
    <row r="558" customFormat="false" ht="16.5" hidden="false" customHeight="true" outlineLevel="0" collapsed="false">
      <c r="A558" s="151" t="n">
        <v>45719</v>
      </c>
      <c r="B558" s="152" t="s">
        <v>750</v>
      </c>
      <c r="C558" s="153" t="n">
        <v>-14.06</v>
      </c>
      <c r="D558" s="154" t="s">
        <v>97</v>
      </c>
      <c r="E558" s="153"/>
      <c r="F558" s="154"/>
      <c r="G558" s="152" t="s">
        <v>213</v>
      </c>
      <c r="H558" s="152" t="s">
        <v>106</v>
      </c>
      <c r="I558" s="152"/>
    </row>
    <row r="559" customFormat="false" ht="16.5" hidden="false" customHeight="true" outlineLevel="0" collapsed="false">
      <c r="A559" s="151" t="n">
        <v>45719</v>
      </c>
      <c r="B559" s="152" t="s">
        <v>751</v>
      </c>
      <c r="C559" s="153" t="n">
        <v>-11.6</v>
      </c>
      <c r="D559" s="154" t="s">
        <v>97</v>
      </c>
      <c r="E559" s="153"/>
      <c r="F559" s="154"/>
      <c r="G559" s="152" t="s">
        <v>164</v>
      </c>
      <c r="H559" s="152" t="s">
        <v>106</v>
      </c>
      <c r="I559" s="152"/>
    </row>
    <row r="560" customFormat="false" ht="16.5" hidden="false" customHeight="true" outlineLevel="0" collapsed="false">
      <c r="A560" s="151" t="n">
        <v>45719</v>
      </c>
      <c r="B560" s="152" t="s">
        <v>752</v>
      </c>
      <c r="C560" s="153" t="n">
        <v>-8.02</v>
      </c>
      <c r="D560" s="154" t="s">
        <v>97</v>
      </c>
      <c r="E560" s="153"/>
      <c r="F560" s="154"/>
      <c r="G560" s="152" t="s">
        <v>164</v>
      </c>
      <c r="H560" s="152" t="s">
        <v>106</v>
      </c>
      <c r="I560" s="152"/>
    </row>
    <row r="561" customFormat="false" ht="16.5" hidden="false" customHeight="true" outlineLevel="0" collapsed="false">
      <c r="A561" s="151" t="n">
        <v>45719</v>
      </c>
      <c r="B561" s="152" t="s">
        <v>753</v>
      </c>
      <c r="C561" s="153" t="n">
        <v>-7.62</v>
      </c>
      <c r="D561" s="154" t="s">
        <v>97</v>
      </c>
      <c r="E561" s="153"/>
      <c r="F561" s="154"/>
      <c r="G561" s="152" t="s">
        <v>213</v>
      </c>
      <c r="H561" s="152" t="s">
        <v>106</v>
      </c>
      <c r="I561" s="152"/>
    </row>
    <row r="562" customFormat="false" ht="16.5" hidden="false" customHeight="true" outlineLevel="0" collapsed="false">
      <c r="A562" s="151" t="n">
        <v>45719</v>
      </c>
      <c r="B562" s="152" t="s">
        <v>754</v>
      </c>
      <c r="C562" s="153" t="n">
        <v>-5.29</v>
      </c>
      <c r="D562" s="154" t="s">
        <v>97</v>
      </c>
      <c r="E562" s="153"/>
      <c r="F562" s="154"/>
      <c r="G562" s="152" t="s">
        <v>167</v>
      </c>
      <c r="H562" s="152" t="s">
        <v>106</v>
      </c>
      <c r="I562" s="152"/>
    </row>
    <row r="563" customFormat="false" ht="16.5" hidden="false" customHeight="true" outlineLevel="0" collapsed="false">
      <c r="A563" s="151" t="n">
        <v>45719</v>
      </c>
      <c r="B563" s="152" t="s">
        <v>755</v>
      </c>
      <c r="C563" s="153" t="n">
        <v>-4.27</v>
      </c>
      <c r="D563" s="154" t="s">
        <v>97</v>
      </c>
      <c r="E563" s="153"/>
      <c r="F563" s="154"/>
      <c r="G563" s="152" t="s">
        <v>213</v>
      </c>
      <c r="H563" s="152" t="s">
        <v>106</v>
      </c>
      <c r="I563" s="152"/>
    </row>
    <row r="564" customFormat="false" ht="16.5" hidden="false" customHeight="true" outlineLevel="0" collapsed="false">
      <c r="A564" s="151" t="n">
        <v>45719</v>
      </c>
      <c r="B564" s="152" t="s">
        <v>756</v>
      </c>
      <c r="C564" s="153" t="n">
        <v>-4.08</v>
      </c>
      <c r="D564" s="154" t="s">
        <v>97</v>
      </c>
      <c r="E564" s="153"/>
      <c r="F564" s="154"/>
      <c r="G564" s="152" t="s">
        <v>164</v>
      </c>
      <c r="H564" s="152" t="s">
        <v>106</v>
      </c>
      <c r="I564" s="152"/>
    </row>
    <row r="565" customFormat="false" ht="16.5" hidden="false" customHeight="true" outlineLevel="0" collapsed="false">
      <c r="A565" s="151" t="n">
        <v>45719</v>
      </c>
      <c r="B565" s="152" t="s">
        <v>757</v>
      </c>
      <c r="C565" s="153" t="n">
        <v>-3.61</v>
      </c>
      <c r="D565" s="154" t="s">
        <v>97</v>
      </c>
      <c r="E565" s="153"/>
      <c r="F565" s="154"/>
      <c r="G565" s="152" t="s">
        <v>41</v>
      </c>
      <c r="H565" s="152" t="s">
        <v>106</v>
      </c>
      <c r="I565" s="152"/>
    </row>
    <row r="566" customFormat="false" ht="16.5" hidden="false" customHeight="true" outlineLevel="0" collapsed="false">
      <c r="A566" s="151" t="n">
        <v>45719</v>
      </c>
      <c r="B566" s="152" t="s">
        <v>758</v>
      </c>
      <c r="C566" s="153" t="n">
        <v>-2.98</v>
      </c>
      <c r="D566" s="154" t="s">
        <v>97</v>
      </c>
      <c r="E566" s="153"/>
      <c r="F566" s="154"/>
      <c r="G566" s="152" t="s">
        <v>167</v>
      </c>
      <c r="H566" s="152" t="s">
        <v>106</v>
      </c>
      <c r="I566" s="152"/>
    </row>
    <row r="567" customFormat="false" ht="16.5" hidden="false" customHeight="true" outlineLevel="0" collapsed="false">
      <c r="A567" s="151" t="n">
        <v>45719</v>
      </c>
      <c r="B567" s="152" t="s">
        <v>759</v>
      </c>
      <c r="C567" s="153" t="n">
        <v>-2.59</v>
      </c>
      <c r="D567" s="154" t="s">
        <v>97</v>
      </c>
      <c r="E567" s="153"/>
      <c r="F567" s="154"/>
      <c r="G567" s="152" t="s">
        <v>168</v>
      </c>
      <c r="H567" s="152" t="s">
        <v>106</v>
      </c>
      <c r="I567" s="152"/>
    </row>
    <row r="568" customFormat="false" ht="16.5" hidden="false" customHeight="true" outlineLevel="0" collapsed="false">
      <c r="A568" s="151" t="n">
        <v>45719</v>
      </c>
      <c r="B568" s="152" t="s">
        <v>760</v>
      </c>
      <c r="C568" s="153" t="n">
        <v>-1.8</v>
      </c>
      <c r="D568" s="154" t="s">
        <v>97</v>
      </c>
      <c r="E568" s="153"/>
      <c r="F568" s="154"/>
      <c r="G568" s="152" t="s">
        <v>168</v>
      </c>
      <c r="H568" s="152" t="s">
        <v>106</v>
      </c>
      <c r="I568" s="152"/>
    </row>
    <row r="569" customFormat="false" ht="16.5" hidden="false" customHeight="true" outlineLevel="0" collapsed="false">
      <c r="A569" s="151" t="n">
        <v>45719</v>
      </c>
      <c r="B569" s="152" t="s">
        <v>761</v>
      </c>
      <c r="C569" s="153" t="n">
        <v>-1.79</v>
      </c>
      <c r="D569" s="154" t="s">
        <v>97</v>
      </c>
      <c r="E569" s="153"/>
      <c r="F569" s="154"/>
      <c r="G569" s="152" t="s">
        <v>213</v>
      </c>
      <c r="H569" s="152" t="s">
        <v>106</v>
      </c>
      <c r="I569" s="152"/>
    </row>
    <row r="570" customFormat="false" ht="16.5" hidden="false" customHeight="true" outlineLevel="0" collapsed="false">
      <c r="A570" s="151" t="n">
        <v>45719</v>
      </c>
      <c r="B570" s="152" t="s">
        <v>762</v>
      </c>
      <c r="C570" s="153" t="n">
        <v>-1.39</v>
      </c>
      <c r="D570" s="154" t="s">
        <v>97</v>
      </c>
      <c r="E570" s="153"/>
      <c r="F570" s="154"/>
      <c r="G570" s="152" t="s">
        <v>213</v>
      </c>
      <c r="H570" s="152" t="s">
        <v>106</v>
      </c>
      <c r="I570" s="152"/>
    </row>
    <row r="571" customFormat="false" ht="16.5" hidden="false" customHeight="true" outlineLevel="0" collapsed="false">
      <c r="A571" s="151" t="n">
        <v>45719</v>
      </c>
      <c r="B571" s="152" t="s">
        <v>763</v>
      </c>
      <c r="C571" s="153" t="n">
        <v>-0.99</v>
      </c>
      <c r="D571" s="154" t="s">
        <v>97</v>
      </c>
      <c r="E571" s="153"/>
      <c r="F571" s="154"/>
      <c r="G571" s="152" t="s">
        <v>42</v>
      </c>
      <c r="H571" s="152" t="s">
        <v>106</v>
      </c>
      <c r="I571" s="152"/>
    </row>
    <row r="572" customFormat="false" ht="16.5" hidden="false" customHeight="true" outlineLevel="0" collapsed="false">
      <c r="A572" s="151" t="n">
        <v>45719</v>
      </c>
      <c r="B572" s="152" t="s">
        <v>764</v>
      </c>
      <c r="C572" s="153" t="n">
        <v>-0.99</v>
      </c>
      <c r="D572" s="154" t="s">
        <v>97</v>
      </c>
      <c r="E572" s="153"/>
      <c r="F572" s="154"/>
      <c r="G572" s="152" t="s">
        <v>213</v>
      </c>
      <c r="H572" s="152" t="s">
        <v>106</v>
      </c>
      <c r="I572" s="152"/>
    </row>
    <row r="573" customFormat="false" ht="16.5" hidden="false" customHeight="true" outlineLevel="0" collapsed="false">
      <c r="A573" s="151" t="n">
        <v>45719</v>
      </c>
      <c r="B573" s="152" t="s">
        <v>765</v>
      </c>
      <c r="C573" s="153" t="n">
        <v>-0.83</v>
      </c>
      <c r="D573" s="154" t="s">
        <v>97</v>
      </c>
      <c r="E573" s="153"/>
      <c r="F573" s="154"/>
      <c r="G573" s="152" t="s">
        <v>213</v>
      </c>
      <c r="H573" s="152" t="s">
        <v>106</v>
      </c>
      <c r="I573" s="152"/>
    </row>
    <row r="574" customFormat="false" ht="16.5" hidden="false" customHeight="true" outlineLevel="0" collapsed="false">
      <c r="A574" s="151" t="n">
        <v>45719</v>
      </c>
      <c r="B574" s="152" t="s">
        <v>766</v>
      </c>
      <c r="C574" s="153" t="n">
        <v>-0.83</v>
      </c>
      <c r="D574" s="154" t="s">
        <v>97</v>
      </c>
      <c r="E574" s="153"/>
      <c r="F574" s="154"/>
      <c r="G574" s="152" t="s">
        <v>213</v>
      </c>
      <c r="H574" s="152" t="s">
        <v>106</v>
      </c>
      <c r="I574" s="152"/>
    </row>
    <row r="575" customFormat="false" ht="16.5" hidden="false" customHeight="true" outlineLevel="0" collapsed="false">
      <c r="A575" s="151" t="n">
        <v>45719</v>
      </c>
      <c r="B575" s="152" t="s">
        <v>767</v>
      </c>
      <c r="C575" s="153" t="n">
        <v>-0.68</v>
      </c>
      <c r="D575" s="154" t="s">
        <v>97</v>
      </c>
      <c r="E575" s="153"/>
      <c r="F575" s="154"/>
      <c r="G575" s="152" t="s">
        <v>213</v>
      </c>
      <c r="H575" s="152" t="s">
        <v>106</v>
      </c>
      <c r="I575" s="152"/>
    </row>
    <row r="576" customFormat="false" ht="16.5" hidden="false" customHeight="true" outlineLevel="0" collapsed="false">
      <c r="A576" s="151" t="n">
        <v>45719</v>
      </c>
      <c r="B576" s="152" t="s">
        <v>768</v>
      </c>
      <c r="C576" s="153" t="n">
        <v>-0.36</v>
      </c>
      <c r="D576" s="154" t="s">
        <v>97</v>
      </c>
      <c r="E576" s="153"/>
      <c r="F576" s="154"/>
      <c r="G576" s="152" t="s">
        <v>231</v>
      </c>
      <c r="H576" s="152" t="s">
        <v>106</v>
      </c>
      <c r="I576" s="152"/>
    </row>
    <row r="577" customFormat="false" ht="16.5" hidden="false" customHeight="true" outlineLevel="0" collapsed="false">
      <c r="A577" s="151" t="n">
        <v>45719</v>
      </c>
      <c r="B577" s="152" t="s">
        <v>769</v>
      </c>
      <c r="C577" s="153" t="n">
        <v>-0.25</v>
      </c>
      <c r="D577" s="154" t="s">
        <v>97</v>
      </c>
      <c r="E577" s="153"/>
      <c r="F577" s="154"/>
      <c r="G577" s="152" t="s">
        <v>213</v>
      </c>
      <c r="H577" s="152" t="s">
        <v>106</v>
      </c>
      <c r="I577" s="152"/>
    </row>
    <row r="578" customFormat="false" ht="16.5" hidden="false" customHeight="true" outlineLevel="0" collapsed="false">
      <c r="A578" s="151" t="n">
        <v>45719</v>
      </c>
      <c r="B578" s="152" t="s">
        <v>770</v>
      </c>
      <c r="C578" s="153" t="n">
        <v>-0.25</v>
      </c>
      <c r="D578" s="154" t="s">
        <v>97</v>
      </c>
      <c r="E578" s="153"/>
      <c r="F578" s="154"/>
      <c r="G578" s="152" t="s">
        <v>213</v>
      </c>
      <c r="H578" s="152" t="s">
        <v>106</v>
      </c>
      <c r="I578" s="152"/>
    </row>
    <row r="579" customFormat="false" ht="16.5" hidden="false" customHeight="true" outlineLevel="0" collapsed="false">
      <c r="A579" s="151" t="n">
        <v>45719</v>
      </c>
      <c r="B579" s="152" t="s">
        <v>771</v>
      </c>
      <c r="C579" s="153" t="n">
        <v>-0.24</v>
      </c>
      <c r="D579" s="154" t="s">
        <v>97</v>
      </c>
      <c r="E579" s="153"/>
      <c r="F579" s="154"/>
      <c r="G579" s="152" t="s">
        <v>213</v>
      </c>
      <c r="H579" s="152" t="s">
        <v>106</v>
      </c>
      <c r="I579" s="152"/>
    </row>
    <row r="580" customFormat="false" ht="16.5" hidden="false" customHeight="true" outlineLevel="0" collapsed="false">
      <c r="A580" s="151" t="n">
        <v>45719</v>
      </c>
      <c r="B580" s="152" t="s">
        <v>60</v>
      </c>
      <c r="C580" s="153" t="n">
        <v>4781.94</v>
      </c>
      <c r="D580" s="154" t="s">
        <v>97</v>
      </c>
      <c r="E580" s="153"/>
      <c r="F580" s="154"/>
      <c r="G580" s="152" t="s">
        <v>315</v>
      </c>
      <c r="H580" s="152" t="s">
        <v>106</v>
      </c>
      <c r="I580" s="152"/>
    </row>
    <row r="581" customFormat="false" ht="16.5" hidden="false" customHeight="true" outlineLevel="0" collapsed="false">
      <c r="A581" s="151" t="n">
        <v>45720</v>
      </c>
      <c r="B581" s="152"/>
      <c r="C581" s="153" t="n">
        <v>-99.97</v>
      </c>
      <c r="D581" s="154" t="s">
        <v>97</v>
      </c>
      <c r="E581" s="153"/>
      <c r="F581" s="154" t="s">
        <v>735</v>
      </c>
      <c r="G581" s="152" t="s">
        <v>190</v>
      </c>
      <c r="H581" s="152" t="s">
        <v>132</v>
      </c>
      <c r="I581" s="152"/>
    </row>
    <row r="582" customFormat="false" ht="16.5" hidden="false" customHeight="true" outlineLevel="0" collapsed="false">
      <c r="A582" s="151" t="n">
        <v>45720</v>
      </c>
      <c r="B582" s="152" t="s">
        <v>60</v>
      </c>
      <c r="C582" s="153" t="n">
        <v>22293.09</v>
      </c>
      <c r="D582" s="154" t="s">
        <v>97</v>
      </c>
      <c r="E582" s="153"/>
      <c r="F582" s="154"/>
      <c r="G582" s="152" t="s">
        <v>315</v>
      </c>
      <c r="H582" s="152" t="s">
        <v>132</v>
      </c>
      <c r="I582" s="152"/>
    </row>
    <row r="583" customFormat="false" ht="16.5" hidden="false" customHeight="true" outlineLevel="0" collapsed="false">
      <c r="A583" s="151" t="n">
        <v>45721</v>
      </c>
      <c r="B583" s="152" t="s">
        <v>772</v>
      </c>
      <c r="C583" s="153" t="n">
        <v>-9980.37</v>
      </c>
      <c r="D583" s="154" t="s">
        <v>97</v>
      </c>
      <c r="E583" s="153"/>
      <c r="F583" s="154" t="s">
        <v>773</v>
      </c>
      <c r="G583" s="152" t="s">
        <v>190</v>
      </c>
      <c r="H583" s="152" t="s">
        <v>110</v>
      </c>
      <c r="I583" s="152"/>
    </row>
    <row r="584" customFormat="false" ht="16.5" hidden="false" customHeight="true" outlineLevel="0" collapsed="false">
      <c r="A584" s="151" t="n">
        <v>45721</v>
      </c>
      <c r="B584" s="152" t="s">
        <v>60</v>
      </c>
      <c r="C584" s="153" t="n">
        <v>56.23</v>
      </c>
      <c r="D584" s="154" t="s">
        <v>97</v>
      </c>
      <c r="E584" s="153"/>
      <c r="F584" s="154"/>
      <c r="G584" s="152" t="s">
        <v>315</v>
      </c>
      <c r="H584" s="152" t="s">
        <v>110</v>
      </c>
      <c r="I584" s="152"/>
    </row>
    <row r="585" customFormat="false" ht="16.5" hidden="false" customHeight="true" outlineLevel="0" collapsed="false">
      <c r="A585" s="151" t="n">
        <v>45722</v>
      </c>
      <c r="B585" s="152" t="s">
        <v>774</v>
      </c>
      <c r="C585" s="153" t="n">
        <v>-0.78</v>
      </c>
      <c r="D585" s="154" t="s">
        <v>97</v>
      </c>
      <c r="E585" s="153"/>
      <c r="F585" s="154" t="s">
        <v>775</v>
      </c>
      <c r="G585" s="152" t="s">
        <v>204</v>
      </c>
      <c r="H585" s="152" t="s">
        <v>121</v>
      </c>
      <c r="I585" s="152"/>
    </row>
    <row r="586" customFormat="false" ht="16.5" hidden="false" customHeight="true" outlineLevel="0" collapsed="false">
      <c r="A586" s="151" t="n">
        <v>45722</v>
      </c>
      <c r="B586" s="152" t="s">
        <v>776</v>
      </c>
      <c r="C586" s="153" t="n">
        <v>-6.07</v>
      </c>
      <c r="D586" s="154" t="s">
        <v>97</v>
      </c>
      <c r="E586" s="153"/>
      <c r="F586" s="154" t="s">
        <v>775</v>
      </c>
      <c r="G586" s="152" t="s">
        <v>204</v>
      </c>
      <c r="H586" s="152" t="s">
        <v>121</v>
      </c>
      <c r="I586" s="152"/>
    </row>
    <row r="587" customFormat="false" ht="16.5" hidden="false" customHeight="true" outlineLevel="0" collapsed="false">
      <c r="A587" s="151" t="n">
        <v>45722</v>
      </c>
      <c r="B587" s="152" t="s">
        <v>777</v>
      </c>
      <c r="C587" s="153" t="n">
        <v>-2029.14</v>
      </c>
      <c r="D587" s="154" t="s">
        <v>97</v>
      </c>
      <c r="E587" s="153"/>
      <c r="F587" s="154" t="s">
        <v>775</v>
      </c>
      <c r="G587" s="152" t="s">
        <v>191</v>
      </c>
      <c r="H587" s="152" t="s">
        <v>121</v>
      </c>
      <c r="I587" s="152"/>
    </row>
    <row r="588" customFormat="false" ht="16.5" hidden="false" customHeight="true" outlineLevel="0" collapsed="false">
      <c r="A588" s="151" t="n">
        <v>45722</v>
      </c>
      <c r="B588" s="152" t="s">
        <v>60</v>
      </c>
      <c r="C588" s="153" t="n">
        <v>63.9</v>
      </c>
      <c r="D588" s="154" t="s">
        <v>97</v>
      </c>
      <c r="E588" s="153"/>
      <c r="F588" s="154"/>
      <c r="G588" s="152" t="s">
        <v>315</v>
      </c>
      <c r="H588" s="152" t="s">
        <v>121</v>
      </c>
      <c r="I588" s="152"/>
    </row>
    <row r="589" customFormat="false" ht="16.5" hidden="false" customHeight="true" outlineLevel="0" collapsed="false">
      <c r="A589" s="151" t="n">
        <v>45722</v>
      </c>
      <c r="B589" s="152" t="s">
        <v>778</v>
      </c>
      <c r="C589" s="153" t="n">
        <v>2029.14</v>
      </c>
      <c r="D589" s="154" t="s">
        <v>97</v>
      </c>
      <c r="E589" s="153"/>
      <c r="F589" s="154" t="s">
        <v>775</v>
      </c>
      <c r="G589" s="152" t="s">
        <v>191</v>
      </c>
      <c r="H589" s="152" t="s">
        <v>101</v>
      </c>
      <c r="I589" s="152"/>
    </row>
    <row r="590" customFormat="false" ht="16.5" hidden="false" customHeight="true" outlineLevel="0" collapsed="false">
      <c r="A590" s="151" t="n">
        <v>45716</v>
      </c>
      <c r="B590" s="152" t="s">
        <v>779</v>
      </c>
      <c r="C590" s="159" t="n">
        <v>-6.01</v>
      </c>
      <c r="D590" s="154" t="s">
        <v>103</v>
      </c>
      <c r="E590" s="153" t="n">
        <v>-5.79</v>
      </c>
      <c r="F590" s="154" t="s">
        <v>780</v>
      </c>
      <c r="G590" s="152" t="s">
        <v>192</v>
      </c>
      <c r="H590" s="152" t="s">
        <v>102</v>
      </c>
      <c r="I590" s="152"/>
    </row>
    <row r="591" customFormat="false" ht="16.5" hidden="false" customHeight="true" outlineLevel="0" collapsed="false">
      <c r="A591" s="151" t="n">
        <v>45716</v>
      </c>
      <c r="B591" s="152" t="s">
        <v>779</v>
      </c>
      <c r="C591" s="159" t="n">
        <v>6.01</v>
      </c>
      <c r="D591" s="154" t="s">
        <v>103</v>
      </c>
      <c r="E591" s="153" t="n">
        <v>5.79</v>
      </c>
      <c r="F591" s="154" t="s">
        <v>780</v>
      </c>
      <c r="G591" s="152" t="s">
        <v>192</v>
      </c>
      <c r="H591" s="152" t="s">
        <v>131</v>
      </c>
      <c r="I591" s="152"/>
    </row>
    <row r="592" customFormat="false" ht="16.5" hidden="false" customHeight="true" outlineLevel="0" collapsed="false">
      <c r="A592" s="151" t="n">
        <v>45716</v>
      </c>
      <c r="B592" s="152" t="s">
        <v>781</v>
      </c>
      <c r="C592" s="159" t="n">
        <v>0.03</v>
      </c>
      <c r="D592" s="154" t="s">
        <v>103</v>
      </c>
      <c r="E592" s="153"/>
      <c r="F592" s="154"/>
      <c r="G592" s="152" t="s">
        <v>195</v>
      </c>
      <c r="H592" s="152" t="s">
        <v>131</v>
      </c>
      <c r="I592" s="152"/>
    </row>
    <row r="593" customFormat="false" ht="16.5" hidden="false" customHeight="true" outlineLevel="0" collapsed="false">
      <c r="A593" s="151" t="n">
        <v>45715</v>
      </c>
      <c r="B593" s="152" t="s">
        <v>782</v>
      </c>
      <c r="C593" s="159" t="n">
        <v>-0.06</v>
      </c>
      <c r="D593" s="154" t="s">
        <v>103</v>
      </c>
      <c r="E593" s="153"/>
      <c r="F593" s="154"/>
      <c r="G593" s="152" t="s">
        <v>204</v>
      </c>
      <c r="H593" s="152" t="s">
        <v>131</v>
      </c>
      <c r="I593" s="152"/>
    </row>
    <row r="594" customFormat="false" ht="16.5" hidden="false" customHeight="true" outlineLevel="0" collapsed="false">
      <c r="A594" s="151" t="n">
        <v>45724</v>
      </c>
      <c r="B594" s="152" t="s">
        <v>60</v>
      </c>
      <c r="C594" s="159" t="n">
        <v>2.34</v>
      </c>
      <c r="D594" s="154" t="s">
        <v>103</v>
      </c>
      <c r="E594" s="153"/>
      <c r="F594" s="154"/>
      <c r="G594" s="152" t="s">
        <v>315</v>
      </c>
      <c r="H594" s="152" t="s">
        <v>102</v>
      </c>
      <c r="I594" s="152"/>
    </row>
    <row r="595" customFormat="false" ht="16.5" hidden="false" customHeight="true" outlineLevel="0" collapsed="false">
      <c r="A595" s="151" t="n">
        <v>45724</v>
      </c>
      <c r="B595" s="152" t="s">
        <v>60</v>
      </c>
      <c r="C595" s="159" t="n">
        <v>97.74</v>
      </c>
      <c r="D595" s="154" t="s">
        <v>103</v>
      </c>
      <c r="E595" s="153"/>
      <c r="F595" s="154"/>
      <c r="G595" s="152" t="s">
        <v>315</v>
      </c>
      <c r="H595" s="152" t="s">
        <v>131</v>
      </c>
      <c r="I595" s="152"/>
    </row>
    <row r="596" customFormat="false" ht="16.5" hidden="false" customHeight="true" outlineLevel="0" collapsed="false">
      <c r="A596" s="151" t="n">
        <v>45724</v>
      </c>
      <c r="B596" s="152" t="s">
        <v>60</v>
      </c>
      <c r="C596" s="153" t="n">
        <v>21959.03</v>
      </c>
      <c r="D596" s="154" t="s">
        <v>97</v>
      </c>
      <c r="E596" s="153"/>
      <c r="F596" s="154"/>
      <c r="G596" s="152" t="s">
        <v>315</v>
      </c>
      <c r="H596" s="152" t="s">
        <v>96</v>
      </c>
      <c r="I596" s="152"/>
    </row>
    <row r="597" customFormat="false" ht="16.5" hidden="false" customHeight="true" outlineLevel="0" collapsed="false">
      <c r="A597" s="151" t="n">
        <v>45724</v>
      </c>
      <c r="B597" s="152" t="s">
        <v>60</v>
      </c>
      <c r="C597" s="153" t="n">
        <v>17288.53</v>
      </c>
      <c r="D597" s="154" t="s">
        <v>97</v>
      </c>
      <c r="E597" s="153"/>
      <c r="F597" s="154"/>
      <c r="G597" s="152" t="s">
        <v>315</v>
      </c>
      <c r="H597" s="152" t="s">
        <v>98</v>
      </c>
      <c r="I597" s="152"/>
    </row>
    <row r="598" customFormat="false" ht="16.5" hidden="false" customHeight="true" outlineLevel="0" collapsed="false">
      <c r="A598" s="151" t="n">
        <v>45724</v>
      </c>
      <c r="B598" s="152" t="s">
        <v>60</v>
      </c>
      <c r="C598" s="153" t="n">
        <v>17179.08</v>
      </c>
      <c r="D598" s="154" t="s">
        <v>97</v>
      </c>
      <c r="E598" s="153"/>
      <c r="F598" s="154"/>
      <c r="G598" s="152" t="s">
        <v>315</v>
      </c>
      <c r="H598" s="152" t="s">
        <v>99</v>
      </c>
      <c r="I598" s="152"/>
    </row>
    <row r="599" customFormat="false" ht="16.5" hidden="false" customHeight="true" outlineLevel="0" collapsed="false">
      <c r="A599" s="151" t="n">
        <v>45724</v>
      </c>
      <c r="B599" s="152" t="s">
        <v>60</v>
      </c>
      <c r="C599" s="153" t="n">
        <v>9951.39</v>
      </c>
      <c r="D599" s="154" t="s">
        <v>97</v>
      </c>
      <c r="E599" s="153"/>
      <c r="F599" s="154"/>
      <c r="G599" s="152" t="s">
        <v>315</v>
      </c>
      <c r="H599" s="152" t="s">
        <v>100</v>
      </c>
      <c r="I599" s="152"/>
    </row>
    <row r="600" customFormat="false" ht="16.5" hidden="false" customHeight="true" outlineLevel="0" collapsed="false">
      <c r="A600" s="151" t="n">
        <v>45724</v>
      </c>
      <c r="B600" s="152" t="s">
        <v>60</v>
      </c>
      <c r="C600" s="153" t="n">
        <v>1892</v>
      </c>
      <c r="D600" s="154" t="s">
        <v>97</v>
      </c>
      <c r="E600" s="153"/>
      <c r="F600" s="154"/>
      <c r="G600" s="152" t="s">
        <v>315</v>
      </c>
      <c r="H600" s="152" t="s">
        <v>101</v>
      </c>
      <c r="I600" s="152"/>
    </row>
    <row r="601" customFormat="false" ht="16.5" hidden="false" customHeight="true" outlineLevel="0" collapsed="false">
      <c r="A601" s="151" t="n">
        <v>45733</v>
      </c>
      <c r="B601" s="152" t="s">
        <v>783</v>
      </c>
      <c r="C601" s="153" t="n">
        <v>19.52</v>
      </c>
      <c r="D601" s="154" t="s">
        <v>97</v>
      </c>
      <c r="E601" s="153"/>
      <c r="F601" s="154"/>
      <c r="G601" s="152" t="s">
        <v>199</v>
      </c>
      <c r="H601" s="152" t="s">
        <v>122</v>
      </c>
      <c r="I601" s="152"/>
    </row>
    <row r="602" customFormat="false" ht="16.5" hidden="false" customHeight="true" outlineLevel="0" collapsed="false">
      <c r="A602" s="151" t="n">
        <v>45735</v>
      </c>
      <c r="B602" s="152" t="s">
        <v>60</v>
      </c>
      <c r="C602" s="153" t="n">
        <v>68.35</v>
      </c>
      <c r="D602" s="154" t="s">
        <v>97</v>
      </c>
      <c r="E602" s="153"/>
      <c r="F602" s="154"/>
      <c r="G602" s="152" t="s">
        <v>315</v>
      </c>
      <c r="H602" s="152" t="s">
        <v>122</v>
      </c>
      <c r="I602" s="152"/>
    </row>
    <row r="603" customFormat="false" ht="16.5" hidden="false" customHeight="true" outlineLevel="0" collapsed="false">
      <c r="A603" s="151" t="n">
        <v>45735</v>
      </c>
      <c r="B603" s="152"/>
      <c r="C603" s="153" t="n">
        <v>-1999.92</v>
      </c>
      <c r="D603" s="154" t="s">
        <v>97</v>
      </c>
      <c r="E603" s="153"/>
      <c r="F603" s="154" t="s">
        <v>784</v>
      </c>
      <c r="G603" s="152" t="s">
        <v>190</v>
      </c>
      <c r="H603" s="152" t="s">
        <v>109</v>
      </c>
      <c r="I603" s="152"/>
    </row>
    <row r="604" customFormat="false" ht="16.5" hidden="false" customHeight="true" outlineLevel="0" collapsed="false">
      <c r="A604" s="151" t="n">
        <v>45735</v>
      </c>
      <c r="B604" s="152"/>
      <c r="C604" s="153" t="n">
        <v>1999.92</v>
      </c>
      <c r="D604" s="154" t="s">
        <v>97</v>
      </c>
      <c r="E604" s="153"/>
      <c r="F604" s="154" t="s">
        <v>784</v>
      </c>
      <c r="G604" s="152" t="s">
        <v>190</v>
      </c>
      <c r="H604" s="152" t="s">
        <v>105</v>
      </c>
      <c r="I604" s="152"/>
    </row>
    <row r="605" customFormat="false" ht="16.5" hidden="false" customHeight="true" outlineLevel="0" collapsed="false">
      <c r="A605" s="151" t="n">
        <v>45736</v>
      </c>
      <c r="B605" s="152"/>
      <c r="C605" s="153" t="n">
        <v>-998.9</v>
      </c>
      <c r="D605" s="154" t="s">
        <v>97</v>
      </c>
      <c r="E605" s="153"/>
      <c r="F605" s="154" t="s">
        <v>785</v>
      </c>
      <c r="G605" s="152" t="s">
        <v>190</v>
      </c>
      <c r="H605" s="152" t="s">
        <v>105</v>
      </c>
      <c r="I605" s="152"/>
    </row>
    <row r="606" customFormat="false" ht="16.5" hidden="false" customHeight="true" outlineLevel="0" collapsed="false">
      <c r="A606" s="151" t="n">
        <v>45736</v>
      </c>
      <c r="B606" s="152" t="s">
        <v>60</v>
      </c>
      <c r="C606" s="153" t="n">
        <v>1001.02</v>
      </c>
      <c r="D606" s="154" t="s">
        <v>97</v>
      </c>
      <c r="E606" s="153"/>
      <c r="F606" s="154"/>
      <c r="G606" s="152" t="s">
        <v>315</v>
      </c>
      <c r="H606" s="152" t="s">
        <v>105</v>
      </c>
      <c r="I606" s="152"/>
    </row>
    <row r="607" customFormat="false" ht="16.5" hidden="false" customHeight="true" outlineLevel="0" collapsed="false">
      <c r="A607" s="151" t="n">
        <v>45735</v>
      </c>
      <c r="B607" s="152" t="s">
        <v>60</v>
      </c>
      <c r="C607" s="153" t="n">
        <v>1000.08</v>
      </c>
      <c r="D607" s="154" t="s">
        <v>97</v>
      </c>
      <c r="E607" s="153"/>
      <c r="F607" s="154"/>
      <c r="G607" s="152" t="s">
        <v>315</v>
      </c>
      <c r="H607" s="152" t="s">
        <v>109</v>
      </c>
      <c r="I607" s="152"/>
    </row>
    <row r="608" customFormat="false" ht="16.5" hidden="false" customHeight="true" outlineLevel="0" collapsed="false">
      <c r="A608" s="151" t="n">
        <v>45735</v>
      </c>
      <c r="B608" s="152"/>
      <c r="C608" s="153" t="n">
        <v>998.9</v>
      </c>
      <c r="D608" s="154" t="s">
        <v>97</v>
      </c>
      <c r="E608" s="153"/>
      <c r="F608" s="154" t="s">
        <v>786</v>
      </c>
      <c r="G608" s="152" t="s">
        <v>190</v>
      </c>
      <c r="H608" s="152" t="s">
        <v>117</v>
      </c>
      <c r="I608" s="152"/>
    </row>
    <row r="609" customFormat="false" ht="16.5" hidden="false" customHeight="true" outlineLevel="0" collapsed="false">
      <c r="A609" s="151" t="n">
        <v>45735</v>
      </c>
      <c r="B609" s="152" t="s">
        <v>60</v>
      </c>
      <c r="C609" s="153" t="n">
        <v>1498.17</v>
      </c>
      <c r="D609" s="154" t="s">
        <v>97</v>
      </c>
      <c r="E609" s="153"/>
      <c r="F609" s="154"/>
      <c r="G609" s="152" t="s">
        <v>315</v>
      </c>
      <c r="H609" s="152" t="s">
        <v>117</v>
      </c>
      <c r="I609" s="152"/>
    </row>
    <row r="610" customFormat="false" ht="16.5" hidden="false" customHeight="true" outlineLevel="0" collapsed="false">
      <c r="A610" s="151" t="n">
        <v>45735</v>
      </c>
      <c r="B610" s="152"/>
      <c r="C610" s="153" t="n">
        <v>-498.34</v>
      </c>
      <c r="D610" s="154" t="s">
        <v>97</v>
      </c>
      <c r="E610" s="153" t="n">
        <v>-498.34</v>
      </c>
      <c r="F610" s="154" t="s">
        <v>787</v>
      </c>
      <c r="G610" s="152" t="s">
        <v>188</v>
      </c>
      <c r="H610" s="152" t="s">
        <v>117</v>
      </c>
      <c r="I610" s="152"/>
    </row>
    <row r="611" customFormat="false" ht="16.5" hidden="false" customHeight="true" outlineLevel="0" collapsed="false">
      <c r="A611" s="151" t="n">
        <v>45735</v>
      </c>
      <c r="B611" s="152"/>
      <c r="C611" s="161" t="n">
        <v>724.77</v>
      </c>
      <c r="D611" s="154" t="s">
        <v>128</v>
      </c>
      <c r="E611" s="153" t="n">
        <v>498.34</v>
      </c>
      <c r="F611" s="154" t="s">
        <v>787</v>
      </c>
      <c r="G611" s="152" t="s">
        <v>188</v>
      </c>
      <c r="H611" s="152" t="s">
        <v>127</v>
      </c>
      <c r="I611" s="152"/>
    </row>
    <row r="612" customFormat="false" ht="16.5" hidden="false" customHeight="true" outlineLevel="0" collapsed="false">
      <c r="A612" s="151" t="n">
        <v>45735</v>
      </c>
      <c r="B612" s="152" t="s">
        <v>60</v>
      </c>
      <c r="C612" s="161" t="n">
        <v>1696.63</v>
      </c>
      <c r="D612" s="154" t="s">
        <v>128</v>
      </c>
      <c r="E612" s="153"/>
      <c r="F612" s="154"/>
      <c r="G612" s="152" t="s">
        <v>315</v>
      </c>
      <c r="H612" s="152" t="s">
        <v>127</v>
      </c>
      <c r="I612" s="152"/>
    </row>
    <row r="613" customFormat="false" ht="16.5" hidden="false" customHeight="true" outlineLevel="0" collapsed="false">
      <c r="A613" s="151" t="n">
        <v>45736</v>
      </c>
      <c r="B613" s="152" t="s">
        <v>60</v>
      </c>
      <c r="C613" s="153" t="n">
        <v>998.17</v>
      </c>
      <c r="D613" s="154" t="s">
        <v>97</v>
      </c>
      <c r="E613" s="153"/>
      <c r="F613" s="154"/>
      <c r="G613" s="152" t="s">
        <v>315</v>
      </c>
      <c r="H613" s="152" t="s">
        <v>117</v>
      </c>
      <c r="I613" s="152"/>
    </row>
    <row r="614" customFormat="false" ht="16.5" hidden="false" customHeight="true" outlineLevel="0" collapsed="false">
      <c r="A614" s="151" t="n">
        <v>45736</v>
      </c>
      <c r="B614" s="152" t="s">
        <v>788</v>
      </c>
      <c r="C614" s="153" t="n">
        <v>63.14</v>
      </c>
      <c r="D614" s="154" t="s">
        <v>97</v>
      </c>
      <c r="E614" s="153"/>
      <c r="F614" s="154" t="s">
        <v>789</v>
      </c>
      <c r="G614" s="152" t="s">
        <v>191</v>
      </c>
      <c r="H614" s="152" t="s">
        <v>101</v>
      </c>
      <c r="I614" s="152"/>
    </row>
    <row r="615" customFormat="false" ht="16.5" hidden="false" customHeight="true" outlineLevel="0" collapsed="false">
      <c r="A615" s="151" t="n">
        <v>45736</v>
      </c>
      <c r="B615" s="152" t="s">
        <v>790</v>
      </c>
      <c r="C615" s="153" t="n">
        <v>-0.4</v>
      </c>
      <c r="D615" s="154" t="s">
        <v>97</v>
      </c>
      <c r="E615" s="153"/>
      <c r="F615" s="154" t="s">
        <v>789</v>
      </c>
      <c r="G615" s="152" t="s">
        <v>204</v>
      </c>
      <c r="H615" s="152" t="s">
        <v>121</v>
      </c>
      <c r="I615" s="152"/>
    </row>
    <row r="616" customFormat="false" ht="16.5" hidden="false" customHeight="true" outlineLevel="0" collapsed="false">
      <c r="A616" s="151" t="n">
        <v>45736</v>
      </c>
      <c r="B616" s="152" t="s">
        <v>791</v>
      </c>
      <c r="C616" s="153" t="n">
        <v>-0.19</v>
      </c>
      <c r="D616" s="154" t="s">
        <v>97</v>
      </c>
      <c r="E616" s="153"/>
      <c r="F616" s="154" t="s">
        <v>789</v>
      </c>
      <c r="G616" s="152" t="s">
        <v>204</v>
      </c>
      <c r="H616" s="152" t="s">
        <v>121</v>
      </c>
      <c r="I616" s="152"/>
    </row>
    <row r="617" customFormat="false" ht="16.5" hidden="false" customHeight="true" outlineLevel="0" collapsed="false">
      <c r="A617" s="151" t="n">
        <v>45736</v>
      </c>
      <c r="B617" s="152" t="s">
        <v>792</v>
      </c>
      <c r="C617" s="153" t="n">
        <v>-63.14</v>
      </c>
      <c r="D617" s="154" t="s">
        <v>97</v>
      </c>
      <c r="E617" s="153"/>
      <c r="F617" s="154" t="s">
        <v>789</v>
      </c>
      <c r="G617" s="152" t="s">
        <v>191</v>
      </c>
      <c r="H617" s="152" t="s">
        <v>121</v>
      </c>
      <c r="I617" s="152"/>
    </row>
    <row r="618" customFormat="false" ht="16.5" hidden="false" customHeight="true" outlineLevel="0" collapsed="false">
      <c r="A618" s="151" t="n">
        <v>45736</v>
      </c>
      <c r="B618" s="152" t="s">
        <v>60</v>
      </c>
      <c r="C618" s="153" t="n">
        <v>1995.26</v>
      </c>
      <c r="D618" s="154" t="s">
        <v>97</v>
      </c>
      <c r="E618" s="153"/>
      <c r="F618" s="154"/>
      <c r="G618" s="152" t="s">
        <v>315</v>
      </c>
      <c r="H618" s="152" t="s">
        <v>101</v>
      </c>
      <c r="I618" s="152"/>
    </row>
    <row r="619" customFormat="false" ht="16.5" hidden="false" customHeight="true" outlineLevel="0" collapsed="false">
      <c r="A619" s="151" t="n">
        <v>45736</v>
      </c>
      <c r="B619" s="152" t="s">
        <v>60</v>
      </c>
      <c r="C619" s="153" t="n">
        <v>0.17</v>
      </c>
      <c r="D619" s="154" t="s">
        <v>97</v>
      </c>
      <c r="E619" s="153"/>
      <c r="F619" s="154"/>
      <c r="G619" s="152" t="s">
        <v>315</v>
      </c>
      <c r="H619" s="152" t="s">
        <v>121</v>
      </c>
      <c r="I619" s="152"/>
    </row>
    <row r="620" customFormat="false" ht="16.5" hidden="false" customHeight="true" outlineLevel="0" collapsed="false">
      <c r="A620" s="151" t="n">
        <v>45737</v>
      </c>
      <c r="B620" s="152" t="s">
        <v>541</v>
      </c>
      <c r="C620" s="156" t="n">
        <v>0.89212</v>
      </c>
      <c r="D620" s="154" t="s">
        <v>141</v>
      </c>
      <c r="E620" s="153" t="n">
        <v>180.12</v>
      </c>
      <c r="F620" s="154" t="s">
        <v>793</v>
      </c>
      <c r="G620" s="152" t="s">
        <v>188</v>
      </c>
      <c r="H620" s="152" t="s">
        <v>140</v>
      </c>
      <c r="I620" s="152"/>
    </row>
    <row r="621" customFormat="false" ht="16.5" hidden="false" customHeight="true" outlineLevel="0" collapsed="false">
      <c r="A621" s="151" t="n">
        <v>45737</v>
      </c>
      <c r="B621" s="152" t="s">
        <v>60</v>
      </c>
      <c r="C621" s="156" t="n">
        <v>16.4274</v>
      </c>
      <c r="D621" s="154" t="s">
        <v>141</v>
      </c>
      <c r="E621" s="153"/>
      <c r="F621" s="154"/>
      <c r="G621" s="152" t="s">
        <v>315</v>
      </c>
      <c r="H621" s="152" t="s">
        <v>140</v>
      </c>
      <c r="I621" s="152"/>
    </row>
    <row r="622" customFormat="false" ht="16.5" hidden="false" customHeight="true" outlineLevel="0" collapsed="false">
      <c r="A622" s="151" t="n">
        <v>45736</v>
      </c>
      <c r="B622" s="152" t="s">
        <v>794</v>
      </c>
      <c r="C622" s="153" t="n">
        <v>998.9</v>
      </c>
      <c r="D622" s="154" t="s">
        <v>97</v>
      </c>
      <c r="E622" s="153"/>
      <c r="F622" s="154" t="s">
        <v>785</v>
      </c>
      <c r="G622" s="152" t="s">
        <v>190</v>
      </c>
      <c r="H622" s="152" t="s">
        <v>106</v>
      </c>
      <c r="I622" s="152"/>
    </row>
    <row r="623" customFormat="false" ht="16.5" hidden="false" customHeight="true" outlineLevel="0" collapsed="false">
      <c r="A623" s="151" t="n">
        <v>45736</v>
      </c>
      <c r="B623" s="152" t="s">
        <v>795</v>
      </c>
      <c r="C623" s="153" t="n">
        <v>-180.12</v>
      </c>
      <c r="D623" s="154" t="s">
        <v>97</v>
      </c>
      <c r="E623" s="153" t="n">
        <v>-180.12</v>
      </c>
      <c r="F623" s="154" t="s">
        <v>793</v>
      </c>
      <c r="G623" s="152" t="s">
        <v>188</v>
      </c>
      <c r="H623" s="152" t="s">
        <v>106</v>
      </c>
      <c r="I623" s="152"/>
    </row>
    <row r="624" customFormat="false" ht="16.5" hidden="false" customHeight="true" outlineLevel="0" collapsed="false">
      <c r="A624" s="151" t="n">
        <v>45736</v>
      </c>
      <c r="B624" s="152" t="s">
        <v>796</v>
      </c>
      <c r="C624" s="153" t="n">
        <v>-4.21</v>
      </c>
      <c r="D624" s="154" t="s">
        <v>97</v>
      </c>
      <c r="E624" s="153"/>
      <c r="F624" s="154"/>
      <c r="G624" s="152" t="s">
        <v>221</v>
      </c>
      <c r="H624" s="152" t="s">
        <v>106</v>
      </c>
      <c r="I624" s="152"/>
    </row>
    <row r="625" customFormat="false" ht="16.5" hidden="false" customHeight="true" outlineLevel="0" collapsed="false">
      <c r="A625" s="151" t="n">
        <v>45735</v>
      </c>
      <c r="B625" s="152" t="s">
        <v>797</v>
      </c>
      <c r="C625" s="153" t="n">
        <v>-998.9</v>
      </c>
      <c r="D625" s="154" t="s">
        <v>97</v>
      </c>
      <c r="E625" s="153"/>
      <c r="F625" s="154" t="s">
        <v>786</v>
      </c>
      <c r="G625" s="152" t="s">
        <v>190</v>
      </c>
      <c r="H625" s="152" t="s">
        <v>106</v>
      </c>
      <c r="I625" s="152"/>
    </row>
    <row r="626" customFormat="false" ht="16.5" hidden="false" customHeight="true" outlineLevel="0" collapsed="false">
      <c r="A626" s="151" t="n">
        <v>45735</v>
      </c>
      <c r="B626" s="152" t="s">
        <v>798</v>
      </c>
      <c r="C626" s="153" t="n">
        <v>1.83</v>
      </c>
      <c r="D626" s="154" t="s">
        <v>97</v>
      </c>
      <c r="E626" s="153"/>
      <c r="F626" s="154"/>
      <c r="G626" s="152" t="s">
        <v>197</v>
      </c>
      <c r="H626" s="152" t="s">
        <v>106</v>
      </c>
      <c r="I626" s="152"/>
    </row>
    <row r="627" customFormat="false" ht="16.5" hidden="false" customHeight="true" outlineLevel="0" collapsed="false">
      <c r="A627" s="151" t="n">
        <v>45734</v>
      </c>
      <c r="B627" s="152" t="s">
        <v>799</v>
      </c>
      <c r="C627" s="153" t="n">
        <v>-9.57</v>
      </c>
      <c r="D627" s="154" t="s">
        <v>97</v>
      </c>
      <c r="E627" s="153"/>
      <c r="F627" s="154"/>
      <c r="G627" s="152" t="s">
        <v>207</v>
      </c>
      <c r="H627" s="152" t="s">
        <v>106</v>
      </c>
      <c r="I627" s="152"/>
    </row>
    <row r="628" customFormat="false" ht="16.5" hidden="false" customHeight="true" outlineLevel="0" collapsed="false">
      <c r="A628" s="151" t="n">
        <v>45734</v>
      </c>
      <c r="B628" s="152" t="s">
        <v>800</v>
      </c>
      <c r="C628" s="153" t="n">
        <v>-8.83</v>
      </c>
      <c r="D628" s="154" t="s">
        <v>97</v>
      </c>
      <c r="E628" s="153"/>
      <c r="F628" s="154"/>
      <c r="G628" s="152" t="s">
        <v>207</v>
      </c>
      <c r="H628" s="152" t="s">
        <v>106</v>
      </c>
      <c r="I628" s="152"/>
    </row>
    <row r="629" customFormat="false" ht="16.5" hidden="false" customHeight="true" outlineLevel="0" collapsed="false">
      <c r="A629" s="151" t="n">
        <v>45733</v>
      </c>
      <c r="B629" s="152" t="s">
        <v>801</v>
      </c>
      <c r="C629" s="153" t="n">
        <v>-66.16</v>
      </c>
      <c r="D629" s="154" t="s">
        <v>97</v>
      </c>
      <c r="E629" s="153"/>
      <c r="F629" s="154"/>
      <c r="G629" s="152" t="s">
        <v>208</v>
      </c>
      <c r="H629" s="152" t="s">
        <v>106</v>
      </c>
      <c r="I629" s="152"/>
    </row>
    <row r="630" customFormat="false" ht="16.5" hidden="false" customHeight="true" outlineLevel="0" collapsed="false">
      <c r="A630" s="151" t="n">
        <v>45733</v>
      </c>
      <c r="B630" s="152" t="s">
        <v>802</v>
      </c>
      <c r="C630" s="153" t="n">
        <v>-28.27</v>
      </c>
      <c r="D630" s="154" t="s">
        <v>97</v>
      </c>
      <c r="E630" s="153"/>
      <c r="F630" s="154"/>
      <c r="G630" s="152" t="s">
        <v>197</v>
      </c>
      <c r="H630" s="152" t="s">
        <v>106</v>
      </c>
      <c r="I630" s="152"/>
    </row>
    <row r="631" customFormat="false" ht="16.5" hidden="false" customHeight="true" outlineLevel="0" collapsed="false">
      <c r="A631" s="151" t="n">
        <v>45733</v>
      </c>
      <c r="B631" s="152" t="s">
        <v>803</v>
      </c>
      <c r="C631" s="153" t="n">
        <v>-20</v>
      </c>
      <c r="D631" s="154" t="s">
        <v>97</v>
      </c>
      <c r="E631" s="153"/>
      <c r="F631" s="154"/>
      <c r="G631" s="152" t="s">
        <v>171</v>
      </c>
      <c r="H631" s="152" t="s">
        <v>106</v>
      </c>
      <c r="I631" s="152"/>
    </row>
    <row r="632" customFormat="false" ht="16.5" hidden="false" customHeight="true" outlineLevel="0" collapsed="false">
      <c r="A632" s="151" t="n">
        <v>45733</v>
      </c>
      <c r="B632" s="152" t="s">
        <v>804</v>
      </c>
      <c r="C632" s="153" t="n">
        <v>-8.58</v>
      </c>
      <c r="D632" s="154" t="s">
        <v>97</v>
      </c>
      <c r="E632" s="153"/>
      <c r="F632" s="154"/>
      <c r="G632" s="152" t="s">
        <v>217</v>
      </c>
      <c r="H632" s="152" t="s">
        <v>106</v>
      </c>
      <c r="I632" s="152"/>
    </row>
    <row r="633" customFormat="false" ht="16.5" hidden="false" customHeight="true" outlineLevel="0" collapsed="false">
      <c r="A633" s="151" t="n">
        <v>45726</v>
      </c>
      <c r="B633" s="152" t="s">
        <v>805</v>
      </c>
      <c r="C633" s="153" t="n">
        <v>-48.87</v>
      </c>
      <c r="D633" s="154" t="s">
        <v>97</v>
      </c>
      <c r="E633" s="153"/>
      <c r="F633" s="154"/>
      <c r="G633" s="152" t="s">
        <v>203</v>
      </c>
      <c r="H633" s="152" t="s">
        <v>106</v>
      </c>
      <c r="I633" s="152"/>
    </row>
    <row r="634" customFormat="false" ht="16.5" hidden="false" customHeight="true" outlineLevel="0" collapsed="false">
      <c r="A634" s="151" t="n">
        <v>45726</v>
      </c>
      <c r="B634" s="152" t="s">
        <v>806</v>
      </c>
      <c r="C634" s="153" t="n">
        <v>-15.53</v>
      </c>
      <c r="D634" s="154" t="s">
        <v>97</v>
      </c>
      <c r="E634" s="153"/>
      <c r="F634" s="154"/>
      <c r="G634" s="152" t="s">
        <v>212</v>
      </c>
      <c r="H634" s="152" t="s">
        <v>106</v>
      </c>
      <c r="I634" s="152"/>
    </row>
    <row r="635" customFormat="false" ht="16.5" hidden="false" customHeight="true" outlineLevel="0" collapsed="false">
      <c r="A635" s="151" t="n">
        <v>45726</v>
      </c>
      <c r="B635" s="152" t="s">
        <v>807</v>
      </c>
      <c r="C635" s="153" t="n">
        <v>-5.39</v>
      </c>
      <c r="D635" s="154" t="s">
        <v>97</v>
      </c>
      <c r="E635" s="153"/>
      <c r="F635" s="154"/>
      <c r="G635" s="152" t="s">
        <v>218</v>
      </c>
      <c r="H635" s="152" t="s">
        <v>106</v>
      </c>
      <c r="I635" s="152"/>
    </row>
    <row r="636" customFormat="false" ht="16.5" hidden="false" customHeight="true" outlineLevel="0" collapsed="false">
      <c r="A636" s="151" t="n">
        <v>45726</v>
      </c>
      <c r="B636" s="152" t="s">
        <v>808</v>
      </c>
      <c r="C636" s="153" t="n">
        <v>37.92</v>
      </c>
      <c r="D636" s="154" t="s">
        <v>97</v>
      </c>
      <c r="E636" s="153"/>
      <c r="F636" s="154"/>
      <c r="G636" s="152" t="s">
        <v>171</v>
      </c>
      <c r="H636" s="152" t="s">
        <v>106</v>
      </c>
      <c r="I636" s="152"/>
    </row>
    <row r="637" customFormat="false" ht="16.5" hidden="false" customHeight="true" outlineLevel="0" collapsed="false">
      <c r="A637" s="151" t="n">
        <v>45723</v>
      </c>
      <c r="B637" s="152" t="s">
        <v>809</v>
      </c>
      <c r="C637" s="153" t="n">
        <v>242.67</v>
      </c>
      <c r="D637" s="154" t="s">
        <v>97</v>
      </c>
      <c r="E637" s="153"/>
      <c r="F637" s="154"/>
      <c r="G637" s="152" t="s">
        <v>198</v>
      </c>
      <c r="H637" s="152" t="s">
        <v>106</v>
      </c>
      <c r="I637" s="152"/>
    </row>
    <row r="638" customFormat="false" ht="16.5" hidden="false" customHeight="true" outlineLevel="0" collapsed="false">
      <c r="A638" s="151" t="n">
        <v>45723</v>
      </c>
      <c r="B638" s="152" t="s">
        <v>810</v>
      </c>
      <c r="C638" s="153" t="n">
        <v>264.03</v>
      </c>
      <c r="D638" s="154" t="s">
        <v>97</v>
      </c>
      <c r="E638" s="153"/>
      <c r="F638" s="154"/>
      <c r="G638" s="152" t="s">
        <v>215</v>
      </c>
      <c r="H638" s="152" t="s">
        <v>106</v>
      </c>
      <c r="I638" s="152"/>
    </row>
    <row r="639" customFormat="false" ht="16.5" hidden="false" customHeight="true" outlineLevel="0" collapsed="false">
      <c r="A639" s="151" t="n">
        <v>45721</v>
      </c>
      <c r="B639" s="152" t="s">
        <v>811</v>
      </c>
      <c r="C639" s="153" t="n">
        <v>9980.37</v>
      </c>
      <c r="D639" s="154" t="s">
        <v>97</v>
      </c>
      <c r="E639" s="153"/>
      <c r="F639" s="154" t="s">
        <v>773</v>
      </c>
      <c r="G639" s="152" t="s">
        <v>190</v>
      </c>
      <c r="H639" s="152" t="s">
        <v>106</v>
      </c>
      <c r="I639" s="152"/>
    </row>
    <row r="640" customFormat="false" ht="16.5" hidden="false" customHeight="true" outlineLevel="0" collapsed="false">
      <c r="A640" s="151" t="n">
        <v>45721</v>
      </c>
      <c r="B640" s="152" t="s">
        <v>812</v>
      </c>
      <c r="C640" s="153" t="n">
        <v>-6000.87</v>
      </c>
      <c r="D640" s="154" t="s">
        <v>97</v>
      </c>
      <c r="E640" s="153"/>
      <c r="F640" s="154" t="s">
        <v>813</v>
      </c>
      <c r="G640" s="152" t="s">
        <v>190</v>
      </c>
      <c r="H640" s="152" t="s">
        <v>106</v>
      </c>
      <c r="I640" s="152"/>
    </row>
    <row r="641" customFormat="false" ht="16.5" hidden="false" customHeight="true" outlineLevel="0" collapsed="false">
      <c r="A641" s="151" t="n">
        <v>45721</v>
      </c>
      <c r="B641" s="152" t="s">
        <v>814</v>
      </c>
      <c r="C641" s="153" t="n">
        <v>-4005.33</v>
      </c>
      <c r="D641" s="154" t="s">
        <v>97</v>
      </c>
      <c r="E641" s="153"/>
      <c r="F641" s="154" t="s">
        <v>815</v>
      </c>
      <c r="G641" s="152" t="s">
        <v>190</v>
      </c>
      <c r="H641" s="152" t="s">
        <v>106</v>
      </c>
      <c r="I641" s="152"/>
    </row>
    <row r="642" customFormat="false" ht="16.5" hidden="false" customHeight="true" outlineLevel="0" collapsed="false">
      <c r="A642" s="151" t="n">
        <v>45721</v>
      </c>
      <c r="B642" s="152" t="s">
        <v>816</v>
      </c>
      <c r="C642" s="153" t="n">
        <v>6000.87</v>
      </c>
      <c r="D642" s="154" t="s">
        <v>97</v>
      </c>
      <c r="E642" s="153"/>
      <c r="F642" s="154" t="s">
        <v>813</v>
      </c>
      <c r="G642" s="152" t="s">
        <v>190</v>
      </c>
      <c r="H642" s="152" t="s">
        <v>134</v>
      </c>
      <c r="I642" s="152"/>
    </row>
    <row r="643" customFormat="false" ht="16.5" hidden="false" customHeight="true" outlineLevel="0" collapsed="false">
      <c r="A643" s="151" t="n">
        <v>45721</v>
      </c>
      <c r="B643" s="152" t="s">
        <v>816</v>
      </c>
      <c r="C643" s="153" t="n">
        <v>4005.33</v>
      </c>
      <c r="D643" s="154" t="s">
        <v>97</v>
      </c>
      <c r="E643" s="153"/>
      <c r="F643" s="154" t="s">
        <v>815</v>
      </c>
      <c r="G643" s="152" t="s">
        <v>190</v>
      </c>
      <c r="H643" s="152" t="s">
        <v>134</v>
      </c>
      <c r="I643" s="152"/>
    </row>
    <row r="644" customFormat="false" ht="16.5" hidden="false" customHeight="true" outlineLevel="0" collapsed="false">
      <c r="A644" s="151" t="n">
        <v>45721</v>
      </c>
      <c r="B644" s="152" t="s">
        <v>60</v>
      </c>
      <c r="C644" s="153" t="n">
        <v>10000</v>
      </c>
      <c r="D644" s="154" t="s">
        <v>97</v>
      </c>
      <c r="E644" s="153"/>
      <c r="F644" s="154"/>
      <c r="G644" s="152" t="s">
        <v>315</v>
      </c>
      <c r="H644" s="152" t="s">
        <v>134</v>
      </c>
      <c r="I644" s="152"/>
    </row>
    <row r="645" customFormat="false" ht="16.5" hidden="false" customHeight="true" outlineLevel="0" collapsed="false">
      <c r="A645" s="151" t="n">
        <v>45721</v>
      </c>
      <c r="B645" s="152" t="s">
        <v>817</v>
      </c>
      <c r="C645" s="153" t="n">
        <v>-45.63</v>
      </c>
      <c r="D645" s="154" t="s">
        <v>97</v>
      </c>
      <c r="E645" s="153"/>
      <c r="F645" s="154"/>
      <c r="G645" s="152" t="s">
        <v>197</v>
      </c>
      <c r="H645" s="152" t="s">
        <v>106</v>
      </c>
      <c r="I645" s="152"/>
    </row>
    <row r="646" customFormat="false" ht="16.5" hidden="false" customHeight="true" outlineLevel="0" collapsed="false">
      <c r="A646" s="151" t="n">
        <v>45721</v>
      </c>
      <c r="B646" s="152" t="s">
        <v>818</v>
      </c>
      <c r="C646" s="153" t="n">
        <v>-0.84</v>
      </c>
      <c r="D646" s="154" t="s">
        <v>97</v>
      </c>
      <c r="E646" s="153"/>
      <c r="F646" s="154"/>
      <c r="G646" s="152" t="s">
        <v>222</v>
      </c>
      <c r="H646" s="152" t="s">
        <v>106</v>
      </c>
      <c r="I646" s="152"/>
    </row>
    <row r="647" customFormat="false" ht="16.5" hidden="false" customHeight="true" outlineLevel="0" collapsed="false">
      <c r="A647" s="151" t="n">
        <v>45721</v>
      </c>
      <c r="B647" s="152" t="s">
        <v>819</v>
      </c>
      <c r="C647" s="153" t="n">
        <v>99.97</v>
      </c>
      <c r="D647" s="154" t="s">
        <v>97</v>
      </c>
      <c r="E647" s="153"/>
      <c r="F647" s="154" t="s">
        <v>820</v>
      </c>
      <c r="G647" s="152" t="s">
        <v>190</v>
      </c>
      <c r="H647" s="152" t="s">
        <v>106</v>
      </c>
      <c r="I647" s="152"/>
    </row>
    <row r="648" customFormat="false" ht="16.5" hidden="false" customHeight="true" outlineLevel="0" collapsed="false">
      <c r="A648" s="151" t="n">
        <v>45739</v>
      </c>
      <c r="B648" s="152" t="s">
        <v>60</v>
      </c>
      <c r="C648" s="153" t="n">
        <v>4721.49</v>
      </c>
      <c r="D648" s="154" t="s">
        <v>97</v>
      </c>
      <c r="E648" s="153"/>
      <c r="F648" s="154"/>
      <c r="G648" s="152" t="s">
        <v>821</v>
      </c>
      <c r="H648" s="152" t="s">
        <v>106</v>
      </c>
      <c r="I648" s="152"/>
    </row>
    <row r="649" customFormat="false" ht="16.5" hidden="false" customHeight="true" outlineLevel="0" collapsed="false">
      <c r="A649" s="151" t="n">
        <v>45721</v>
      </c>
      <c r="B649" s="152"/>
      <c r="C649" s="153" t="n">
        <v>-99.97</v>
      </c>
      <c r="D649" s="154" t="s">
        <v>97</v>
      </c>
      <c r="E649" s="153"/>
      <c r="F649" s="154" t="s">
        <v>820</v>
      </c>
      <c r="G649" s="152" t="s">
        <v>190</v>
      </c>
      <c r="H649" s="152" t="s">
        <v>133</v>
      </c>
      <c r="I649" s="152"/>
    </row>
    <row r="650" customFormat="false" ht="16.5" hidden="false" customHeight="true" outlineLevel="0" collapsed="false">
      <c r="A650" s="151" t="n">
        <v>45721</v>
      </c>
      <c r="B650" s="152" t="s">
        <v>60</v>
      </c>
      <c r="C650" s="153" t="n">
        <v>9000.09</v>
      </c>
      <c r="D650" s="154" t="s">
        <v>97</v>
      </c>
      <c r="E650" s="153"/>
      <c r="F650" s="154"/>
      <c r="G650" s="152" t="s">
        <v>821</v>
      </c>
      <c r="H650" s="152" t="s">
        <v>133</v>
      </c>
      <c r="I650" s="152"/>
    </row>
    <row r="651" customFormat="false" ht="16.5" hidden="false" customHeight="true" outlineLevel="0" collapsed="false">
      <c r="A651" s="151" t="n">
        <v>45739</v>
      </c>
      <c r="B651" s="152" t="s">
        <v>822</v>
      </c>
      <c r="C651" s="153" t="n">
        <v>-998.9</v>
      </c>
      <c r="D651" s="154" t="s">
        <v>97</v>
      </c>
      <c r="E651" s="153"/>
      <c r="F651" s="154" t="s">
        <v>823</v>
      </c>
      <c r="G651" s="152" t="s">
        <v>190</v>
      </c>
      <c r="H651" s="152" t="s">
        <v>105</v>
      </c>
      <c r="I651" s="152"/>
    </row>
    <row r="652" customFormat="false" ht="16.5" hidden="false" customHeight="true" outlineLevel="0" collapsed="false">
      <c r="A652" s="151" t="n">
        <v>45739</v>
      </c>
      <c r="B652" s="152" t="s">
        <v>60</v>
      </c>
      <c r="C652" s="153" t="n">
        <v>2.12</v>
      </c>
      <c r="D652" s="154" t="s">
        <v>97</v>
      </c>
      <c r="E652" s="153"/>
      <c r="F652" s="154"/>
      <c r="G652" s="152" t="s">
        <v>821</v>
      </c>
      <c r="H652" s="152" t="s">
        <v>105</v>
      </c>
      <c r="I652" s="152"/>
    </row>
    <row r="653" customFormat="false" ht="16.5" hidden="false" customHeight="true" outlineLevel="0" collapsed="false">
      <c r="A653" s="151" t="n">
        <v>45744</v>
      </c>
      <c r="B653" s="152" t="s">
        <v>824</v>
      </c>
      <c r="C653" s="153" t="n">
        <v>-23.16</v>
      </c>
      <c r="D653" s="154" t="s">
        <v>97</v>
      </c>
      <c r="E653" s="153"/>
      <c r="F653" s="154"/>
      <c r="G653" s="152" t="s">
        <v>202</v>
      </c>
      <c r="H653" s="152" t="s">
        <v>106</v>
      </c>
      <c r="I653" s="152"/>
    </row>
    <row r="654" customFormat="false" ht="16.5" hidden="false" customHeight="true" outlineLevel="0" collapsed="false">
      <c r="A654" s="151" t="n">
        <v>45744</v>
      </c>
      <c r="B654" s="152" t="s">
        <v>825</v>
      </c>
      <c r="C654" s="153" t="n">
        <v>-1.6</v>
      </c>
      <c r="D654" s="154" t="s">
        <v>97</v>
      </c>
      <c r="E654" s="153"/>
      <c r="F654" s="154"/>
      <c r="G654" s="152" t="s">
        <v>219</v>
      </c>
      <c r="H654" s="152" t="s">
        <v>106</v>
      </c>
      <c r="I654" s="152"/>
    </row>
    <row r="655" customFormat="false" ht="16.5" hidden="false" customHeight="true" outlineLevel="0" collapsed="false">
      <c r="A655" s="151" t="n">
        <v>45741</v>
      </c>
      <c r="B655" s="152" t="s">
        <v>826</v>
      </c>
      <c r="C655" s="153" t="n">
        <v>-1.4</v>
      </c>
      <c r="D655" s="154" t="s">
        <v>97</v>
      </c>
      <c r="E655" s="153"/>
      <c r="F655" s="154"/>
      <c r="G655" s="152" t="s">
        <v>226</v>
      </c>
      <c r="H655" s="152" t="s">
        <v>106</v>
      </c>
      <c r="I655" s="152"/>
    </row>
    <row r="656" customFormat="false" ht="16.5" hidden="false" customHeight="true" outlineLevel="0" collapsed="false">
      <c r="A656" s="151" t="n">
        <v>45740</v>
      </c>
      <c r="B656" s="152" t="s">
        <v>827</v>
      </c>
      <c r="C656" s="153" t="n">
        <v>998.9</v>
      </c>
      <c r="D656" s="154" t="s">
        <v>97</v>
      </c>
      <c r="E656" s="153"/>
      <c r="F656" s="154" t="s">
        <v>823</v>
      </c>
      <c r="G656" s="152" t="s">
        <v>190</v>
      </c>
      <c r="H656" s="152" t="s">
        <v>106</v>
      </c>
      <c r="I656" s="152"/>
    </row>
    <row r="657" customFormat="false" ht="16.5" hidden="false" customHeight="true" outlineLevel="0" collapsed="false">
      <c r="A657" s="151" t="n">
        <v>45746</v>
      </c>
      <c r="B657" s="152" t="s">
        <v>60</v>
      </c>
      <c r="C657" s="153" t="n">
        <v>4395.46</v>
      </c>
      <c r="D657" s="154" t="s">
        <v>97</v>
      </c>
      <c r="E657" s="153"/>
      <c r="F657" s="154"/>
      <c r="G657" s="152" t="s">
        <v>821</v>
      </c>
      <c r="H657" s="152" t="s">
        <v>106</v>
      </c>
      <c r="I657" s="152"/>
    </row>
    <row r="658" customFormat="false" ht="16.5" hidden="false" customHeight="true" outlineLevel="0" collapsed="false">
      <c r="A658" s="151" t="n">
        <v>45747</v>
      </c>
      <c r="B658" s="152" t="s">
        <v>828</v>
      </c>
      <c r="C658" s="153" t="n">
        <v>-0.99</v>
      </c>
      <c r="D658" s="154" t="s">
        <v>97</v>
      </c>
      <c r="E658" s="153"/>
      <c r="F658" s="154"/>
      <c r="G658" s="152" t="s">
        <v>42</v>
      </c>
      <c r="H658" s="152" t="s">
        <v>106</v>
      </c>
      <c r="I658" s="152"/>
    </row>
    <row r="659" customFormat="false" ht="16.5" hidden="false" customHeight="true" outlineLevel="0" collapsed="false">
      <c r="A659" s="151" t="n">
        <v>45747</v>
      </c>
      <c r="B659" s="152" t="s">
        <v>829</v>
      </c>
      <c r="C659" s="153" t="n">
        <v>-0.44</v>
      </c>
      <c r="D659" s="154" t="s">
        <v>97</v>
      </c>
      <c r="E659" s="153"/>
      <c r="F659" s="154"/>
      <c r="G659" s="152" t="s">
        <v>213</v>
      </c>
      <c r="H659" s="152" t="s">
        <v>106</v>
      </c>
      <c r="I659" s="152"/>
    </row>
    <row r="660" customFormat="false" ht="16.5" hidden="false" customHeight="true" outlineLevel="0" collapsed="false">
      <c r="A660" s="151" t="n">
        <v>45747</v>
      </c>
      <c r="B660" s="152" t="s">
        <v>830</v>
      </c>
      <c r="C660" s="153" t="n">
        <v>-1.23</v>
      </c>
      <c r="D660" s="154" t="s">
        <v>97</v>
      </c>
      <c r="E660" s="153"/>
      <c r="F660" s="154"/>
      <c r="G660" s="152" t="s">
        <v>168</v>
      </c>
      <c r="H660" s="152" t="s">
        <v>106</v>
      </c>
      <c r="I660" s="152"/>
    </row>
    <row r="661" customFormat="false" ht="16.5" hidden="false" customHeight="true" outlineLevel="0" collapsed="false">
      <c r="A661" s="151" t="n">
        <v>45747</v>
      </c>
      <c r="B661" s="152" t="s">
        <v>831</v>
      </c>
      <c r="C661" s="153" t="n">
        <v>-1.54</v>
      </c>
      <c r="D661" s="154" t="s">
        <v>97</v>
      </c>
      <c r="E661" s="153"/>
      <c r="F661" s="154"/>
      <c r="G661" s="152" t="s">
        <v>213</v>
      </c>
      <c r="H661" s="152" t="s">
        <v>106</v>
      </c>
      <c r="I661" s="152"/>
    </row>
    <row r="662" customFormat="false" ht="16.5" hidden="false" customHeight="true" outlineLevel="0" collapsed="false">
      <c r="A662" s="151" t="n">
        <v>45747</v>
      </c>
      <c r="B662" s="152" t="s">
        <v>832</v>
      </c>
      <c r="C662" s="153" t="n">
        <v>-2.39</v>
      </c>
      <c r="D662" s="154" t="s">
        <v>97</v>
      </c>
      <c r="E662" s="153"/>
      <c r="F662" s="154"/>
      <c r="G662" s="152" t="s">
        <v>168</v>
      </c>
      <c r="H662" s="152" t="s">
        <v>106</v>
      </c>
      <c r="I662" s="152"/>
    </row>
    <row r="663" customFormat="false" ht="16.5" hidden="false" customHeight="true" outlineLevel="0" collapsed="false">
      <c r="A663" s="151" t="n">
        <v>45747</v>
      </c>
      <c r="B663" s="152" t="s">
        <v>833</v>
      </c>
      <c r="C663" s="153" t="n">
        <v>-35.49</v>
      </c>
      <c r="D663" s="154" t="s">
        <v>97</v>
      </c>
      <c r="E663" s="153"/>
      <c r="F663" s="154"/>
      <c r="G663" s="152" t="s">
        <v>213</v>
      </c>
      <c r="H663" s="152" t="s">
        <v>106</v>
      </c>
      <c r="I663" s="152"/>
    </row>
    <row r="664" customFormat="false" ht="16.5" hidden="false" customHeight="true" outlineLevel="0" collapsed="false">
      <c r="A664" s="151" t="n">
        <v>45747</v>
      </c>
      <c r="B664" s="152" t="s">
        <v>832</v>
      </c>
      <c r="C664" s="153" t="n">
        <v>-7.81</v>
      </c>
      <c r="D664" s="154" t="s">
        <v>97</v>
      </c>
      <c r="E664" s="153"/>
      <c r="F664" s="154"/>
      <c r="G664" s="152" t="s">
        <v>168</v>
      </c>
      <c r="H664" s="152" t="s">
        <v>106</v>
      </c>
      <c r="I664" s="152"/>
    </row>
    <row r="665" customFormat="false" ht="16.5" hidden="false" customHeight="true" outlineLevel="0" collapsed="false">
      <c r="A665" s="151" t="n">
        <v>45747</v>
      </c>
      <c r="B665" s="152" t="s">
        <v>834</v>
      </c>
      <c r="C665" s="153" t="n">
        <v>-19.48</v>
      </c>
      <c r="D665" s="154" t="s">
        <v>97</v>
      </c>
      <c r="E665" s="153"/>
      <c r="F665" s="154"/>
      <c r="G665" s="152" t="s">
        <v>213</v>
      </c>
      <c r="H665" s="152" t="s">
        <v>106</v>
      </c>
      <c r="I665" s="152"/>
    </row>
    <row r="666" customFormat="false" ht="16.5" hidden="false" customHeight="true" outlineLevel="0" collapsed="false">
      <c r="A666" s="151" t="n">
        <v>45747</v>
      </c>
      <c r="B666" s="152" t="s">
        <v>835</v>
      </c>
      <c r="C666" s="153" t="n">
        <v>-2.84</v>
      </c>
      <c r="D666" s="154" t="s">
        <v>97</v>
      </c>
      <c r="E666" s="153"/>
      <c r="F666" s="154"/>
      <c r="G666" s="152" t="s">
        <v>213</v>
      </c>
      <c r="H666" s="152" t="s">
        <v>106</v>
      </c>
      <c r="I666" s="152"/>
    </row>
    <row r="667" customFormat="false" ht="16.5" hidden="false" customHeight="true" outlineLevel="0" collapsed="false">
      <c r="A667" s="151" t="n">
        <v>45747</v>
      </c>
      <c r="B667" s="152" t="s">
        <v>836</v>
      </c>
      <c r="C667" s="153" t="n">
        <v>-0.72</v>
      </c>
      <c r="D667" s="154" t="s">
        <v>97</v>
      </c>
      <c r="E667" s="153"/>
      <c r="F667" s="154"/>
      <c r="G667" s="152" t="s">
        <v>231</v>
      </c>
      <c r="H667" s="152" t="s">
        <v>106</v>
      </c>
      <c r="I667" s="152"/>
    </row>
    <row r="668" customFormat="false" ht="16.5" hidden="false" customHeight="true" outlineLevel="0" collapsed="false">
      <c r="A668" s="151" t="n">
        <v>45747</v>
      </c>
      <c r="B668" s="152" t="s">
        <v>837</v>
      </c>
      <c r="C668" s="153" t="n">
        <v>-3.57</v>
      </c>
      <c r="D668" s="154" t="s">
        <v>97</v>
      </c>
      <c r="E668" s="153"/>
      <c r="F668" s="154"/>
      <c r="G668" s="152" t="s">
        <v>231</v>
      </c>
      <c r="H668" s="152" t="s">
        <v>106</v>
      </c>
      <c r="I668" s="152"/>
    </row>
    <row r="669" customFormat="false" ht="16.5" hidden="false" customHeight="true" outlineLevel="0" collapsed="false">
      <c r="A669" s="151" t="n">
        <v>45747</v>
      </c>
      <c r="B669" s="152" t="s">
        <v>838</v>
      </c>
      <c r="C669" s="153" t="n">
        <v>-12.75</v>
      </c>
      <c r="D669" s="154" t="s">
        <v>97</v>
      </c>
      <c r="E669" s="153"/>
      <c r="F669" s="154"/>
      <c r="G669" s="152" t="s">
        <v>213</v>
      </c>
      <c r="H669" s="152" t="s">
        <v>106</v>
      </c>
      <c r="I669" s="152"/>
    </row>
    <row r="670" customFormat="false" ht="16.5" hidden="false" customHeight="true" outlineLevel="0" collapsed="false">
      <c r="A670" s="151" t="n">
        <v>45747</v>
      </c>
      <c r="B670" s="152" t="s">
        <v>839</v>
      </c>
      <c r="C670" s="153" t="n">
        <v>-1.96</v>
      </c>
      <c r="D670" s="154" t="s">
        <v>97</v>
      </c>
      <c r="E670" s="153"/>
      <c r="F670" s="154"/>
      <c r="G670" s="152" t="s">
        <v>213</v>
      </c>
      <c r="H670" s="152" t="s">
        <v>106</v>
      </c>
      <c r="I670" s="152"/>
    </row>
    <row r="671" customFormat="false" ht="16.5" hidden="false" customHeight="true" outlineLevel="0" collapsed="false">
      <c r="A671" s="151" t="n">
        <v>45747</v>
      </c>
      <c r="B671" s="152" t="s">
        <v>840</v>
      </c>
      <c r="C671" s="153" t="n">
        <v>-8.98</v>
      </c>
      <c r="D671" s="154" t="s">
        <v>97</v>
      </c>
      <c r="E671" s="153"/>
      <c r="F671" s="154"/>
      <c r="G671" s="152" t="s">
        <v>41</v>
      </c>
      <c r="H671" s="152" t="s">
        <v>106</v>
      </c>
      <c r="I671" s="152"/>
    </row>
    <row r="672" customFormat="false" ht="16.5" hidden="false" customHeight="true" outlineLevel="0" collapsed="false">
      <c r="A672" s="151" t="n">
        <v>45747</v>
      </c>
      <c r="B672" s="152" t="s">
        <v>841</v>
      </c>
      <c r="C672" s="153" t="n">
        <v>-4.66</v>
      </c>
      <c r="D672" s="154" t="s">
        <v>97</v>
      </c>
      <c r="E672" s="153"/>
      <c r="F672" s="154"/>
      <c r="G672" s="152" t="s">
        <v>213</v>
      </c>
      <c r="H672" s="152" t="s">
        <v>106</v>
      </c>
      <c r="I672" s="152"/>
    </row>
    <row r="673" customFormat="false" ht="16.5" hidden="false" customHeight="true" outlineLevel="0" collapsed="false">
      <c r="A673" s="151" t="n">
        <v>45747</v>
      </c>
      <c r="B673" s="152" t="s">
        <v>842</v>
      </c>
      <c r="C673" s="153" t="n">
        <v>-2</v>
      </c>
      <c r="D673" s="154" t="s">
        <v>97</v>
      </c>
      <c r="E673" s="153"/>
      <c r="F673" s="154"/>
      <c r="G673" s="152" t="s">
        <v>168</v>
      </c>
      <c r="H673" s="152" t="s">
        <v>106</v>
      </c>
      <c r="I673" s="152"/>
    </row>
    <row r="674" customFormat="false" ht="16.5" hidden="false" customHeight="true" outlineLevel="0" collapsed="false">
      <c r="A674" s="151" t="n">
        <v>45747</v>
      </c>
      <c r="B674" s="152" t="s">
        <v>843</v>
      </c>
      <c r="C674" s="153" t="n">
        <v>-7.75</v>
      </c>
      <c r="D674" s="154" t="s">
        <v>97</v>
      </c>
      <c r="E674" s="153"/>
      <c r="F674" s="154"/>
      <c r="G674" s="152" t="s">
        <v>213</v>
      </c>
      <c r="H674" s="152" t="s">
        <v>106</v>
      </c>
      <c r="I674" s="152"/>
    </row>
    <row r="675" customFormat="false" ht="16.5" hidden="false" customHeight="true" outlineLevel="0" collapsed="false">
      <c r="A675" s="151" t="n">
        <v>45747</v>
      </c>
      <c r="B675" s="152" t="s">
        <v>844</v>
      </c>
      <c r="C675" s="153" t="n">
        <v>-1.37</v>
      </c>
      <c r="D675" s="154" t="s">
        <v>97</v>
      </c>
      <c r="E675" s="153"/>
      <c r="F675" s="154"/>
      <c r="G675" s="152" t="s">
        <v>213</v>
      </c>
      <c r="H675" s="152" t="s">
        <v>106</v>
      </c>
      <c r="I675" s="152"/>
    </row>
    <row r="676" customFormat="false" ht="16.5" hidden="false" customHeight="true" outlineLevel="0" collapsed="false">
      <c r="A676" s="151" t="n">
        <v>45747</v>
      </c>
      <c r="B676" s="152" t="s">
        <v>845</v>
      </c>
      <c r="C676" s="153" t="n">
        <v>-22.82</v>
      </c>
      <c r="D676" s="154" t="s">
        <v>97</v>
      </c>
      <c r="E676" s="153"/>
      <c r="F676" s="154"/>
      <c r="G676" s="152" t="s">
        <v>168</v>
      </c>
      <c r="H676" s="152" t="s">
        <v>106</v>
      </c>
      <c r="I676" s="152"/>
    </row>
    <row r="677" customFormat="false" ht="16.5" hidden="false" customHeight="true" outlineLevel="0" collapsed="false">
      <c r="A677" s="151" t="n">
        <v>45747</v>
      </c>
      <c r="B677" s="152" t="s">
        <v>846</v>
      </c>
      <c r="C677" s="153" t="n">
        <v>-3.71</v>
      </c>
      <c r="D677" s="154" t="s">
        <v>97</v>
      </c>
      <c r="E677" s="153"/>
      <c r="F677" s="154"/>
      <c r="G677" s="152" t="s">
        <v>213</v>
      </c>
      <c r="H677" s="152" t="s">
        <v>106</v>
      </c>
      <c r="I677" s="152"/>
    </row>
    <row r="678" customFormat="false" ht="16.5" hidden="false" customHeight="true" outlineLevel="0" collapsed="false">
      <c r="A678" s="151" t="n">
        <v>45747</v>
      </c>
      <c r="B678" s="152" t="s">
        <v>847</v>
      </c>
      <c r="C678" s="153" t="n">
        <v>-2.19</v>
      </c>
      <c r="D678" s="154" t="s">
        <v>97</v>
      </c>
      <c r="E678" s="153"/>
      <c r="F678" s="154"/>
      <c r="G678" s="152" t="s">
        <v>213</v>
      </c>
      <c r="H678" s="152" t="s">
        <v>106</v>
      </c>
      <c r="I678" s="152"/>
    </row>
    <row r="679" customFormat="false" ht="16.5" hidden="false" customHeight="true" outlineLevel="0" collapsed="false">
      <c r="A679" s="151" t="n">
        <v>45747</v>
      </c>
      <c r="B679" s="152" t="s">
        <v>848</v>
      </c>
      <c r="C679" s="153" t="n">
        <v>-7.99</v>
      </c>
      <c r="D679" s="154" t="s">
        <v>97</v>
      </c>
      <c r="E679" s="153"/>
      <c r="F679" s="154"/>
      <c r="G679" s="152" t="s">
        <v>41</v>
      </c>
      <c r="H679" s="152" t="s">
        <v>106</v>
      </c>
      <c r="I679" s="152"/>
    </row>
    <row r="680" customFormat="false" ht="16.5" hidden="false" customHeight="true" outlineLevel="0" collapsed="false">
      <c r="A680" s="151" t="n">
        <v>45747</v>
      </c>
      <c r="B680" s="152" t="s">
        <v>849</v>
      </c>
      <c r="C680" s="153" t="n">
        <v>-2.04</v>
      </c>
      <c r="D680" s="154" t="s">
        <v>97</v>
      </c>
      <c r="E680" s="153"/>
      <c r="F680" s="154"/>
      <c r="G680" s="152" t="s">
        <v>213</v>
      </c>
      <c r="H680" s="152" t="s">
        <v>106</v>
      </c>
      <c r="I680" s="152"/>
    </row>
    <row r="681" customFormat="false" ht="16.5" hidden="false" customHeight="true" outlineLevel="0" collapsed="false">
      <c r="A681" s="151" t="n">
        <v>45747</v>
      </c>
      <c r="B681" s="152" t="s">
        <v>850</v>
      </c>
      <c r="C681" s="153" t="n">
        <v>-32.74</v>
      </c>
      <c r="D681" s="154" t="s">
        <v>97</v>
      </c>
      <c r="E681" s="153"/>
      <c r="F681" s="154"/>
      <c r="G681" s="152" t="s">
        <v>168</v>
      </c>
      <c r="H681" s="152" t="s">
        <v>106</v>
      </c>
      <c r="I681" s="152"/>
    </row>
    <row r="682" customFormat="false" ht="16.5" hidden="false" customHeight="true" outlineLevel="0" collapsed="false">
      <c r="A682" s="151" t="n">
        <v>45747</v>
      </c>
      <c r="B682" s="152" t="s">
        <v>851</v>
      </c>
      <c r="C682" s="153" t="n">
        <v>-8.02</v>
      </c>
      <c r="D682" s="154" t="s">
        <v>97</v>
      </c>
      <c r="E682" s="153"/>
      <c r="F682" s="154"/>
      <c r="G682" s="152" t="s">
        <v>164</v>
      </c>
      <c r="H682" s="152" t="s">
        <v>106</v>
      </c>
      <c r="I682" s="152"/>
    </row>
    <row r="683" customFormat="false" ht="16.5" hidden="false" customHeight="true" outlineLevel="0" collapsed="false">
      <c r="A683" s="151" t="n">
        <v>45747</v>
      </c>
      <c r="B683" s="152" t="s">
        <v>852</v>
      </c>
      <c r="C683" s="153" t="n">
        <v>-26.39</v>
      </c>
      <c r="D683" s="154" t="s">
        <v>97</v>
      </c>
      <c r="E683" s="153"/>
      <c r="F683" s="154"/>
      <c r="G683" s="152" t="s">
        <v>213</v>
      </c>
      <c r="H683" s="152" t="s">
        <v>106</v>
      </c>
      <c r="I683" s="152"/>
    </row>
    <row r="684" customFormat="false" ht="16.5" hidden="false" customHeight="true" outlineLevel="0" collapsed="false">
      <c r="A684" s="151" t="n">
        <v>45747</v>
      </c>
      <c r="B684" s="152" t="s">
        <v>853</v>
      </c>
      <c r="C684" s="153" t="n">
        <v>-3.63</v>
      </c>
      <c r="D684" s="154" t="s">
        <v>97</v>
      </c>
      <c r="E684" s="153"/>
      <c r="F684" s="154"/>
      <c r="G684" s="152" t="s">
        <v>213</v>
      </c>
      <c r="H684" s="152" t="s">
        <v>106</v>
      </c>
      <c r="I684" s="152"/>
    </row>
    <row r="685" customFormat="false" ht="16.5" hidden="false" customHeight="true" outlineLevel="0" collapsed="false">
      <c r="A685" s="151" t="n">
        <v>45747</v>
      </c>
      <c r="B685" s="152" t="s">
        <v>854</v>
      </c>
      <c r="C685" s="153" t="n">
        <v>-1.19</v>
      </c>
      <c r="D685" s="154" t="s">
        <v>97</v>
      </c>
      <c r="E685" s="153"/>
      <c r="F685" s="154"/>
      <c r="G685" s="152" t="s">
        <v>168</v>
      </c>
      <c r="H685" s="152" t="s">
        <v>106</v>
      </c>
      <c r="I685" s="152"/>
    </row>
    <row r="686" customFormat="false" ht="16.5" hidden="false" customHeight="true" outlineLevel="0" collapsed="false">
      <c r="A686" s="151" t="n">
        <v>45747</v>
      </c>
      <c r="B686" s="152" t="s">
        <v>855</v>
      </c>
      <c r="C686" s="153" t="n">
        <v>-10.39</v>
      </c>
      <c r="D686" s="154" t="s">
        <v>97</v>
      </c>
      <c r="E686" s="153"/>
      <c r="F686" s="154"/>
      <c r="G686" s="152" t="s">
        <v>168</v>
      </c>
      <c r="H686" s="152" t="s">
        <v>106</v>
      </c>
      <c r="I686" s="152"/>
    </row>
    <row r="687" customFormat="false" ht="16.5" hidden="false" customHeight="true" outlineLevel="0" collapsed="false">
      <c r="A687" s="151" t="n">
        <v>45747</v>
      </c>
      <c r="B687" s="152" t="s">
        <v>856</v>
      </c>
      <c r="C687" s="153" t="n">
        <v>-0.29</v>
      </c>
      <c r="D687" s="154" t="s">
        <v>97</v>
      </c>
      <c r="E687" s="153"/>
      <c r="F687" s="154"/>
      <c r="G687" s="152" t="s">
        <v>213</v>
      </c>
      <c r="H687" s="152" t="s">
        <v>106</v>
      </c>
      <c r="I687" s="152"/>
    </row>
    <row r="688" customFormat="false" ht="16.5" hidden="false" customHeight="true" outlineLevel="0" collapsed="false">
      <c r="A688" s="151" t="n">
        <v>45747</v>
      </c>
      <c r="B688" s="152" t="s">
        <v>857</v>
      </c>
      <c r="C688" s="153" t="n">
        <v>-0.5</v>
      </c>
      <c r="D688" s="154" t="s">
        <v>97</v>
      </c>
      <c r="E688" s="153"/>
      <c r="F688" s="154"/>
      <c r="G688" s="152" t="s">
        <v>225</v>
      </c>
      <c r="H688" s="152" t="s">
        <v>106</v>
      </c>
      <c r="I688" s="152"/>
    </row>
    <row r="689" customFormat="false" ht="16.5" hidden="false" customHeight="true" outlineLevel="0" collapsed="false">
      <c r="A689" s="151" t="n">
        <v>45747</v>
      </c>
      <c r="B689" s="152" t="s">
        <v>858</v>
      </c>
      <c r="C689" s="153" t="n">
        <v>-8.33</v>
      </c>
      <c r="D689" s="154" t="s">
        <v>97</v>
      </c>
      <c r="E689" s="153"/>
      <c r="F689" s="154"/>
      <c r="G689" s="152" t="s">
        <v>213</v>
      </c>
      <c r="H689" s="152" t="s">
        <v>106</v>
      </c>
      <c r="I689" s="152"/>
    </row>
    <row r="690" customFormat="false" ht="16.5" hidden="false" customHeight="true" outlineLevel="0" collapsed="false">
      <c r="A690" s="151" t="n">
        <v>45747</v>
      </c>
      <c r="B690" s="152" t="s">
        <v>859</v>
      </c>
      <c r="C690" s="153" t="n">
        <v>-2.45</v>
      </c>
      <c r="D690" s="154" t="s">
        <v>97</v>
      </c>
      <c r="E690" s="153"/>
      <c r="F690" s="154"/>
      <c r="G690" s="152" t="s">
        <v>167</v>
      </c>
      <c r="H690" s="152" t="s">
        <v>106</v>
      </c>
      <c r="I690" s="152"/>
    </row>
    <row r="691" customFormat="false" ht="16.5" hidden="false" customHeight="true" outlineLevel="0" collapsed="false">
      <c r="A691" s="151" t="n">
        <v>45747</v>
      </c>
      <c r="B691" s="152" t="s">
        <v>860</v>
      </c>
      <c r="C691" s="153" t="n">
        <v>-3.57</v>
      </c>
      <c r="D691" s="154" t="s">
        <v>97</v>
      </c>
      <c r="E691" s="153"/>
      <c r="F691" s="154"/>
      <c r="G691" s="152" t="s">
        <v>231</v>
      </c>
      <c r="H691" s="152" t="s">
        <v>106</v>
      </c>
      <c r="I691" s="152"/>
    </row>
    <row r="692" customFormat="false" ht="16.5" hidden="false" customHeight="true" outlineLevel="0" collapsed="false">
      <c r="A692" s="151" t="n">
        <v>45747</v>
      </c>
      <c r="B692" s="152" t="s">
        <v>861</v>
      </c>
      <c r="C692" s="153" t="n">
        <v>-7.62</v>
      </c>
      <c r="D692" s="154" t="s">
        <v>97</v>
      </c>
      <c r="E692" s="153"/>
      <c r="F692" s="154"/>
      <c r="G692" s="152" t="s">
        <v>168</v>
      </c>
      <c r="H692" s="152" t="s">
        <v>106</v>
      </c>
      <c r="I692" s="152"/>
    </row>
    <row r="693" customFormat="false" ht="16.5" hidden="false" customHeight="true" outlineLevel="0" collapsed="false">
      <c r="A693" s="151" t="n">
        <v>45747</v>
      </c>
      <c r="B693" s="152" t="s">
        <v>862</v>
      </c>
      <c r="C693" s="153" t="n">
        <v>-0.99</v>
      </c>
      <c r="D693" s="154" t="s">
        <v>97</v>
      </c>
      <c r="E693" s="153"/>
      <c r="F693" s="154"/>
      <c r="G693" s="152" t="s">
        <v>167</v>
      </c>
      <c r="H693" s="152" t="s">
        <v>106</v>
      </c>
      <c r="I693" s="152"/>
    </row>
    <row r="694" customFormat="false" ht="16.5" hidden="false" customHeight="true" outlineLevel="0" collapsed="false">
      <c r="A694" s="151" t="n">
        <v>45747</v>
      </c>
      <c r="B694" s="152" t="s">
        <v>863</v>
      </c>
      <c r="C694" s="153" t="n">
        <v>-34.3</v>
      </c>
      <c r="D694" s="154" t="s">
        <v>97</v>
      </c>
      <c r="E694" s="153"/>
      <c r="F694" s="154"/>
      <c r="G694" s="152" t="s">
        <v>213</v>
      </c>
      <c r="H694" s="152" t="s">
        <v>106</v>
      </c>
      <c r="I694" s="152"/>
    </row>
    <row r="695" customFormat="false" ht="16.5" hidden="false" customHeight="true" outlineLevel="0" collapsed="false">
      <c r="A695" s="151" t="n">
        <v>45747</v>
      </c>
      <c r="B695" s="152" t="s">
        <v>864</v>
      </c>
      <c r="C695" s="153" t="n">
        <v>-3.97</v>
      </c>
      <c r="D695" s="154" t="s">
        <v>97</v>
      </c>
      <c r="E695" s="153"/>
      <c r="F695" s="154"/>
      <c r="G695" s="152" t="s">
        <v>168</v>
      </c>
      <c r="H695" s="152" t="s">
        <v>106</v>
      </c>
      <c r="I695" s="152"/>
    </row>
    <row r="696" customFormat="false" ht="16.5" hidden="false" customHeight="true" outlineLevel="0" collapsed="false">
      <c r="A696" s="151" t="n">
        <v>45747</v>
      </c>
      <c r="B696" s="152" t="s">
        <v>865</v>
      </c>
      <c r="C696" s="153" t="n">
        <v>-4.91</v>
      </c>
      <c r="D696" s="154" t="s">
        <v>97</v>
      </c>
      <c r="E696" s="153"/>
      <c r="F696" s="154"/>
      <c r="G696" s="152" t="s">
        <v>213</v>
      </c>
      <c r="H696" s="152" t="s">
        <v>106</v>
      </c>
      <c r="I696" s="152"/>
    </row>
    <row r="697" customFormat="false" ht="16.5" hidden="false" customHeight="true" outlineLevel="0" collapsed="false">
      <c r="A697" s="151" t="n">
        <v>45747</v>
      </c>
      <c r="B697" s="152" t="s">
        <v>866</v>
      </c>
      <c r="C697" s="153" t="n">
        <v>-4</v>
      </c>
      <c r="D697" s="154" t="s">
        <v>97</v>
      </c>
      <c r="E697" s="153"/>
      <c r="F697" s="154"/>
      <c r="G697" s="152" t="s">
        <v>168</v>
      </c>
      <c r="H697" s="152" t="s">
        <v>106</v>
      </c>
      <c r="I697" s="152"/>
    </row>
    <row r="698" customFormat="false" ht="16.5" hidden="false" customHeight="true" outlineLevel="0" collapsed="false">
      <c r="A698" s="151" t="n">
        <v>45747</v>
      </c>
      <c r="B698" s="152" t="s">
        <v>867</v>
      </c>
      <c r="C698" s="153" t="n">
        <v>-1.22</v>
      </c>
      <c r="D698" s="154" t="s">
        <v>97</v>
      </c>
      <c r="E698" s="153"/>
      <c r="F698" s="154"/>
      <c r="G698" s="152" t="s">
        <v>213</v>
      </c>
      <c r="H698" s="152" t="s">
        <v>106</v>
      </c>
      <c r="I698" s="152"/>
    </row>
    <row r="699" customFormat="false" ht="16.5" hidden="false" customHeight="true" outlineLevel="0" collapsed="false">
      <c r="A699" s="151" t="n">
        <v>45747</v>
      </c>
      <c r="B699" s="152" t="s">
        <v>868</v>
      </c>
      <c r="C699" s="153" t="n">
        <v>-0.25</v>
      </c>
      <c r="D699" s="154" t="s">
        <v>97</v>
      </c>
      <c r="E699" s="153"/>
      <c r="F699" s="154"/>
      <c r="G699" s="152" t="s">
        <v>213</v>
      </c>
      <c r="H699" s="152" t="s">
        <v>106</v>
      </c>
      <c r="I699" s="152"/>
    </row>
    <row r="700" customFormat="false" ht="16.5" hidden="false" customHeight="true" outlineLevel="0" collapsed="false">
      <c r="A700" s="151" t="n">
        <v>45747</v>
      </c>
      <c r="B700" s="152" t="s">
        <v>869</v>
      </c>
      <c r="C700" s="153" t="n">
        <v>-4.37</v>
      </c>
      <c r="D700" s="154" t="s">
        <v>97</v>
      </c>
      <c r="E700" s="153"/>
      <c r="F700" s="154"/>
      <c r="G700" s="152" t="s">
        <v>167</v>
      </c>
      <c r="H700" s="152" t="s">
        <v>106</v>
      </c>
      <c r="I700" s="152"/>
    </row>
    <row r="701" customFormat="false" ht="16.5" hidden="false" customHeight="true" outlineLevel="0" collapsed="false">
      <c r="A701" s="151" t="n">
        <v>45747</v>
      </c>
      <c r="B701" s="152" t="s">
        <v>60</v>
      </c>
      <c r="C701" s="153" t="n">
        <v>4081.61</v>
      </c>
      <c r="D701" s="154" t="s">
        <v>97</v>
      </c>
      <c r="E701" s="153"/>
      <c r="F701" s="154"/>
      <c r="G701" s="152" t="s">
        <v>821</v>
      </c>
      <c r="H701" s="152" t="s">
        <v>106</v>
      </c>
      <c r="I701" s="152"/>
    </row>
    <row r="702" customFormat="false" ht="16.5" hidden="false" customHeight="true" outlineLevel="0" collapsed="false">
      <c r="A702" s="151" t="n">
        <v>45748</v>
      </c>
      <c r="B702" s="152" t="s">
        <v>60</v>
      </c>
      <c r="C702" s="159" t="n">
        <v>6906.18</v>
      </c>
      <c r="D702" s="154" t="s">
        <v>103</v>
      </c>
      <c r="E702" s="153"/>
      <c r="F702" s="154"/>
      <c r="G702" s="152" t="s">
        <v>315</v>
      </c>
      <c r="H702" s="152" t="s">
        <v>125</v>
      </c>
      <c r="I702" s="152"/>
    </row>
    <row r="703" customFormat="false" ht="16.5" hidden="false" customHeight="true" outlineLevel="0" collapsed="false">
      <c r="A703" s="151" t="n">
        <v>45748</v>
      </c>
      <c r="B703" s="152" t="s">
        <v>60</v>
      </c>
      <c r="C703" s="153" t="n">
        <v>998.17</v>
      </c>
      <c r="D703" s="154" t="s">
        <v>97</v>
      </c>
      <c r="E703" s="153"/>
      <c r="F703" s="154"/>
      <c r="G703" s="152" t="s">
        <v>315</v>
      </c>
      <c r="H703" s="152" t="s">
        <v>117</v>
      </c>
      <c r="I703" s="152"/>
    </row>
    <row r="704" customFormat="false" ht="16.5" hidden="false" customHeight="true" outlineLevel="0" collapsed="false">
      <c r="A704" s="151" t="n">
        <v>45722</v>
      </c>
      <c r="B704" s="152" t="s">
        <v>594</v>
      </c>
      <c r="C704" s="153" t="n">
        <v>1.05</v>
      </c>
      <c r="D704" s="154" t="s">
        <v>97</v>
      </c>
      <c r="E704" s="153"/>
      <c r="F704" s="154"/>
      <c r="G704" s="152" t="s">
        <v>199</v>
      </c>
      <c r="H704" s="152" t="s">
        <v>122</v>
      </c>
      <c r="I704" s="152"/>
    </row>
    <row r="705" customFormat="false" ht="16.5" hidden="false" customHeight="true" outlineLevel="0" collapsed="false">
      <c r="A705" s="151" t="n">
        <v>45749</v>
      </c>
      <c r="B705" s="152" t="s">
        <v>60</v>
      </c>
      <c r="C705" s="153" t="n">
        <v>69.41</v>
      </c>
      <c r="D705" s="154" t="s">
        <v>97</v>
      </c>
      <c r="E705" s="153"/>
      <c r="F705" s="154"/>
      <c r="G705" s="152" t="s">
        <v>315</v>
      </c>
      <c r="H705" s="152" t="s">
        <v>122</v>
      </c>
      <c r="I705" s="152"/>
    </row>
    <row r="706" customFormat="false" ht="16.5" hidden="false" customHeight="true" outlineLevel="0" collapsed="false">
      <c r="A706" s="151" t="n">
        <v>45749</v>
      </c>
      <c r="B706" s="152" t="s">
        <v>692</v>
      </c>
      <c r="C706" s="153" t="n">
        <v>-0.1</v>
      </c>
      <c r="D706" s="154" t="s">
        <v>97</v>
      </c>
      <c r="E706" s="153"/>
      <c r="F706" s="154"/>
      <c r="G706" s="152" t="s">
        <v>204</v>
      </c>
      <c r="H706" s="152" t="s">
        <v>117</v>
      </c>
      <c r="I706" s="152"/>
    </row>
    <row r="707" customFormat="false" ht="16.5" hidden="false" customHeight="true" outlineLevel="0" collapsed="false">
      <c r="A707" s="151" t="n">
        <v>45749</v>
      </c>
      <c r="B707" s="152" t="s">
        <v>692</v>
      </c>
      <c r="C707" s="159" t="n">
        <v>-1.12</v>
      </c>
      <c r="D707" s="154" t="s">
        <v>103</v>
      </c>
      <c r="E707" s="153"/>
      <c r="F707" s="154"/>
      <c r="G707" s="152" t="s">
        <v>204</v>
      </c>
      <c r="H707" s="152" t="s">
        <v>125</v>
      </c>
      <c r="I707" s="152"/>
    </row>
    <row r="708" customFormat="false" ht="16.5" hidden="false" customHeight="true" outlineLevel="0" collapsed="false">
      <c r="A708" s="151" t="n">
        <v>45749</v>
      </c>
      <c r="B708" s="152" t="s">
        <v>60</v>
      </c>
      <c r="C708" s="153" t="n">
        <v>998.07</v>
      </c>
      <c r="D708" s="154" t="s">
        <v>97</v>
      </c>
      <c r="E708" s="153"/>
      <c r="F708" s="154"/>
      <c r="G708" s="152" t="s">
        <v>315</v>
      </c>
      <c r="H708" s="152" t="s">
        <v>117</v>
      </c>
      <c r="I708" s="152"/>
    </row>
    <row r="709" customFormat="false" ht="16.5" hidden="false" customHeight="true" outlineLevel="0" collapsed="false">
      <c r="A709" s="151" t="n">
        <v>45749</v>
      </c>
      <c r="B709" s="152" t="s">
        <v>60</v>
      </c>
      <c r="C709" s="159" t="n">
        <v>6905.06</v>
      </c>
      <c r="D709" s="154" t="s">
        <v>103</v>
      </c>
      <c r="E709" s="153"/>
      <c r="F709" s="154"/>
      <c r="G709" s="152" t="s">
        <v>315</v>
      </c>
      <c r="H709" s="152" t="s">
        <v>125</v>
      </c>
      <c r="I709" s="152"/>
    </row>
    <row r="710" customFormat="false" ht="16.5" hidden="false" customHeight="true" outlineLevel="0" collapsed="false">
      <c r="A710" s="151" t="n">
        <v>45758</v>
      </c>
      <c r="B710" s="152"/>
      <c r="C710" s="153" t="n">
        <v>-11.99</v>
      </c>
      <c r="D710" s="154" t="s">
        <v>97</v>
      </c>
      <c r="E710" s="153"/>
      <c r="F710" s="154"/>
      <c r="G710" s="152" t="s">
        <v>42</v>
      </c>
      <c r="H710" s="152" t="s">
        <v>108</v>
      </c>
      <c r="I710" s="152"/>
    </row>
    <row r="711" customFormat="false" ht="16.5" hidden="false" customHeight="true" outlineLevel="0" collapsed="false">
      <c r="A711" s="151" t="n">
        <v>45763</v>
      </c>
      <c r="B711" s="152"/>
      <c r="C711" s="153" t="n">
        <v>-6.62</v>
      </c>
      <c r="D711" s="154" t="s">
        <v>97</v>
      </c>
      <c r="E711" s="153"/>
      <c r="F711" s="154"/>
      <c r="G711" s="152" t="s">
        <v>225</v>
      </c>
      <c r="H711" s="152" t="s">
        <v>108</v>
      </c>
      <c r="I711" s="152"/>
    </row>
    <row r="712" customFormat="false" ht="16.5" hidden="false" customHeight="true" outlineLevel="0" collapsed="false">
      <c r="A712" s="151" t="n">
        <v>45763</v>
      </c>
      <c r="B712" s="152" t="s">
        <v>60</v>
      </c>
      <c r="C712" s="153" t="n">
        <v>1211.36</v>
      </c>
      <c r="D712" s="154" t="s">
        <v>97</v>
      </c>
      <c r="E712" s="153"/>
      <c r="F712" s="154"/>
      <c r="G712" s="152" t="s">
        <v>315</v>
      </c>
      <c r="H712" s="152" t="s">
        <v>108</v>
      </c>
      <c r="I712" s="152"/>
    </row>
    <row r="713" customFormat="false" ht="16.5" hidden="false" customHeight="true" outlineLevel="0" collapsed="false">
      <c r="A713" s="151" t="n">
        <v>45755</v>
      </c>
      <c r="B713" s="152" t="s">
        <v>870</v>
      </c>
      <c r="C713" s="158" t="n">
        <v>1.028</v>
      </c>
      <c r="D713" s="154" t="s">
        <v>150</v>
      </c>
      <c r="E713" s="153" t="n">
        <v>72.53</v>
      </c>
      <c r="F713" s="154" t="s">
        <v>871</v>
      </c>
      <c r="G713" s="152" t="s">
        <v>189</v>
      </c>
      <c r="H713" s="152" t="s">
        <v>149</v>
      </c>
      <c r="I713" s="152"/>
    </row>
    <row r="714" customFormat="false" ht="16.5" hidden="false" customHeight="true" outlineLevel="0" collapsed="false">
      <c r="A714" s="151" t="n">
        <v>45755</v>
      </c>
      <c r="B714" s="152" t="s">
        <v>872</v>
      </c>
      <c r="C714" s="158" t="n">
        <v>0.29546</v>
      </c>
      <c r="D714" s="154" t="s">
        <v>150</v>
      </c>
      <c r="E714" s="153" t="n">
        <v>28.68</v>
      </c>
      <c r="F714" s="154" t="s">
        <v>871</v>
      </c>
      <c r="G714" s="152" t="s">
        <v>189</v>
      </c>
      <c r="H714" s="152" t="s">
        <v>149</v>
      </c>
      <c r="I714" s="152"/>
    </row>
    <row r="715" customFormat="false" ht="16.5" hidden="false" customHeight="true" outlineLevel="0" collapsed="false">
      <c r="A715" s="151" t="n">
        <v>45755</v>
      </c>
      <c r="B715" s="152" t="s">
        <v>873</v>
      </c>
      <c r="C715" s="158" t="n">
        <v>0.22192</v>
      </c>
      <c r="D715" s="154" t="s">
        <v>150</v>
      </c>
      <c r="E715" s="153" t="n">
        <v>10.61</v>
      </c>
      <c r="F715" s="154" t="s">
        <v>871</v>
      </c>
      <c r="G715" s="152" t="s">
        <v>189</v>
      </c>
      <c r="H715" s="152" t="s">
        <v>149</v>
      </c>
      <c r="I715" s="152"/>
    </row>
    <row r="716" customFormat="false" ht="16.5" hidden="false" customHeight="true" outlineLevel="0" collapsed="false">
      <c r="A716" s="151" t="n">
        <v>45755</v>
      </c>
      <c r="B716" s="152" t="s">
        <v>874</v>
      </c>
      <c r="C716" s="158" t="n">
        <v>0.41891</v>
      </c>
      <c r="D716" s="154" t="s">
        <v>150</v>
      </c>
      <c r="E716" s="153" t="n">
        <v>47.01</v>
      </c>
      <c r="F716" s="154" t="s">
        <v>871</v>
      </c>
      <c r="G716" s="152" t="s">
        <v>189</v>
      </c>
      <c r="H716" s="152" t="s">
        <v>149</v>
      </c>
      <c r="I716" s="152"/>
    </row>
    <row r="717" customFormat="false" ht="16.5" hidden="false" customHeight="true" outlineLevel="0" collapsed="false">
      <c r="A717" s="151" t="n">
        <v>45763</v>
      </c>
      <c r="B717" s="152" t="s">
        <v>875</v>
      </c>
      <c r="C717" s="153" t="n">
        <v>-9.57</v>
      </c>
      <c r="D717" s="154" t="s">
        <v>97</v>
      </c>
      <c r="E717" s="153"/>
      <c r="F717" s="154"/>
      <c r="G717" s="152" t="s">
        <v>207</v>
      </c>
      <c r="H717" s="152" t="s">
        <v>106</v>
      </c>
      <c r="I717" s="152"/>
    </row>
    <row r="718" customFormat="false" ht="16.5" hidden="false" customHeight="true" outlineLevel="0" collapsed="false">
      <c r="A718" s="151" t="n">
        <v>45763</v>
      </c>
      <c r="B718" s="152" t="s">
        <v>876</v>
      </c>
      <c r="C718" s="153" t="n">
        <v>-8.83</v>
      </c>
      <c r="D718" s="154" t="s">
        <v>97</v>
      </c>
      <c r="E718" s="153"/>
      <c r="F718" s="154"/>
      <c r="G718" s="152" t="s">
        <v>207</v>
      </c>
      <c r="H718" s="152" t="s">
        <v>106</v>
      </c>
      <c r="I718" s="152"/>
    </row>
    <row r="719" customFormat="false" ht="16.5" hidden="false" customHeight="true" outlineLevel="0" collapsed="false">
      <c r="A719" s="151" t="n">
        <v>45762</v>
      </c>
      <c r="B719" s="152" t="s">
        <v>877</v>
      </c>
      <c r="C719" s="153" t="n">
        <v>-66.16</v>
      </c>
      <c r="D719" s="154" t="s">
        <v>97</v>
      </c>
      <c r="E719" s="153"/>
      <c r="F719" s="154"/>
      <c r="G719" s="152" t="s">
        <v>208</v>
      </c>
      <c r="H719" s="152" t="s">
        <v>106</v>
      </c>
      <c r="I719" s="152"/>
    </row>
    <row r="720" customFormat="false" ht="16.5" hidden="false" customHeight="true" outlineLevel="0" collapsed="false">
      <c r="A720" s="151" t="n">
        <v>45762</v>
      </c>
      <c r="B720" s="152" t="s">
        <v>878</v>
      </c>
      <c r="C720" s="153" t="n">
        <v>-28.27</v>
      </c>
      <c r="D720" s="154" t="s">
        <v>97</v>
      </c>
      <c r="E720" s="153"/>
      <c r="F720" s="154"/>
      <c r="G720" s="152" t="s">
        <v>197</v>
      </c>
      <c r="H720" s="152" t="s">
        <v>106</v>
      </c>
      <c r="I720" s="152"/>
    </row>
    <row r="721" customFormat="false" ht="16.5" hidden="false" customHeight="true" outlineLevel="0" collapsed="false">
      <c r="A721" s="151" t="n">
        <v>45762</v>
      </c>
      <c r="B721" s="152" t="s">
        <v>879</v>
      </c>
      <c r="C721" s="153" t="n">
        <v>-20</v>
      </c>
      <c r="D721" s="154" t="s">
        <v>97</v>
      </c>
      <c r="E721" s="153"/>
      <c r="F721" s="154"/>
      <c r="G721" s="152" t="s">
        <v>171</v>
      </c>
      <c r="H721" s="152" t="s">
        <v>106</v>
      </c>
      <c r="I721" s="152"/>
    </row>
    <row r="722" customFormat="false" ht="16.5" hidden="false" customHeight="true" outlineLevel="0" collapsed="false">
      <c r="A722" s="151" t="n">
        <v>45761</v>
      </c>
      <c r="B722" s="152" t="s">
        <v>880</v>
      </c>
      <c r="C722" s="153" t="n">
        <v>-8.58</v>
      </c>
      <c r="D722" s="154" t="s">
        <v>97</v>
      </c>
      <c r="E722" s="153"/>
      <c r="F722" s="154"/>
      <c r="G722" s="152" t="s">
        <v>217</v>
      </c>
      <c r="H722" s="152" t="s">
        <v>106</v>
      </c>
      <c r="I722" s="152"/>
    </row>
    <row r="723" customFormat="false" ht="16.5" hidden="false" customHeight="true" outlineLevel="0" collapsed="false">
      <c r="A723" s="151" t="n">
        <v>45757</v>
      </c>
      <c r="B723" s="152" t="s">
        <v>881</v>
      </c>
      <c r="C723" s="153" t="n">
        <v>-16.76</v>
      </c>
      <c r="D723" s="154" t="s">
        <v>97</v>
      </c>
      <c r="E723" s="153"/>
      <c r="F723" s="154"/>
      <c r="G723" s="152" t="s">
        <v>212</v>
      </c>
      <c r="H723" s="152" t="s">
        <v>106</v>
      </c>
      <c r="I723" s="152"/>
    </row>
    <row r="724" customFormat="false" ht="16.5" hidden="false" customHeight="true" outlineLevel="0" collapsed="false">
      <c r="A724" s="151" t="n">
        <v>45756</v>
      </c>
      <c r="B724" s="152" t="s">
        <v>882</v>
      </c>
      <c r="C724" s="153" t="n">
        <v>242.67</v>
      </c>
      <c r="D724" s="154" t="s">
        <v>97</v>
      </c>
      <c r="E724" s="153"/>
      <c r="F724" s="154"/>
      <c r="G724" s="152" t="s">
        <v>198</v>
      </c>
      <c r="H724" s="152" t="s">
        <v>106</v>
      </c>
      <c r="I724" s="152"/>
    </row>
    <row r="725" customFormat="false" ht="16.5" hidden="false" customHeight="true" outlineLevel="0" collapsed="false">
      <c r="A725" s="151" t="n">
        <v>45756</v>
      </c>
      <c r="B725" s="152" t="s">
        <v>883</v>
      </c>
      <c r="C725" s="153" t="n">
        <v>266.21</v>
      </c>
      <c r="D725" s="154" t="s">
        <v>97</v>
      </c>
      <c r="E725" s="153"/>
      <c r="F725" s="154"/>
      <c r="G725" s="152" t="s">
        <v>215</v>
      </c>
      <c r="H725" s="152" t="s">
        <v>106</v>
      </c>
      <c r="I725" s="152"/>
    </row>
    <row r="726" customFormat="false" ht="16.5" hidden="false" customHeight="true" outlineLevel="0" collapsed="false">
      <c r="A726" s="151" t="n">
        <v>45756</v>
      </c>
      <c r="B726" s="152" t="s">
        <v>884</v>
      </c>
      <c r="C726" s="153" t="n">
        <v>-12.63</v>
      </c>
      <c r="D726" s="154" t="s">
        <v>97</v>
      </c>
      <c r="E726" s="153"/>
      <c r="F726" s="154"/>
      <c r="G726" s="152" t="s">
        <v>204</v>
      </c>
      <c r="H726" s="152" t="s">
        <v>106</v>
      </c>
      <c r="I726" s="152"/>
    </row>
    <row r="727" customFormat="false" ht="16.5" hidden="false" customHeight="true" outlineLevel="0" collapsed="false">
      <c r="A727" s="151" t="n">
        <v>45756</v>
      </c>
      <c r="B727" s="152" t="s">
        <v>884</v>
      </c>
      <c r="C727" s="153" t="n">
        <v>-3.28</v>
      </c>
      <c r="D727" s="154" t="s">
        <v>97</v>
      </c>
      <c r="E727" s="153"/>
      <c r="F727" s="154"/>
      <c r="G727" s="152" t="s">
        <v>204</v>
      </c>
      <c r="H727" s="152" t="s">
        <v>106</v>
      </c>
      <c r="I727" s="152"/>
    </row>
    <row r="728" customFormat="false" ht="16.5" hidden="false" customHeight="true" outlineLevel="0" collapsed="false">
      <c r="A728" s="151" t="n">
        <v>45754</v>
      </c>
      <c r="B728" s="152" t="s">
        <v>885</v>
      </c>
      <c r="C728" s="153" t="n">
        <v>-45.63</v>
      </c>
      <c r="D728" s="154" t="s">
        <v>97</v>
      </c>
      <c r="E728" s="153"/>
      <c r="F728" s="154"/>
      <c r="G728" s="152" t="s">
        <v>197</v>
      </c>
      <c r="H728" s="152" t="s">
        <v>106</v>
      </c>
      <c r="I728" s="152"/>
    </row>
    <row r="729" customFormat="false" ht="16.5" hidden="false" customHeight="true" outlineLevel="0" collapsed="false">
      <c r="A729" s="151" t="n">
        <v>45754</v>
      </c>
      <c r="B729" s="152" t="s">
        <v>886</v>
      </c>
      <c r="C729" s="153" t="n">
        <v>-42.81</v>
      </c>
      <c r="D729" s="154" t="s">
        <v>97</v>
      </c>
      <c r="E729" s="153"/>
      <c r="F729" s="154"/>
      <c r="G729" s="152" t="s">
        <v>203</v>
      </c>
      <c r="H729" s="152" t="s">
        <v>106</v>
      </c>
      <c r="I729" s="152"/>
    </row>
    <row r="730" customFormat="false" ht="16.5" hidden="false" customHeight="true" outlineLevel="0" collapsed="false">
      <c r="A730" s="151" t="n">
        <v>45754</v>
      </c>
      <c r="B730" s="152" t="s">
        <v>887</v>
      </c>
      <c r="C730" s="153" t="n">
        <v>-5.39</v>
      </c>
      <c r="D730" s="154" t="s">
        <v>97</v>
      </c>
      <c r="E730" s="153"/>
      <c r="F730" s="154"/>
      <c r="G730" s="152" t="s">
        <v>218</v>
      </c>
      <c r="H730" s="152" t="s">
        <v>106</v>
      </c>
      <c r="I730" s="152"/>
    </row>
    <row r="731" customFormat="false" ht="16.5" hidden="false" customHeight="true" outlineLevel="0" collapsed="false">
      <c r="A731" s="151" t="n">
        <v>45754</v>
      </c>
      <c r="B731" s="152" t="s">
        <v>888</v>
      </c>
      <c r="C731" s="153" t="n">
        <v>99.97</v>
      </c>
      <c r="D731" s="154" t="s">
        <v>97</v>
      </c>
      <c r="E731" s="153"/>
      <c r="F731" s="154" t="s">
        <v>889</v>
      </c>
      <c r="G731" s="152" t="s">
        <v>190</v>
      </c>
      <c r="H731" s="152" t="s">
        <v>106</v>
      </c>
      <c r="I731" s="152"/>
    </row>
    <row r="732" customFormat="false" ht="16.5" hidden="false" customHeight="true" outlineLevel="0" collapsed="false">
      <c r="A732" s="151" t="n">
        <v>45751</v>
      </c>
      <c r="B732" s="152" t="s">
        <v>890</v>
      </c>
      <c r="C732" s="153" t="n">
        <v>-0.84</v>
      </c>
      <c r="D732" s="154" t="s">
        <v>97</v>
      </c>
      <c r="E732" s="153"/>
      <c r="F732" s="154"/>
      <c r="G732" s="152" t="s">
        <v>222</v>
      </c>
      <c r="H732" s="152" t="s">
        <v>106</v>
      </c>
      <c r="I732" s="152"/>
    </row>
    <row r="733" customFormat="false" ht="16.5" hidden="false" customHeight="true" outlineLevel="0" collapsed="false">
      <c r="A733" s="151" t="n">
        <v>45751</v>
      </c>
      <c r="B733" s="152" t="s">
        <v>891</v>
      </c>
      <c r="C733" s="153" t="n">
        <v>99.97</v>
      </c>
      <c r="D733" s="154" t="s">
        <v>97</v>
      </c>
      <c r="E733" s="153"/>
      <c r="F733" s="154" t="s">
        <v>892</v>
      </c>
      <c r="G733" s="152" t="s">
        <v>190</v>
      </c>
      <c r="H733" s="152" t="s">
        <v>106</v>
      </c>
      <c r="I733" s="152"/>
    </row>
    <row r="734" customFormat="false" ht="16.5" hidden="false" customHeight="true" outlineLevel="0" collapsed="false">
      <c r="A734" s="151" t="n">
        <v>45748</v>
      </c>
      <c r="B734" s="152" t="s">
        <v>893</v>
      </c>
      <c r="C734" s="153" t="n">
        <v>25.94</v>
      </c>
      <c r="D734" s="154" t="s">
        <v>97</v>
      </c>
      <c r="E734" s="153"/>
      <c r="F734" s="154"/>
      <c r="G734" s="152" t="s">
        <v>224</v>
      </c>
      <c r="H734" s="152" t="s">
        <v>106</v>
      </c>
      <c r="I734" s="152"/>
    </row>
    <row r="735" customFormat="false" ht="16.5" hidden="false" customHeight="true" outlineLevel="0" collapsed="false">
      <c r="A735" s="151" t="n">
        <v>45748</v>
      </c>
      <c r="B735" s="152" t="s">
        <v>606</v>
      </c>
      <c r="C735" s="153" t="n">
        <v>-339.37</v>
      </c>
      <c r="D735" s="154" t="s">
        <v>97</v>
      </c>
      <c r="E735" s="153"/>
      <c r="F735" s="154"/>
      <c r="G735" s="152" t="s">
        <v>162</v>
      </c>
      <c r="H735" s="152" t="s">
        <v>106</v>
      </c>
      <c r="I735" s="152"/>
    </row>
    <row r="736" customFormat="false" ht="16.5" hidden="false" customHeight="true" outlineLevel="0" collapsed="false">
      <c r="A736" s="151" t="n">
        <v>45748</v>
      </c>
      <c r="B736" s="152" t="s">
        <v>894</v>
      </c>
      <c r="C736" s="153" t="n">
        <v>597.96</v>
      </c>
      <c r="D736" s="154" t="s">
        <v>97</v>
      </c>
      <c r="E736" s="153"/>
      <c r="F736" s="154"/>
      <c r="G736" s="152" t="s">
        <v>194</v>
      </c>
      <c r="H736" s="152" t="s">
        <v>106</v>
      </c>
      <c r="I736" s="152"/>
    </row>
    <row r="737" customFormat="false" ht="16.5" hidden="false" customHeight="true" outlineLevel="0" collapsed="false">
      <c r="A737" s="151" t="n">
        <v>45748</v>
      </c>
      <c r="B737" s="152" t="s">
        <v>895</v>
      </c>
      <c r="C737" s="153" t="n">
        <v>266.95</v>
      </c>
      <c r="D737" s="154" t="s">
        <v>97</v>
      </c>
      <c r="E737" s="153"/>
      <c r="F737" s="154"/>
      <c r="G737" s="152" t="s">
        <v>206</v>
      </c>
      <c r="H737" s="152" t="s">
        <v>106</v>
      </c>
      <c r="I737" s="152"/>
    </row>
    <row r="738" customFormat="false" ht="16.5" hidden="false" customHeight="true" outlineLevel="0" collapsed="false">
      <c r="A738" s="151" t="n">
        <v>45748</v>
      </c>
      <c r="B738" s="152" t="s">
        <v>896</v>
      </c>
      <c r="C738" s="153" t="n">
        <v>100.69</v>
      </c>
      <c r="D738" s="154" t="s">
        <v>97</v>
      </c>
      <c r="E738" s="153"/>
      <c r="F738" s="154"/>
      <c r="G738" s="152" t="s">
        <v>206</v>
      </c>
      <c r="H738" s="152" t="s">
        <v>106</v>
      </c>
      <c r="I738" s="152"/>
    </row>
    <row r="739" customFormat="false" ht="16.5" hidden="false" customHeight="true" outlineLevel="0" collapsed="false">
      <c r="A739" s="151" t="n">
        <v>45764</v>
      </c>
      <c r="B739" s="152" t="s">
        <v>60</v>
      </c>
      <c r="C739" s="153" t="n">
        <v>6711.51</v>
      </c>
      <c r="D739" s="154" t="s">
        <v>97</v>
      </c>
      <c r="E739" s="153"/>
      <c r="F739" s="154"/>
      <c r="G739" s="152" t="s">
        <v>315</v>
      </c>
      <c r="H739" s="152" t="s">
        <v>106</v>
      </c>
      <c r="I739" s="152"/>
    </row>
    <row r="740" customFormat="false" ht="16.5" hidden="false" customHeight="true" outlineLevel="0" collapsed="false">
      <c r="A740" s="151" t="n">
        <v>45754</v>
      </c>
      <c r="B740" s="152"/>
      <c r="C740" s="153" t="n">
        <v>-99.97</v>
      </c>
      <c r="D740" s="154" t="s">
        <v>97</v>
      </c>
      <c r="E740" s="153"/>
      <c r="F740" s="154" t="s">
        <v>889</v>
      </c>
      <c r="G740" s="152" t="s">
        <v>190</v>
      </c>
      <c r="H740" s="152" t="s">
        <v>133</v>
      </c>
      <c r="I740" s="152"/>
    </row>
    <row r="741" customFormat="false" ht="16.5" hidden="false" customHeight="true" outlineLevel="0" collapsed="false">
      <c r="A741" s="151" t="n">
        <v>45754</v>
      </c>
      <c r="B741" s="152"/>
      <c r="C741" s="153" t="n">
        <v>-99.97</v>
      </c>
      <c r="D741" s="154" t="s">
        <v>97</v>
      </c>
      <c r="E741" s="153"/>
      <c r="F741" s="154" t="s">
        <v>892</v>
      </c>
      <c r="G741" s="152" t="s">
        <v>190</v>
      </c>
      <c r="H741" s="152" t="s">
        <v>132</v>
      </c>
      <c r="I741" s="152"/>
    </row>
    <row r="742" customFormat="false" ht="16.5" hidden="false" customHeight="true" outlineLevel="0" collapsed="false">
      <c r="A742" s="151" t="n">
        <v>45754</v>
      </c>
      <c r="B742" s="152" t="s">
        <v>60</v>
      </c>
      <c r="C742" s="153" t="n">
        <v>8900.12</v>
      </c>
      <c r="D742" s="154" t="s">
        <v>97</v>
      </c>
      <c r="E742" s="153"/>
      <c r="F742" s="154"/>
      <c r="G742" s="152" t="s">
        <v>315</v>
      </c>
      <c r="H742" s="152" t="s">
        <v>133</v>
      </c>
      <c r="I742" s="152"/>
    </row>
    <row r="743" customFormat="false" ht="16.5" hidden="false" customHeight="true" outlineLevel="0" collapsed="false">
      <c r="A743" s="151" t="n">
        <v>45754</v>
      </c>
      <c r="B743" s="152" t="s">
        <v>60</v>
      </c>
      <c r="C743" s="153" t="n">
        <v>22193.12</v>
      </c>
      <c r="D743" s="154" t="s">
        <v>97</v>
      </c>
      <c r="E743" s="153"/>
      <c r="F743" s="154"/>
      <c r="G743" s="152" t="s">
        <v>315</v>
      </c>
      <c r="H743" s="152" t="s">
        <v>132</v>
      </c>
      <c r="I743" s="152"/>
    </row>
    <row r="744" customFormat="false" ht="16.5" hidden="false" customHeight="true" outlineLevel="0" collapsed="false">
      <c r="A744" s="151" t="n">
        <v>45769</v>
      </c>
      <c r="B744" s="152"/>
      <c r="C744" s="153" t="n">
        <v>-998.9</v>
      </c>
      <c r="D744" s="154" t="s">
        <v>97</v>
      </c>
      <c r="E744" s="153"/>
      <c r="F744" s="154" t="s">
        <v>897</v>
      </c>
      <c r="G744" s="152" t="s">
        <v>190</v>
      </c>
      <c r="H744" s="152" t="s">
        <v>114</v>
      </c>
      <c r="I744" s="152"/>
    </row>
    <row r="745" customFormat="false" ht="16.5" hidden="false" customHeight="true" outlineLevel="0" collapsed="false">
      <c r="A745" s="151" t="n">
        <v>45769</v>
      </c>
      <c r="B745" s="152"/>
      <c r="C745" s="153" t="n">
        <v>-498.34</v>
      </c>
      <c r="D745" s="154" t="s">
        <v>97</v>
      </c>
      <c r="E745" s="153"/>
      <c r="F745" s="154" t="s">
        <v>898</v>
      </c>
      <c r="G745" s="152" t="s">
        <v>190</v>
      </c>
      <c r="H745" s="152" t="s">
        <v>112</v>
      </c>
      <c r="I745" s="152"/>
    </row>
    <row r="746" customFormat="false" ht="16.5" hidden="false" customHeight="true" outlineLevel="0" collapsed="false">
      <c r="A746" s="151" t="n">
        <v>45769</v>
      </c>
      <c r="B746" s="152"/>
      <c r="C746" s="153" t="n">
        <v>-998.9</v>
      </c>
      <c r="D746" s="154" t="s">
        <v>97</v>
      </c>
      <c r="E746" s="153"/>
      <c r="F746" s="154" t="s">
        <v>899</v>
      </c>
      <c r="G746" s="152" t="s">
        <v>190</v>
      </c>
      <c r="H746" s="152" t="s">
        <v>113</v>
      </c>
      <c r="I746" s="152"/>
    </row>
    <row r="747" customFormat="false" ht="16.5" hidden="false" customHeight="true" outlineLevel="0" collapsed="false">
      <c r="A747" s="151" t="n">
        <v>45769</v>
      </c>
      <c r="B747" s="152"/>
      <c r="C747" s="153" t="n">
        <v>-498.34</v>
      </c>
      <c r="D747" s="154" t="s">
        <v>97</v>
      </c>
      <c r="E747" s="153"/>
      <c r="F747" s="154" t="s">
        <v>900</v>
      </c>
      <c r="G747" s="152" t="s">
        <v>190</v>
      </c>
      <c r="H747" s="152" t="s">
        <v>111</v>
      </c>
      <c r="I747" s="152"/>
    </row>
    <row r="748" customFormat="false" ht="16.5" hidden="false" customHeight="true" outlineLevel="0" collapsed="false">
      <c r="A748" s="151" t="n">
        <v>45769</v>
      </c>
      <c r="B748" s="152"/>
      <c r="C748" s="153" t="n">
        <v>998.9</v>
      </c>
      <c r="D748" s="154" t="s">
        <v>97</v>
      </c>
      <c r="E748" s="153"/>
      <c r="F748" s="154" t="s">
        <v>897</v>
      </c>
      <c r="G748" s="152" t="s">
        <v>190</v>
      </c>
      <c r="H748" s="152" t="s">
        <v>110</v>
      </c>
      <c r="I748" s="152"/>
    </row>
    <row r="749" customFormat="false" ht="16.5" hidden="false" customHeight="true" outlineLevel="0" collapsed="false">
      <c r="A749" s="151" t="n">
        <v>45769</v>
      </c>
      <c r="B749" s="152"/>
      <c r="C749" s="153" t="n">
        <v>498.34</v>
      </c>
      <c r="D749" s="154" t="s">
        <v>97</v>
      </c>
      <c r="E749" s="153"/>
      <c r="F749" s="154" t="s">
        <v>898</v>
      </c>
      <c r="G749" s="152" t="s">
        <v>190</v>
      </c>
      <c r="H749" s="152" t="s">
        <v>110</v>
      </c>
      <c r="I749" s="152"/>
    </row>
    <row r="750" customFormat="false" ht="16.5" hidden="false" customHeight="true" outlineLevel="0" collapsed="false">
      <c r="A750" s="151" t="n">
        <v>45769</v>
      </c>
      <c r="B750" s="152"/>
      <c r="C750" s="153" t="n">
        <v>998.9</v>
      </c>
      <c r="D750" s="154" t="s">
        <v>97</v>
      </c>
      <c r="E750" s="153"/>
      <c r="F750" s="154" t="s">
        <v>899</v>
      </c>
      <c r="G750" s="152" t="s">
        <v>190</v>
      </c>
      <c r="H750" s="152" t="s">
        <v>110</v>
      </c>
      <c r="I750" s="152"/>
    </row>
    <row r="751" customFormat="false" ht="16.5" hidden="false" customHeight="true" outlineLevel="0" collapsed="false">
      <c r="A751" s="151" t="n">
        <v>45769</v>
      </c>
      <c r="B751" s="152"/>
      <c r="C751" s="153" t="n">
        <v>498.34</v>
      </c>
      <c r="D751" s="154" t="s">
        <v>97</v>
      </c>
      <c r="E751" s="153"/>
      <c r="F751" s="154" t="s">
        <v>900</v>
      </c>
      <c r="G751" s="152" t="s">
        <v>190</v>
      </c>
      <c r="H751" s="152" t="s">
        <v>110</v>
      </c>
      <c r="I751" s="152"/>
    </row>
    <row r="752" customFormat="false" ht="16.5" hidden="false" customHeight="true" outlineLevel="0" collapsed="false">
      <c r="A752" s="151" t="n">
        <v>45769</v>
      </c>
      <c r="B752" s="152" t="s">
        <v>60</v>
      </c>
      <c r="C752" s="153" t="n">
        <v>3952.13</v>
      </c>
      <c r="D752" s="154" t="s">
        <v>97</v>
      </c>
      <c r="E752" s="153"/>
      <c r="F752" s="154"/>
      <c r="G752" s="152" t="s">
        <v>315</v>
      </c>
      <c r="H752" s="152" t="s">
        <v>114</v>
      </c>
      <c r="I752" s="152"/>
    </row>
    <row r="753" customFormat="false" ht="16.5" hidden="false" customHeight="true" outlineLevel="0" collapsed="false">
      <c r="A753" s="151" t="n">
        <v>45769</v>
      </c>
      <c r="B753" s="152" t="s">
        <v>60</v>
      </c>
      <c r="C753" s="153" t="n">
        <v>1969.8</v>
      </c>
      <c r="D753" s="154" t="s">
        <v>97</v>
      </c>
      <c r="E753" s="153"/>
      <c r="F753" s="154"/>
      <c r="G753" s="152" t="s">
        <v>315</v>
      </c>
      <c r="H753" s="152" t="s">
        <v>112</v>
      </c>
      <c r="I753" s="152"/>
    </row>
    <row r="754" customFormat="false" ht="16.5" hidden="false" customHeight="true" outlineLevel="0" collapsed="false">
      <c r="A754" s="151" t="n">
        <v>45769</v>
      </c>
      <c r="B754" s="152" t="s">
        <v>60</v>
      </c>
      <c r="C754" s="153" t="n">
        <v>3952.24</v>
      </c>
      <c r="D754" s="154" t="s">
        <v>97</v>
      </c>
      <c r="E754" s="153"/>
      <c r="F754" s="154"/>
      <c r="G754" s="152" t="s">
        <v>315</v>
      </c>
      <c r="H754" s="152" t="s">
        <v>113</v>
      </c>
      <c r="I754" s="152"/>
    </row>
    <row r="755" customFormat="false" ht="16.5" hidden="false" customHeight="true" outlineLevel="0" collapsed="false">
      <c r="A755" s="151" t="n">
        <v>45769</v>
      </c>
      <c r="B755" s="152" t="s">
        <v>60</v>
      </c>
      <c r="C755" s="153" t="n">
        <v>1969.8</v>
      </c>
      <c r="D755" s="154" t="s">
        <v>97</v>
      </c>
      <c r="E755" s="153"/>
      <c r="F755" s="154"/>
      <c r="G755" s="152" t="s">
        <v>315</v>
      </c>
      <c r="H755" s="152" t="s">
        <v>111</v>
      </c>
      <c r="I755" s="152"/>
    </row>
    <row r="756" customFormat="false" ht="16.5" hidden="false" customHeight="true" outlineLevel="0" collapsed="false">
      <c r="A756" s="151" t="n">
        <v>45769</v>
      </c>
      <c r="B756" s="152" t="s">
        <v>60</v>
      </c>
      <c r="C756" s="153" t="n">
        <v>3050.71</v>
      </c>
      <c r="D756" s="154" t="s">
        <v>97</v>
      </c>
      <c r="E756" s="153"/>
      <c r="F756" s="154"/>
      <c r="G756" s="152" t="s">
        <v>315</v>
      </c>
      <c r="H756" s="152" t="s">
        <v>110</v>
      </c>
      <c r="I756" s="152"/>
    </row>
    <row r="757" customFormat="false" ht="16.5" hidden="false" customHeight="true" outlineLevel="0" collapsed="false">
      <c r="A757" s="151" t="n">
        <v>45786</v>
      </c>
      <c r="B757" s="152" t="s">
        <v>60</v>
      </c>
      <c r="C757" s="153" t="n">
        <v>998.07</v>
      </c>
      <c r="D757" s="154" t="s">
        <v>97</v>
      </c>
      <c r="E757" s="153"/>
      <c r="F757" s="154"/>
      <c r="G757" s="152" t="s">
        <v>315</v>
      </c>
      <c r="H757" s="152" t="s">
        <v>117</v>
      </c>
      <c r="I757" s="152"/>
    </row>
    <row r="758" customFormat="false" ht="16.5" hidden="false" customHeight="true" outlineLevel="0" collapsed="false">
      <c r="A758" s="151" t="n">
        <v>45786</v>
      </c>
      <c r="B758" s="152" t="s">
        <v>60</v>
      </c>
      <c r="C758" s="159" t="n">
        <v>6905.06</v>
      </c>
      <c r="D758" s="154" t="s">
        <v>103</v>
      </c>
      <c r="E758" s="153"/>
      <c r="F758" s="154"/>
      <c r="G758" s="152" t="s">
        <v>315</v>
      </c>
      <c r="H758" s="152" t="s">
        <v>125</v>
      </c>
      <c r="I758" s="152"/>
    </row>
    <row r="759" customFormat="false" ht="16.5" hidden="false" customHeight="true" outlineLevel="0" collapsed="false">
      <c r="A759" s="151" t="n">
        <v>45771</v>
      </c>
      <c r="B759" s="152" t="s">
        <v>901</v>
      </c>
      <c r="C759" s="158" t="n">
        <v>0.95386</v>
      </c>
      <c r="D759" s="154" t="s">
        <v>150</v>
      </c>
      <c r="E759" s="153" t="n">
        <v>69.77</v>
      </c>
      <c r="F759" s="154" t="s">
        <v>902</v>
      </c>
      <c r="G759" s="152" t="s">
        <v>189</v>
      </c>
      <c r="H759" s="152" t="s">
        <v>149</v>
      </c>
      <c r="I759" s="152"/>
    </row>
    <row r="760" customFormat="false" ht="16.5" hidden="false" customHeight="true" outlineLevel="0" collapsed="false">
      <c r="A760" s="151" t="n">
        <v>45771</v>
      </c>
      <c r="B760" s="152" t="s">
        <v>903</v>
      </c>
      <c r="C760" s="158" t="n">
        <v>0.87562</v>
      </c>
      <c r="D760" s="154" t="s">
        <v>150</v>
      </c>
      <c r="E760" s="153" t="n">
        <v>80.44</v>
      </c>
      <c r="F760" s="154" t="s">
        <v>902</v>
      </c>
      <c r="G760" s="152" t="s">
        <v>189</v>
      </c>
      <c r="H760" s="152" t="s">
        <v>149</v>
      </c>
      <c r="I760" s="152"/>
    </row>
    <row r="761" customFormat="false" ht="16.5" hidden="false" customHeight="true" outlineLevel="0" collapsed="false">
      <c r="A761" s="151" t="n">
        <v>45771</v>
      </c>
      <c r="B761" s="152" t="s">
        <v>904</v>
      </c>
      <c r="C761" s="158" t="n">
        <v>0.32973</v>
      </c>
      <c r="D761" s="154" t="s">
        <v>150</v>
      </c>
      <c r="E761" s="153" t="n">
        <v>19.98</v>
      </c>
      <c r="F761" s="154" t="s">
        <v>902</v>
      </c>
      <c r="G761" s="152" t="s">
        <v>189</v>
      </c>
      <c r="H761" s="152" t="s">
        <v>149</v>
      </c>
      <c r="I761" s="152"/>
    </row>
    <row r="762" customFormat="false" ht="16.5" hidden="false" customHeight="true" outlineLevel="0" collapsed="false">
      <c r="A762" s="151" t="n">
        <v>45771</v>
      </c>
      <c r="B762" s="152" t="s">
        <v>905</v>
      </c>
      <c r="C762" s="158" t="n">
        <v>0.2797</v>
      </c>
      <c r="D762" s="154" t="s">
        <v>150</v>
      </c>
      <c r="E762" s="153" t="n">
        <v>28.03</v>
      </c>
      <c r="F762" s="154" t="s">
        <v>902</v>
      </c>
      <c r="G762" s="152" t="s">
        <v>189</v>
      </c>
      <c r="H762" s="152" t="s">
        <v>149</v>
      </c>
      <c r="I762" s="152"/>
    </row>
    <row r="763" customFormat="false" ht="16.5" hidden="false" customHeight="true" outlineLevel="0" collapsed="false">
      <c r="A763" s="151" t="n">
        <v>45777</v>
      </c>
      <c r="B763" s="152" t="s">
        <v>60</v>
      </c>
      <c r="C763" s="153" t="n">
        <v>21283.46</v>
      </c>
      <c r="D763" s="154" t="s">
        <v>97</v>
      </c>
      <c r="E763" s="153"/>
      <c r="F763" s="154"/>
      <c r="G763" s="152" t="s">
        <v>315</v>
      </c>
      <c r="H763" s="152" t="s">
        <v>96</v>
      </c>
      <c r="I763" s="152"/>
    </row>
    <row r="764" customFormat="false" ht="16.5" hidden="false" customHeight="true" outlineLevel="0" collapsed="false">
      <c r="A764" s="151" t="n">
        <v>45777</v>
      </c>
      <c r="B764" s="152" t="s">
        <v>60</v>
      </c>
      <c r="C764" s="153" t="n">
        <v>16797.7</v>
      </c>
      <c r="D764" s="154" t="s">
        <v>97</v>
      </c>
      <c r="E764" s="153"/>
      <c r="F764" s="154"/>
      <c r="G764" s="152" t="s">
        <v>315</v>
      </c>
      <c r="H764" s="152" t="s">
        <v>98</v>
      </c>
      <c r="I764" s="152"/>
    </row>
    <row r="765" customFormat="false" ht="16.5" hidden="false" customHeight="true" outlineLevel="0" collapsed="false">
      <c r="A765" s="151" t="n">
        <v>45777</v>
      </c>
      <c r="B765" s="152" t="s">
        <v>60</v>
      </c>
      <c r="C765" s="153" t="n">
        <v>9494.51</v>
      </c>
      <c r="D765" s="154" t="s">
        <v>97</v>
      </c>
      <c r="E765" s="153"/>
      <c r="F765" s="154"/>
      <c r="G765" s="152" t="s">
        <v>315</v>
      </c>
      <c r="H765" s="152" t="s">
        <v>100</v>
      </c>
      <c r="I765" s="152"/>
    </row>
    <row r="766" customFormat="false" ht="16.5" hidden="false" customHeight="true" outlineLevel="0" collapsed="false">
      <c r="A766" s="151" t="n">
        <v>45777</v>
      </c>
      <c r="B766" s="152" t="s">
        <v>60</v>
      </c>
      <c r="C766" s="153" t="n">
        <v>111.56</v>
      </c>
      <c r="D766" s="154" t="s">
        <v>97</v>
      </c>
      <c r="E766" s="153"/>
      <c r="F766" s="154"/>
      <c r="G766" s="152" t="s">
        <v>315</v>
      </c>
      <c r="H766" s="152" t="s">
        <v>122</v>
      </c>
      <c r="I766" s="152"/>
    </row>
    <row r="767" customFormat="false" ht="16.5" hidden="false" customHeight="true" outlineLevel="0" collapsed="false">
      <c r="A767" s="151" t="n">
        <v>45748</v>
      </c>
      <c r="B767" s="152" t="s">
        <v>543</v>
      </c>
      <c r="C767" s="153" t="n">
        <v>20.71</v>
      </c>
      <c r="D767" s="154" t="s">
        <v>97</v>
      </c>
      <c r="E767" s="153"/>
      <c r="F767" s="154"/>
      <c r="G767" s="152" t="s">
        <v>199</v>
      </c>
      <c r="H767" s="152" t="s">
        <v>122</v>
      </c>
      <c r="I767" s="152"/>
    </row>
    <row r="768" customFormat="false" ht="16.5" hidden="false" customHeight="true" outlineLevel="0" collapsed="false">
      <c r="A768" s="151" t="n">
        <v>45764</v>
      </c>
      <c r="B768" s="152" t="s">
        <v>549</v>
      </c>
      <c r="C768" s="153" t="n">
        <v>0.32</v>
      </c>
      <c r="D768" s="154" t="s">
        <v>97</v>
      </c>
      <c r="E768" s="153"/>
      <c r="F768" s="154"/>
      <c r="G768" s="152" t="s">
        <v>199</v>
      </c>
      <c r="H768" s="152" t="s">
        <v>122</v>
      </c>
      <c r="I768" s="152"/>
    </row>
    <row r="769" customFormat="false" ht="16.5" hidden="false" customHeight="true" outlineLevel="0" collapsed="false">
      <c r="A769" s="151" t="n">
        <v>45775</v>
      </c>
      <c r="B769" s="152" t="s">
        <v>589</v>
      </c>
      <c r="C769" s="153" t="n">
        <v>2.11</v>
      </c>
      <c r="D769" s="154" t="s">
        <v>97</v>
      </c>
      <c r="E769" s="153"/>
      <c r="F769" s="154"/>
      <c r="G769" s="152" t="s">
        <v>199</v>
      </c>
      <c r="H769" s="152" t="s">
        <v>122</v>
      </c>
      <c r="I769" s="152"/>
    </row>
    <row r="770" customFormat="false" ht="16.5" hidden="false" customHeight="true" outlineLevel="0" collapsed="false">
      <c r="A770" s="151" t="n">
        <v>45776</v>
      </c>
      <c r="B770" s="152" t="s">
        <v>906</v>
      </c>
      <c r="C770" s="153" t="n">
        <v>19.03</v>
      </c>
      <c r="D770" s="154" t="s">
        <v>97</v>
      </c>
      <c r="E770" s="153"/>
      <c r="F770" s="154"/>
      <c r="G770" s="152" t="s">
        <v>199</v>
      </c>
      <c r="H770" s="152" t="s">
        <v>122</v>
      </c>
      <c r="I770" s="152"/>
    </row>
    <row r="771" customFormat="false" ht="16.5" hidden="false" customHeight="true" outlineLevel="0" collapsed="false">
      <c r="A771" s="151" t="n">
        <v>45780</v>
      </c>
      <c r="B771" s="152" t="s">
        <v>907</v>
      </c>
      <c r="C771" s="158" t="n">
        <v>4.17827</v>
      </c>
      <c r="D771" s="154" t="s">
        <v>150</v>
      </c>
      <c r="E771" s="153" t="n">
        <v>339.37</v>
      </c>
      <c r="F771" s="154" t="s">
        <v>908</v>
      </c>
      <c r="G771" s="152" t="s">
        <v>189</v>
      </c>
      <c r="H771" s="152" t="s">
        <v>149</v>
      </c>
      <c r="I771" s="152"/>
    </row>
    <row r="772" customFormat="false" ht="16.5" hidden="false" customHeight="true" outlineLevel="0" collapsed="false">
      <c r="A772" s="151" t="n">
        <v>45780</v>
      </c>
      <c r="B772" s="152" t="s">
        <v>909</v>
      </c>
      <c r="C772" s="158" t="n">
        <v>0.66509</v>
      </c>
      <c r="D772" s="154" t="s">
        <v>150</v>
      </c>
      <c r="E772" s="153" t="n">
        <v>40.15</v>
      </c>
      <c r="F772" s="154" t="s">
        <v>910</v>
      </c>
      <c r="G772" s="152" t="s">
        <v>189</v>
      </c>
      <c r="H772" s="152" t="s">
        <v>149</v>
      </c>
      <c r="I772" s="152"/>
    </row>
    <row r="773" customFormat="false" ht="16.5" hidden="false" customHeight="true" outlineLevel="0" collapsed="false">
      <c r="A773" s="151" t="n">
        <v>45780</v>
      </c>
      <c r="B773" s="152" t="s">
        <v>60</v>
      </c>
      <c r="C773" s="158" t="n">
        <v>95.67448</v>
      </c>
      <c r="D773" s="154" t="s">
        <v>150</v>
      </c>
      <c r="E773" s="153"/>
      <c r="F773" s="154"/>
      <c r="G773" s="152" t="s">
        <v>315</v>
      </c>
      <c r="H773" s="152" t="s">
        <v>149</v>
      </c>
      <c r="I773" s="152"/>
    </row>
    <row r="774" customFormat="false" ht="16.5" hidden="false" customHeight="true" outlineLevel="0" collapsed="false">
      <c r="A774" s="151" t="n">
        <v>45780</v>
      </c>
      <c r="B774" s="152"/>
      <c r="C774" s="153" t="n">
        <v>-40.15</v>
      </c>
      <c r="D774" s="154" t="s">
        <v>97</v>
      </c>
      <c r="E774" s="153" t="n">
        <v>-40.15</v>
      </c>
      <c r="F774" s="154" t="s">
        <v>910</v>
      </c>
      <c r="G774" s="152" t="s">
        <v>189</v>
      </c>
      <c r="H774" s="152" t="s">
        <v>108</v>
      </c>
      <c r="I774" s="152"/>
    </row>
    <row r="775" customFormat="false" ht="16.5" hidden="false" customHeight="true" outlineLevel="0" collapsed="false">
      <c r="A775" s="151" t="n">
        <v>45780</v>
      </c>
      <c r="B775" s="152" t="s">
        <v>60</v>
      </c>
      <c r="C775" s="153" t="n">
        <v>1171.21</v>
      </c>
      <c r="D775" s="154" t="s">
        <v>97</v>
      </c>
      <c r="E775" s="153"/>
      <c r="F775" s="154"/>
      <c r="G775" s="152" t="s">
        <v>315</v>
      </c>
      <c r="H775" s="152" t="s">
        <v>108</v>
      </c>
      <c r="I775" s="152"/>
    </row>
    <row r="776" customFormat="false" ht="16.5" hidden="false" customHeight="true" outlineLevel="0" collapsed="false">
      <c r="A776" s="151" t="n">
        <v>45779</v>
      </c>
      <c r="B776" s="152" t="s">
        <v>606</v>
      </c>
      <c r="C776" s="153" t="n">
        <v>-339.37</v>
      </c>
      <c r="D776" s="154" t="s">
        <v>97</v>
      </c>
      <c r="E776" s="153"/>
      <c r="F776" s="154"/>
      <c r="G776" s="152" t="s">
        <v>162</v>
      </c>
      <c r="H776" s="152" t="s">
        <v>106</v>
      </c>
      <c r="I776" s="152"/>
    </row>
    <row r="777" customFormat="false" ht="16.5" hidden="false" customHeight="true" outlineLevel="0" collapsed="false">
      <c r="A777" s="151" t="n">
        <v>45779</v>
      </c>
      <c r="B777" s="152" t="s">
        <v>911</v>
      </c>
      <c r="C777" s="153" t="n">
        <v>26.7</v>
      </c>
      <c r="D777" s="154" t="s">
        <v>97</v>
      </c>
      <c r="E777" s="153"/>
      <c r="F777" s="154"/>
      <c r="G777" s="152" t="s">
        <v>224</v>
      </c>
      <c r="H777" s="152" t="s">
        <v>106</v>
      </c>
      <c r="I777" s="152"/>
    </row>
    <row r="778" customFormat="false" ht="16.5" hidden="false" customHeight="true" outlineLevel="0" collapsed="false">
      <c r="A778" s="151" t="n">
        <v>45779</v>
      </c>
      <c r="B778" s="152" t="s">
        <v>912</v>
      </c>
      <c r="C778" s="153" t="n">
        <v>597.96</v>
      </c>
      <c r="D778" s="154" t="s">
        <v>97</v>
      </c>
      <c r="E778" s="153"/>
      <c r="F778" s="154"/>
      <c r="G778" s="152" t="s">
        <v>194</v>
      </c>
      <c r="H778" s="152" t="s">
        <v>106</v>
      </c>
      <c r="I778" s="152"/>
    </row>
    <row r="779" customFormat="false" ht="16.5" hidden="false" customHeight="true" outlineLevel="0" collapsed="false">
      <c r="A779" s="151" t="n">
        <v>45779</v>
      </c>
      <c r="B779" s="152" t="s">
        <v>913</v>
      </c>
      <c r="C779" s="153" t="n">
        <v>266.95</v>
      </c>
      <c r="D779" s="154" t="s">
        <v>97</v>
      </c>
      <c r="E779" s="153"/>
      <c r="F779" s="154"/>
      <c r="G779" s="152" t="s">
        <v>206</v>
      </c>
      <c r="H779" s="152" t="s">
        <v>106</v>
      </c>
      <c r="I779" s="152"/>
    </row>
    <row r="780" customFormat="false" ht="16.5" hidden="false" customHeight="true" outlineLevel="0" collapsed="false">
      <c r="A780" s="151" t="n">
        <v>45779</v>
      </c>
      <c r="B780" s="152" t="s">
        <v>914</v>
      </c>
      <c r="C780" s="153" t="n">
        <v>100.69</v>
      </c>
      <c r="D780" s="154" t="s">
        <v>97</v>
      </c>
      <c r="E780" s="153"/>
      <c r="F780" s="154"/>
      <c r="G780" s="152" t="s">
        <v>206</v>
      </c>
      <c r="H780" s="152" t="s">
        <v>106</v>
      </c>
      <c r="I780" s="152"/>
    </row>
    <row r="781" customFormat="false" ht="16.5" hidden="false" customHeight="true" outlineLevel="0" collapsed="false">
      <c r="A781" s="151" t="n">
        <v>45779</v>
      </c>
      <c r="B781" s="152" t="s">
        <v>915</v>
      </c>
      <c r="C781" s="153" t="n">
        <v>-158.83</v>
      </c>
      <c r="D781" s="154" t="s">
        <v>97</v>
      </c>
      <c r="E781" s="153" t="n">
        <v>-158.83</v>
      </c>
      <c r="F781" s="154" t="s">
        <v>871</v>
      </c>
      <c r="G781" s="152" t="s">
        <v>189</v>
      </c>
      <c r="H781" s="152" t="s">
        <v>106</v>
      </c>
      <c r="I781" s="152"/>
    </row>
    <row r="782" customFormat="false" ht="16.5" hidden="false" customHeight="true" outlineLevel="0" collapsed="false">
      <c r="A782" s="151" t="n">
        <v>45779</v>
      </c>
      <c r="B782" s="152" t="s">
        <v>916</v>
      </c>
      <c r="C782" s="153" t="n">
        <v>-38.47</v>
      </c>
      <c r="D782" s="154" t="s">
        <v>97</v>
      </c>
      <c r="E782" s="153"/>
      <c r="F782" s="154"/>
      <c r="G782" s="152" t="s">
        <v>231</v>
      </c>
      <c r="H782" s="152" t="s">
        <v>106</v>
      </c>
      <c r="I782" s="152"/>
    </row>
    <row r="783" customFormat="false" ht="16.5" hidden="false" customHeight="true" outlineLevel="0" collapsed="false">
      <c r="A783" s="151" t="n">
        <v>45779</v>
      </c>
      <c r="B783" s="152" t="s">
        <v>917</v>
      </c>
      <c r="C783" s="153" t="n">
        <v>-36.66</v>
      </c>
      <c r="D783" s="154" t="s">
        <v>97</v>
      </c>
      <c r="E783" s="153"/>
      <c r="F783" s="154"/>
      <c r="G783" s="152" t="s">
        <v>213</v>
      </c>
      <c r="H783" s="152" t="s">
        <v>106</v>
      </c>
      <c r="I783" s="152"/>
    </row>
    <row r="784" customFormat="false" ht="16.5" hidden="false" customHeight="true" outlineLevel="0" collapsed="false">
      <c r="A784" s="151" t="n">
        <v>45779</v>
      </c>
      <c r="B784" s="152" t="s">
        <v>918</v>
      </c>
      <c r="C784" s="153" t="n">
        <v>-31.96</v>
      </c>
      <c r="D784" s="154" t="s">
        <v>97</v>
      </c>
      <c r="E784" s="153"/>
      <c r="F784" s="154"/>
      <c r="G784" s="152" t="s">
        <v>213</v>
      </c>
      <c r="H784" s="152" t="s">
        <v>106</v>
      </c>
      <c r="I784" s="152"/>
    </row>
    <row r="785" customFormat="false" ht="16.5" hidden="false" customHeight="true" outlineLevel="0" collapsed="false">
      <c r="A785" s="151" t="n">
        <v>45779</v>
      </c>
      <c r="B785" s="152" t="s">
        <v>919</v>
      </c>
      <c r="C785" s="153" t="n">
        <v>-26.19</v>
      </c>
      <c r="D785" s="154" t="s">
        <v>97</v>
      </c>
      <c r="E785" s="153"/>
      <c r="F785" s="154"/>
      <c r="G785" s="152" t="s">
        <v>213</v>
      </c>
      <c r="H785" s="152" t="s">
        <v>106</v>
      </c>
      <c r="I785" s="152"/>
    </row>
    <row r="786" customFormat="false" ht="16.5" hidden="false" customHeight="true" outlineLevel="0" collapsed="false">
      <c r="A786" s="151" t="n">
        <v>45779</v>
      </c>
      <c r="B786" s="152" t="s">
        <v>920</v>
      </c>
      <c r="C786" s="153" t="n">
        <v>-23.7</v>
      </c>
      <c r="D786" s="154" t="s">
        <v>97</v>
      </c>
      <c r="E786" s="153"/>
      <c r="F786" s="154"/>
      <c r="G786" s="152" t="s">
        <v>213</v>
      </c>
      <c r="H786" s="152" t="s">
        <v>106</v>
      </c>
      <c r="I786" s="152"/>
    </row>
    <row r="787" customFormat="false" ht="16.5" hidden="false" customHeight="true" outlineLevel="0" collapsed="false">
      <c r="A787" s="151" t="n">
        <v>45779</v>
      </c>
      <c r="B787" s="152" t="s">
        <v>921</v>
      </c>
      <c r="C787" s="153" t="n">
        <v>-18.24</v>
      </c>
      <c r="D787" s="154" t="s">
        <v>97</v>
      </c>
      <c r="E787" s="153"/>
      <c r="F787" s="154"/>
      <c r="G787" s="152" t="s">
        <v>213</v>
      </c>
      <c r="H787" s="152" t="s">
        <v>106</v>
      </c>
      <c r="I787" s="152"/>
    </row>
    <row r="788" customFormat="false" ht="16.5" hidden="false" customHeight="true" outlineLevel="0" collapsed="false">
      <c r="A788" s="151" t="n">
        <v>45779</v>
      </c>
      <c r="B788" s="152" t="s">
        <v>922</v>
      </c>
      <c r="C788" s="153" t="n">
        <v>-17.34</v>
      </c>
      <c r="D788" s="154" t="s">
        <v>97</v>
      </c>
      <c r="E788" s="153"/>
      <c r="F788" s="154"/>
      <c r="G788" s="152" t="s">
        <v>41</v>
      </c>
      <c r="H788" s="152" t="s">
        <v>106</v>
      </c>
      <c r="I788" s="152"/>
    </row>
    <row r="789" customFormat="false" ht="16.5" hidden="false" customHeight="true" outlineLevel="0" collapsed="false">
      <c r="A789" s="151" t="n">
        <v>45779</v>
      </c>
      <c r="B789" s="152" t="s">
        <v>923</v>
      </c>
      <c r="C789" s="153" t="n">
        <v>-12.56</v>
      </c>
      <c r="D789" s="154" t="s">
        <v>97</v>
      </c>
      <c r="E789" s="153"/>
      <c r="F789" s="154"/>
      <c r="G789" s="152" t="s">
        <v>213</v>
      </c>
      <c r="H789" s="152" t="s">
        <v>106</v>
      </c>
      <c r="I789" s="152"/>
    </row>
    <row r="790" customFormat="false" ht="16.5" hidden="false" customHeight="true" outlineLevel="0" collapsed="false">
      <c r="A790" s="151" t="n">
        <v>45779</v>
      </c>
      <c r="B790" s="152" t="s">
        <v>924</v>
      </c>
      <c r="C790" s="153" t="n">
        <v>-8.02</v>
      </c>
      <c r="D790" s="154" t="s">
        <v>97</v>
      </c>
      <c r="E790" s="153"/>
      <c r="F790" s="154"/>
      <c r="G790" s="152" t="s">
        <v>164</v>
      </c>
      <c r="H790" s="152" t="s">
        <v>106</v>
      </c>
      <c r="I790" s="152"/>
    </row>
    <row r="791" customFormat="false" ht="16.5" hidden="false" customHeight="true" outlineLevel="0" collapsed="false">
      <c r="A791" s="151" t="n">
        <v>45779</v>
      </c>
      <c r="B791" s="152" t="s">
        <v>925</v>
      </c>
      <c r="C791" s="153" t="n">
        <v>-7.39</v>
      </c>
      <c r="D791" s="154" t="s">
        <v>97</v>
      </c>
      <c r="E791" s="153"/>
      <c r="F791" s="154"/>
      <c r="G791" s="152" t="s">
        <v>164</v>
      </c>
      <c r="H791" s="152" t="s">
        <v>106</v>
      </c>
      <c r="I791" s="152"/>
    </row>
    <row r="792" customFormat="false" ht="16.5" hidden="false" customHeight="true" outlineLevel="0" collapsed="false">
      <c r="A792" s="151" t="n">
        <v>45779</v>
      </c>
      <c r="B792" s="152" t="s">
        <v>926</v>
      </c>
      <c r="C792" s="153" t="n">
        <v>-6.28</v>
      </c>
      <c r="D792" s="154" t="s">
        <v>97</v>
      </c>
      <c r="E792" s="153"/>
      <c r="F792" s="154"/>
      <c r="G792" s="152" t="s">
        <v>168</v>
      </c>
      <c r="H792" s="152" t="s">
        <v>106</v>
      </c>
      <c r="I792" s="152"/>
    </row>
    <row r="793" customFormat="false" ht="16.5" hidden="false" customHeight="true" outlineLevel="0" collapsed="false">
      <c r="A793" s="151" t="n">
        <v>45779</v>
      </c>
      <c r="B793" s="152" t="s">
        <v>927</v>
      </c>
      <c r="C793" s="153" t="n">
        <v>-5.8</v>
      </c>
      <c r="D793" s="154" t="s">
        <v>97</v>
      </c>
      <c r="E793" s="153"/>
      <c r="F793" s="154"/>
      <c r="G793" s="152" t="s">
        <v>164</v>
      </c>
      <c r="H793" s="152" t="s">
        <v>106</v>
      </c>
      <c r="I793" s="152"/>
    </row>
    <row r="794" customFormat="false" ht="16.5" hidden="false" customHeight="true" outlineLevel="0" collapsed="false">
      <c r="A794" s="151" t="n">
        <v>45779</v>
      </c>
      <c r="B794" s="152" t="s">
        <v>928</v>
      </c>
      <c r="C794" s="153" t="n">
        <v>-5.21</v>
      </c>
      <c r="D794" s="154" t="s">
        <v>97</v>
      </c>
      <c r="E794" s="153"/>
      <c r="F794" s="154"/>
      <c r="G794" s="152" t="s">
        <v>213</v>
      </c>
      <c r="H794" s="152" t="s">
        <v>106</v>
      </c>
      <c r="I794" s="152"/>
    </row>
    <row r="795" customFormat="false" ht="16.5" hidden="false" customHeight="true" outlineLevel="0" collapsed="false">
      <c r="A795" s="151" t="n">
        <v>45779</v>
      </c>
      <c r="B795" s="152" t="s">
        <v>929</v>
      </c>
      <c r="C795" s="153" t="n">
        <v>-5.1</v>
      </c>
      <c r="D795" s="154" t="s">
        <v>97</v>
      </c>
      <c r="E795" s="153"/>
      <c r="F795" s="154"/>
      <c r="G795" s="152" t="s">
        <v>213</v>
      </c>
      <c r="H795" s="152" t="s">
        <v>106</v>
      </c>
      <c r="I795" s="152"/>
    </row>
    <row r="796" customFormat="false" ht="16.5" hidden="false" customHeight="true" outlineLevel="0" collapsed="false">
      <c r="A796" s="151" t="n">
        <v>45779</v>
      </c>
      <c r="B796" s="152" t="s">
        <v>930</v>
      </c>
      <c r="C796" s="153" t="n">
        <v>-4.99</v>
      </c>
      <c r="D796" s="154" t="s">
        <v>97</v>
      </c>
      <c r="E796" s="153"/>
      <c r="F796" s="154"/>
      <c r="G796" s="152" t="s">
        <v>162</v>
      </c>
      <c r="H796" s="152" t="s">
        <v>106</v>
      </c>
      <c r="I796" s="152"/>
    </row>
    <row r="797" customFormat="false" ht="16.5" hidden="false" customHeight="true" outlineLevel="0" collapsed="false">
      <c r="A797" s="151" t="n">
        <v>45779</v>
      </c>
      <c r="B797" s="152" t="s">
        <v>931</v>
      </c>
      <c r="C797" s="153" t="n">
        <v>-4.8</v>
      </c>
      <c r="D797" s="154" t="s">
        <v>97</v>
      </c>
      <c r="E797" s="153"/>
      <c r="F797" s="154"/>
      <c r="G797" s="152" t="s">
        <v>210</v>
      </c>
      <c r="H797" s="152" t="s">
        <v>106</v>
      </c>
      <c r="I797" s="152"/>
    </row>
    <row r="798" customFormat="false" ht="16.5" hidden="false" customHeight="true" outlineLevel="0" collapsed="false">
      <c r="A798" s="151" t="n">
        <v>45779</v>
      </c>
      <c r="B798" s="152" t="s">
        <v>932</v>
      </c>
      <c r="C798" s="153" t="n">
        <v>-4.38</v>
      </c>
      <c r="D798" s="154" t="s">
        <v>97</v>
      </c>
      <c r="E798" s="153"/>
      <c r="F798" s="154"/>
      <c r="G798" s="152" t="s">
        <v>168</v>
      </c>
      <c r="H798" s="152" t="s">
        <v>106</v>
      </c>
      <c r="I798" s="152"/>
    </row>
    <row r="799" customFormat="false" ht="16.5" hidden="false" customHeight="true" outlineLevel="0" collapsed="false">
      <c r="A799" s="151" t="n">
        <v>45779</v>
      </c>
      <c r="B799" s="152" t="s">
        <v>933</v>
      </c>
      <c r="C799" s="153" t="n">
        <v>-4.17</v>
      </c>
      <c r="D799" s="154" t="s">
        <v>97</v>
      </c>
      <c r="E799" s="153"/>
      <c r="F799" s="154"/>
      <c r="G799" s="152" t="s">
        <v>167</v>
      </c>
      <c r="H799" s="152" t="s">
        <v>106</v>
      </c>
      <c r="I799" s="152"/>
    </row>
    <row r="800" customFormat="false" ht="16.5" hidden="false" customHeight="true" outlineLevel="0" collapsed="false">
      <c r="A800" s="151" t="n">
        <v>45779</v>
      </c>
      <c r="B800" s="152" t="s">
        <v>934</v>
      </c>
      <c r="C800" s="153" t="n">
        <v>-4.14</v>
      </c>
      <c r="D800" s="154" t="s">
        <v>97</v>
      </c>
      <c r="E800" s="153"/>
      <c r="F800" s="154"/>
      <c r="G800" s="152" t="s">
        <v>231</v>
      </c>
      <c r="H800" s="152" t="s">
        <v>106</v>
      </c>
      <c r="I800" s="152"/>
    </row>
    <row r="801" customFormat="false" ht="16.5" hidden="false" customHeight="true" outlineLevel="0" collapsed="false">
      <c r="A801" s="151" t="n">
        <v>45779</v>
      </c>
      <c r="B801" s="152" t="s">
        <v>935</v>
      </c>
      <c r="C801" s="153" t="n">
        <v>-3.34</v>
      </c>
      <c r="D801" s="154" t="s">
        <v>97</v>
      </c>
      <c r="E801" s="153"/>
      <c r="F801" s="154"/>
      <c r="G801" s="152" t="s">
        <v>213</v>
      </c>
      <c r="H801" s="152" t="s">
        <v>106</v>
      </c>
      <c r="I801" s="152"/>
    </row>
    <row r="802" customFormat="false" ht="16.5" hidden="false" customHeight="true" outlineLevel="0" collapsed="false">
      <c r="A802" s="151" t="n">
        <v>45779</v>
      </c>
      <c r="B802" s="152" t="s">
        <v>936</v>
      </c>
      <c r="C802" s="153" t="n">
        <v>-2.98</v>
      </c>
      <c r="D802" s="154" t="s">
        <v>97</v>
      </c>
      <c r="E802" s="153"/>
      <c r="F802" s="154"/>
      <c r="G802" s="152" t="s">
        <v>213</v>
      </c>
      <c r="H802" s="152" t="s">
        <v>106</v>
      </c>
      <c r="I802" s="152"/>
    </row>
    <row r="803" customFormat="false" ht="16.5" hidden="false" customHeight="true" outlineLevel="0" collapsed="false">
      <c r="A803" s="151" t="n">
        <v>45779</v>
      </c>
      <c r="B803" s="152" t="s">
        <v>937</v>
      </c>
      <c r="C803" s="153" t="n">
        <v>-2.32</v>
      </c>
      <c r="D803" s="154" t="s">
        <v>97</v>
      </c>
      <c r="E803" s="153"/>
      <c r="F803" s="154"/>
      <c r="G803" s="152" t="s">
        <v>213</v>
      </c>
      <c r="H803" s="152" t="s">
        <v>106</v>
      </c>
      <c r="I803" s="152"/>
    </row>
    <row r="804" customFormat="false" ht="16.5" hidden="false" customHeight="true" outlineLevel="0" collapsed="false">
      <c r="A804" s="151" t="n">
        <v>45779</v>
      </c>
      <c r="B804" s="152" t="s">
        <v>938</v>
      </c>
      <c r="C804" s="153" t="n">
        <v>-2.22</v>
      </c>
      <c r="D804" s="154" t="s">
        <v>97</v>
      </c>
      <c r="E804" s="153"/>
      <c r="F804" s="154"/>
      <c r="G804" s="152" t="s">
        <v>225</v>
      </c>
      <c r="H804" s="152" t="s">
        <v>106</v>
      </c>
      <c r="I804" s="152"/>
    </row>
    <row r="805" customFormat="false" ht="16.5" hidden="false" customHeight="true" outlineLevel="0" collapsed="false">
      <c r="A805" s="151" t="n">
        <v>45779</v>
      </c>
      <c r="B805" s="152" t="s">
        <v>939</v>
      </c>
      <c r="C805" s="153" t="n">
        <v>-1.83</v>
      </c>
      <c r="D805" s="154" t="s">
        <v>97</v>
      </c>
      <c r="E805" s="153"/>
      <c r="F805" s="154"/>
      <c r="G805" s="152" t="s">
        <v>225</v>
      </c>
      <c r="H805" s="152" t="s">
        <v>106</v>
      </c>
      <c r="I805" s="152"/>
    </row>
    <row r="806" customFormat="false" ht="16.5" hidden="false" customHeight="true" outlineLevel="0" collapsed="false">
      <c r="A806" s="151" t="n">
        <v>45779</v>
      </c>
      <c r="B806" s="152" t="s">
        <v>940</v>
      </c>
      <c r="C806" s="153" t="n">
        <v>-1.52</v>
      </c>
      <c r="D806" s="154" t="s">
        <v>97</v>
      </c>
      <c r="E806" s="153"/>
      <c r="F806" s="154"/>
      <c r="G806" s="152" t="s">
        <v>213</v>
      </c>
      <c r="H806" s="152" t="s">
        <v>106</v>
      </c>
      <c r="I806" s="152"/>
    </row>
    <row r="807" customFormat="false" ht="16.5" hidden="false" customHeight="true" outlineLevel="0" collapsed="false">
      <c r="A807" s="151" t="n">
        <v>45779</v>
      </c>
      <c r="B807" s="152" t="s">
        <v>941</v>
      </c>
      <c r="C807" s="153" t="n">
        <v>-1.21</v>
      </c>
      <c r="D807" s="154" t="s">
        <v>97</v>
      </c>
      <c r="E807" s="153"/>
      <c r="F807" s="154"/>
      <c r="G807" s="152" t="s">
        <v>213</v>
      </c>
      <c r="H807" s="152" t="s">
        <v>106</v>
      </c>
      <c r="I807" s="152"/>
    </row>
    <row r="808" customFormat="false" ht="16.5" hidden="false" customHeight="true" outlineLevel="0" collapsed="false">
      <c r="A808" s="151" t="n">
        <v>45779</v>
      </c>
      <c r="B808" s="152" t="s">
        <v>942</v>
      </c>
      <c r="C808" s="153" t="n">
        <v>-1.19</v>
      </c>
      <c r="D808" s="154" t="s">
        <v>97</v>
      </c>
      <c r="E808" s="153"/>
      <c r="F808" s="154"/>
      <c r="G808" s="152" t="s">
        <v>213</v>
      </c>
      <c r="H808" s="152" t="s">
        <v>106</v>
      </c>
      <c r="I808" s="152"/>
    </row>
    <row r="809" customFormat="false" ht="16.5" hidden="false" customHeight="true" outlineLevel="0" collapsed="false">
      <c r="A809" s="151" t="n">
        <v>45779</v>
      </c>
      <c r="B809" s="152" t="s">
        <v>943</v>
      </c>
      <c r="C809" s="153" t="n">
        <v>-1.07</v>
      </c>
      <c r="D809" s="154" t="s">
        <v>97</v>
      </c>
      <c r="E809" s="153"/>
      <c r="F809" s="154"/>
      <c r="G809" s="152" t="s">
        <v>213</v>
      </c>
      <c r="H809" s="152" t="s">
        <v>106</v>
      </c>
      <c r="I809" s="152"/>
    </row>
    <row r="810" customFormat="false" ht="16.5" hidden="false" customHeight="true" outlineLevel="0" collapsed="false">
      <c r="A810" s="151" t="n">
        <v>45779</v>
      </c>
      <c r="B810" s="152" t="s">
        <v>944</v>
      </c>
      <c r="C810" s="153" t="n">
        <v>-0.36</v>
      </c>
      <c r="D810" s="154" t="s">
        <v>97</v>
      </c>
      <c r="E810" s="153"/>
      <c r="F810" s="154"/>
      <c r="G810" s="152" t="s">
        <v>231</v>
      </c>
      <c r="H810" s="152" t="s">
        <v>106</v>
      </c>
      <c r="I810" s="152"/>
    </row>
    <row r="811" customFormat="false" ht="16.5" hidden="false" customHeight="true" outlineLevel="0" collapsed="false">
      <c r="A811" s="151" t="n">
        <v>45779</v>
      </c>
      <c r="B811" s="152" t="s">
        <v>945</v>
      </c>
      <c r="C811" s="153" t="n">
        <v>-0.36</v>
      </c>
      <c r="D811" s="154" t="s">
        <v>97</v>
      </c>
      <c r="E811" s="153"/>
      <c r="F811" s="154"/>
      <c r="G811" s="152" t="s">
        <v>231</v>
      </c>
      <c r="H811" s="152" t="s">
        <v>106</v>
      </c>
      <c r="I811" s="152"/>
    </row>
    <row r="812" customFormat="false" ht="16.5" hidden="false" customHeight="true" outlineLevel="0" collapsed="false">
      <c r="A812" s="151" t="n">
        <v>45779</v>
      </c>
      <c r="B812" s="152" t="s">
        <v>946</v>
      </c>
      <c r="C812" s="153" t="n">
        <v>-0.36</v>
      </c>
      <c r="D812" s="154" t="s">
        <v>97</v>
      </c>
      <c r="E812" s="153"/>
      <c r="F812" s="154"/>
      <c r="G812" s="152" t="s">
        <v>231</v>
      </c>
      <c r="H812" s="152" t="s">
        <v>106</v>
      </c>
      <c r="I812" s="152"/>
    </row>
    <row r="813" customFormat="false" ht="16.5" hidden="false" customHeight="true" outlineLevel="0" collapsed="false">
      <c r="A813" s="151" t="n">
        <v>45779</v>
      </c>
      <c r="B813" s="152" t="s">
        <v>947</v>
      </c>
      <c r="C813" s="153" t="n">
        <v>-0.2</v>
      </c>
      <c r="D813" s="154" t="s">
        <v>97</v>
      </c>
      <c r="E813" s="153"/>
      <c r="F813" s="154"/>
      <c r="G813" s="152" t="s">
        <v>225</v>
      </c>
      <c r="H813" s="152" t="s">
        <v>106</v>
      </c>
      <c r="I813" s="152"/>
    </row>
    <row r="814" customFormat="false" ht="16.5" hidden="false" customHeight="true" outlineLevel="0" collapsed="false">
      <c r="A814" s="151" t="n">
        <v>45775</v>
      </c>
      <c r="B814" s="152" t="s">
        <v>948</v>
      </c>
      <c r="C814" s="153" t="n">
        <v>-23.16</v>
      </c>
      <c r="D814" s="154" t="s">
        <v>97</v>
      </c>
      <c r="E814" s="153"/>
      <c r="F814" s="154"/>
      <c r="G814" s="152" t="s">
        <v>202</v>
      </c>
      <c r="H814" s="152" t="s">
        <v>106</v>
      </c>
      <c r="I814" s="152"/>
    </row>
    <row r="815" customFormat="false" ht="16.5" hidden="false" customHeight="true" outlineLevel="0" collapsed="false">
      <c r="A815" s="151" t="n">
        <v>45775</v>
      </c>
      <c r="B815" s="152" t="s">
        <v>949</v>
      </c>
      <c r="C815" s="153" t="n">
        <v>-1.6</v>
      </c>
      <c r="D815" s="154" t="s">
        <v>97</v>
      </c>
      <c r="E815" s="153"/>
      <c r="F815" s="154"/>
      <c r="G815" s="152" t="s">
        <v>219</v>
      </c>
      <c r="H815" s="152" t="s">
        <v>106</v>
      </c>
      <c r="I815" s="152"/>
    </row>
    <row r="816" customFormat="false" ht="16.5" hidden="false" customHeight="true" outlineLevel="0" collapsed="false">
      <c r="A816" s="151" t="n">
        <v>45775</v>
      </c>
      <c r="B816" s="152" t="s">
        <v>950</v>
      </c>
      <c r="C816" s="153" t="n">
        <v>-1.4</v>
      </c>
      <c r="D816" s="154" t="s">
        <v>97</v>
      </c>
      <c r="E816" s="153"/>
      <c r="F816" s="154"/>
      <c r="G816" s="152" t="s">
        <v>226</v>
      </c>
      <c r="H816" s="152" t="s">
        <v>106</v>
      </c>
      <c r="I816" s="152"/>
    </row>
    <row r="817" customFormat="false" ht="16.5" hidden="false" customHeight="true" outlineLevel="0" collapsed="false">
      <c r="A817" s="151" t="n">
        <v>45769</v>
      </c>
      <c r="B817" s="152" t="s">
        <v>951</v>
      </c>
      <c r="C817" s="153" t="n">
        <v>-4.21</v>
      </c>
      <c r="D817" s="154" t="s">
        <v>97</v>
      </c>
      <c r="E817" s="153"/>
      <c r="F817" s="154"/>
      <c r="G817" s="152" t="s">
        <v>221</v>
      </c>
      <c r="H817" s="152" t="s">
        <v>106</v>
      </c>
      <c r="I817" s="152"/>
    </row>
    <row r="818" customFormat="false" ht="16.5" hidden="false" customHeight="true" outlineLevel="0" collapsed="false">
      <c r="A818" s="151" t="n">
        <v>45764</v>
      </c>
      <c r="B818" s="152" t="s">
        <v>952</v>
      </c>
      <c r="C818" s="153" t="n">
        <v>-40.15</v>
      </c>
      <c r="D818" s="154" t="s">
        <v>97</v>
      </c>
      <c r="E818" s="153"/>
      <c r="F818" s="154"/>
      <c r="G818" s="152" t="s">
        <v>165</v>
      </c>
      <c r="H818" s="152" t="s">
        <v>106</v>
      </c>
      <c r="I818" s="152"/>
    </row>
    <row r="819" customFormat="false" ht="16.5" hidden="false" customHeight="true" outlineLevel="0" collapsed="false">
      <c r="A819" s="151" t="n">
        <v>45782</v>
      </c>
      <c r="B819" s="152" t="s">
        <v>60</v>
      </c>
      <c r="C819" s="153" t="n">
        <v>6850.79</v>
      </c>
      <c r="D819" s="154" t="s">
        <v>97</v>
      </c>
      <c r="E819" s="153"/>
      <c r="F819" s="154"/>
      <c r="G819" s="152" t="s">
        <v>315</v>
      </c>
      <c r="H819" s="152" t="s">
        <v>106</v>
      </c>
      <c r="I819" s="152"/>
    </row>
    <row r="820" customFormat="false" ht="16.5" hidden="false" customHeight="true" outlineLevel="0" collapsed="false">
      <c r="A820" s="151" t="n">
        <v>45783</v>
      </c>
      <c r="B820" s="152" t="s">
        <v>953</v>
      </c>
      <c r="C820" s="159" t="n">
        <v>40.15</v>
      </c>
      <c r="D820" s="154" t="s">
        <v>103</v>
      </c>
      <c r="E820" s="153" t="n">
        <v>35.33</v>
      </c>
      <c r="F820" s="154"/>
      <c r="G820" s="152" t="s">
        <v>191</v>
      </c>
      <c r="H820" s="152" t="s">
        <v>102</v>
      </c>
      <c r="I820" s="152"/>
    </row>
    <row r="821" customFormat="false" ht="16.5" hidden="false" customHeight="true" outlineLevel="0" collapsed="false">
      <c r="A821" s="151" t="n">
        <v>45783</v>
      </c>
      <c r="B821" s="152" t="s">
        <v>953</v>
      </c>
      <c r="C821" s="159" t="n">
        <v>-40.15</v>
      </c>
      <c r="D821" s="154" t="s">
        <v>103</v>
      </c>
      <c r="E821" s="153" t="n">
        <v>-35.33</v>
      </c>
      <c r="F821" s="154"/>
      <c r="G821" s="152" t="s">
        <v>191</v>
      </c>
      <c r="H821" s="152" t="s">
        <v>131</v>
      </c>
      <c r="I821" s="152"/>
    </row>
    <row r="822" customFormat="false" ht="16.5" hidden="false" customHeight="true" outlineLevel="0" collapsed="false">
      <c r="A822" s="151" t="n">
        <v>45783</v>
      </c>
      <c r="B822" s="152" t="s">
        <v>60</v>
      </c>
      <c r="C822" s="159" t="n">
        <v>57.59</v>
      </c>
      <c r="D822" s="154" t="s">
        <v>103</v>
      </c>
      <c r="E822" s="153"/>
      <c r="F822" s="154"/>
      <c r="G822" s="152" t="s">
        <v>315</v>
      </c>
      <c r="H822" s="152" t="s">
        <v>131</v>
      </c>
      <c r="I822" s="152"/>
    </row>
    <row r="823" customFormat="false" ht="16.5" hidden="false" customHeight="true" outlineLevel="0" collapsed="false">
      <c r="A823" s="151" t="n">
        <v>45783</v>
      </c>
      <c r="B823" s="152" t="s">
        <v>60</v>
      </c>
      <c r="C823" s="159" t="n">
        <v>42.52</v>
      </c>
      <c r="D823" s="154" t="s">
        <v>103</v>
      </c>
      <c r="E823" s="153"/>
      <c r="F823" s="154"/>
      <c r="G823" s="152" t="s">
        <v>315</v>
      </c>
      <c r="H823" s="152" t="s">
        <v>102</v>
      </c>
      <c r="I823" s="152"/>
    </row>
    <row r="824" customFormat="false" ht="16.5" hidden="false" customHeight="true" outlineLevel="0" collapsed="false">
      <c r="A824" s="151" t="n">
        <v>45798</v>
      </c>
      <c r="B824" s="152" t="s">
        <v>954</v>
      </c>
      <c r="C824" s="153" t="n">
        <v>-438.56</v>
      </c>
      <c r="D824" s="154" t="s">
        <v>97</v>
      </c>
      <c r="E824" s="153"/>
      <c r="F824" s="154"/>
      <c r="G824" s="152" t="s">
        <v>176</v>
      </c>
      <c r="H824" s="152" t="s">
        <v>106</v>
      </c>
      <c r="I824" s="152"/>
    </row>
    <row r="825" customFormat="false" ht="16.5" hidden="false" customHeight="true" outlineLevel="0" collapsed="false">
      <c r="A825" s="151" t="n">
        <v>45796</v>
      </c>
      <c r="B825" s="152" t="s">
        <v>955</v>
      </c>
      <c r="C825" s="153" t="n">
        <v>-4.21</v>
      </c>
      <c r="D825" s="154" t="s">
        <v>97</v>
      </c>
      <c r="E825" s="153"/>
      <c r="F825" s="154"/>
      <c r="G825" s="152" t="s">
        <v>221</v>
      </c>
      <c r="H825" s="152" t="s">
        <v>106</v>
      </c>
      <c r="I825" s="152"/>
    </row>
    <row r="826" customFormat="false" ht="16.5" hidden="false" customHeight="true" outlineLevel="0" collapsed="false">
      <c r="A826" s="151" t="n">
        <v>45793</v>
      </c>
      <c r="B826" s="152" t="s">
        <v>956</v>
      </c>
      <c r="C826" s="153" t="n">
        <v>-9.57</v>
      </c>
      <c r="D826" s="154" t="s">
        <v>97</v>
      </c>
      <c r="E826" s="153"/>
      <c r="F826" s="154"/>
      <c r="G826" s="152" t="s">
        <v>207</v>
      </c>
      <c r="H826" s="152" t="s">
        <v>106</v>
      </c>
      <c r="I826" s="152"/>
    </row>
    <row r="827" customFormat="false" ht="16.5" hidden="false" customHeight="true" outlineLevel="0" collapsed="false">
      <c r="A827" s="151" t="n">
        <v>45793</v>
      </c>
      <c r="B827" s="152" t="s">
        <v>957</v>
      </c>
      <c r="C827" s="153" t="n">
        <v>-8.83</v>
      </c>
      <c r="D827" s="154" t="s">
        <v>97</v>
      </c>
      <c r="E827" s="153"/>
      <c r="F827" s="154"/>
      <c r="G827" s="152" t="s">
        <v>207</v>
      </c>
      <c r="H827" s="152" t="s">
        <v>106</v>
      </c>
      <c r="I827" s="152"/>
    </row>
    <row r="828" customFormat="false" ht="16.5" hidden="false" customHeight="true" outlineLevel="0" collapsed="false">
      <c r="A828" s="151" t="n">
        <v>45793</v>
      </c>
      <c r="B828" s="152" t="s">
        <v>958</v>
      </c>
      <c r="C828" s="153" t="n">
        <v>-8.58</v>
      </c>
      <c r="D828" s="154" t="s">
        <v>97</v>
      </c>
      <c r="E828" s="153"/>
      <c r="F828" s="154"/>
      <c r="G828" s="152" t="s">
        <v>217</v>
      </c>
      <c r="H828" s="152" t="s">
        <v>106</v>
      </c>
      <c r="I828" s="152"/>
    </row>
    <row r="829" customFormat="false" ht="16.5" hidden="false" customHeight="true" outlineLevel="0" collapsed="false">
      <c r="A829" s="151" t="n">
        <v>45792</v>
      </c>
      <c r="B829" s="152" t="s">
        <v>959</v>
      </c>
      <c r="C829" s="153" t="n">
        <v>-66.16</v>
      </c>
      <c r="D829" s="154" t="s">
        <v>97</v>
      </c>
      <c r="E829" s="153"/>
      <c r="F829" s="154"/>
      <c r="G829" s="152" t="s">
        <v>208</v>
      </c>
      <c r="H829" s="152" t="s">
        <v>106</v>
      </c>
      <c r="I829" s="152"/>
    </row>
    <row r="830" customFormat="false" ht="16.5" hidden="false" customHeight="true" outlineLevel="0" collapsed="false">
      <c r="A830" s="151" t="n">
        <v>45792</v>
      </c>
      <c r="B830" s="152" t="s">
        <v>960</v>
      </c>
      <c r="C830" s="153" t="n">
        <v>-28.27</v>
      </c>
      <c r="D830" s="154" t="s">
        <v>97</v>
      </c>
      <c r="E830" s="153"/>
      <c r="F830" s="154"/>
      <c r="G830" s="152" t="s">
        <v>197</v>
      </c>
      <c r="H830" s="152" t="s">
        <v>106</v>
      </c>
      <c r="I830" s="152"/>
    </row>
    <row r="831" customFormat="false" ht="16.5" hidden="false" customHeight="true" outlineLevel="0" collapsed="false">
      <c r="A831" s="151" t="n">
        <v>45792</v>
      </c>
      <c r="B831" s="152" t="s">
        <v>961</v>
      </c>
      <c r="C831" s="153" t="n">
        <v>-20</v>
      </c>
      <c r="D831" s="154" t="s">
        <v>97</v>
      </c>
      <c r="E831" s="153"/>
      <c r="F831" s="154"/>
      <c r="G831" s="152" t="s">
        <v>171</v>
      </c>
      <c r="H831" s="152" t="s">
        <v>106</v>
      </c>
      <c r="I831" s="152"/>
    </row>
    <row r="832" customFormat="false" ht="16.5" hidden="false" customHeight="true" outlineLevel="0" collapsed="false">
      <c r="A832" s="151" t="n">
        <v>45789</v>
      </c>
      <c r="B832" s="152" t="s">
        <v>962</v>
      </c>
      <c r="C832" s="153" t="n">
        <v>-16.82</v>
      </c>
      <c r="D832" s="154" t="s">
        <v>97</v>
      </c>
      <c r="E832" s="153"/>
      <c r="F832" s="154"/>
      <c r="G832" s="152" t="s">
        <v>212</v>
      </c>
      <c r="H832" s="152" t="s">
        <v>106</v>
      </c>
      <c r="I832" s="152"/>
    </row>
    <row r="833" customFormat="false" ht="16.5" hidden="false" customHeight="true" outlineLevel="0" collapsed="false">
      <c r="A833" s="151" t="n">
        <v>45789</v>
      </c>
      <c r="B833" s="152" t="s">
        <v>963</v>
      </c>
      <c r="C833" s="153" t="n">
        <v>213.43</v>
      </c>
      <c r="D833" s="154" t="s">
        <v>97</v>
      </c>
      <c r="E833" s="153"/>
      <c r="F833" s="154"/>
      <c r="G833" s="152" t="s">
        <v>201</v>
      </c>
      <c r="H833" s="152" t="s">
        <v>106</v>
      </c>
      <c r="I833" s="152"/>
    </row>
    <row r="834" customFormat="false" ht="16.5" hidden="false" customHeight="true" outlineLevel="0" collapsed="false">
      <c r="A834" s="151" t="n">
        <v>45786</v>
      </c>
      <c r="B834" s="152" t="s">
        <v>964</v>
      </c>
      <c r="C834" s="153" t="n">
        <v>-5.39</v>
      </c>
      <c r="D834" s="154" t="s">
        <v>97</v>
      </c>
      <c r="E834" s="153"/>
      <c r="F834" s="154"/>
      <c r="G834" s="152" t="s">
        <v>218</v>
      </c>
      <c r="H834" s="152" t="s">
        <v>106</v>
      </c>
      <c r="I834" s="152"/>
    </row>
    <row r="835" customFormat="false" ht="16.5" hidden="false" customHeight="true" outlineLevel="0" collapsed="false">
      <c r="A835" s="151" t="n">
        <v>45786</v>
      </c>
      <c r="B835" s="152" t="s">
        <v>965</v>
      </c>
      <c r="C835" s="153" t="n">
        <v>242.67</v>
      </c>
      <c r="D835" s="154" t="s">
        <v>97</v>
      </c>
      <c r="E835" s="153"/>
      <c r="F835" s="154"/>
      <c r="G835" s="152" t="s">
        <v>198</v>
      </c>
      <c r="H835" s="152" t="s">
        <v>106</v>
      </c>
      <c r="I835" s="152"/>
    </row>
    <row r="836" customFormat="false" ht="16.5" hidden="false" customHeight="true" outlineLevel="0" collapsed="false">
      <c r="A836" s="151" t="n">
        <v>45786</v>
      </c>
      <c r="B836" s="152" t="s">
        <v>966</v>
      </c>
      <c r="C836" s="153" t="n">
        <v>265.43</v>
      </c>
      <c r="D836" s="154" t="s">
        <v>97</v>
      </c>
      <c r="E836" s="153"/>
      <c r="F836" s="154"/>
      <c r="G836" s="152" t="s">
        <v>215</v>
      </c>
      <c r="H836" s="152" t="s">
        <v>106</v>
      </c>
      <c r="I836" s="152"/>
    </row>
    <row r="837" customFormat="false" ht="16.5" hidden="false" customHeight="true" outlineLevel="0" collapsed="false">
      <c r="A837" s="151" t="n">
        <v>45783</v>
      </c>
      <c r="B837" s="152" t="s">
        <v>967</v>
      </c>
      <c r="C837" s="153" t="n">
        <v>-42.81</v>
      </c>
      <c r="D837" s="154" t="s">
        <v>97</v>
      </c>
      <c r="E837" s="153"/>
      <c r="F837" s="154"/>
      <c r="G837" s="152" t="s">
        <v>203</v>
      </c>
      <c r="H837" s="152" t="s">
        <v>106</v>
      </c>
      <c r="I837" s="152"/>
    </row>
    <row r="838" customFormat="false" ht="16.5" hidden="false" customHeight="true" outlineLevel="0" collapsed="false">
      <c r="A838" s="151" t="n">
        <v>45783</v>
      </c>
      <c r="B838" s="152" t="s">
        <v>968</v>
      </c>
      <c r="C838" s="153" t="n">
        <v>-0.84</v>
      </c>
      <c r="D838" s="154" t="s">
        <v>97</v>
      </c>
      <c r="E838" s="153"/>
      <c r="F838" s="154"/>
      <c r="G838" s="152" t="s">
        <v>222</v>
      </c>
      <c r="H838" s="152" t="s">
        <v>106</v>
      </c>
      <c r="I838" s="152"/>
    </row>
    <row r="839" customFormat="false" ht="16.5" hidden="false" customHeight="true" outlineLevel="0" collapsed="false">
      <c r="A839" s="151" t="n">
        <v>45783</v>
      </c>
      <c r="B839" s="152" t="s">
        <v>969</v>
      </c>
      <c r="C839" s="153" t="n">
        <v>-339.37</v>
      </c>
      <c r="D839" s="154" t="s">
        <v>97</v>
      </c>
      <c r="E839" s="153" t="n">
        <v>-339.37</v>
      </c>
      <c r="F839" s="154" t="s">
        <v>908</v>
      </c>
      <c r="G839" s="152" t="s">
        <v>189</v>
      </c>
      <c r="H839" s="152" t="s">
        <v>106</v>
      </c>
      <c r="I839" s="152"/>
    </row>
    <row r="840" customFormat="false" ht="16.5" hidden="false" customHeight="true" outlineLevel="0" collapsed="false">
      <c r="A840" s="151" t="n">
        <v>45782</v>
      </c>
      <c r="B840" s="152" t="s">
        <v>970</v>
      </c>
      <c r="C840" s="153" t="n">
        <v>-45.63</v>
      </c>
      <c r="D840" s="154" t="s">
        <v>97</v>
      </c>
      <c r="E840" s="153"/>
      <c r="F840" s="154"/>
      <c r="G840" s="152" t="s">
        <v>197</v>
      </c>
      <c r="H840" s="152" t="s">
        <v>106</v>
      </c>
      <c r="I840" s="152"/>
    </row>
    <row r="841" customFormat="false" ht="16.5" hidden="false" customHeight="true" outlineLevel="0" collapsed="false">
      <c r="A841" s="151" t="n">
        <v>45782</v>
      </c>
      <c r="B841" s="152" t="s">
        <v>971</v>
      </c>
      <c r="C841" s="153" t="n">
        <v>99.97</v>
      </c>
      <c r="D841" s="154" t="s">
        <v>97</v>
      </c>
      <c r="E841" s="153"/>
      <c r="F841" s="154" t="s">
        <v>972</v>
      </c>
      <c r="G841" s="152" t="s">
        <v>190</v>
      </c>
      <c r="H841" s="152" t="s">
        <v>106</v>
      </c>
      <c r="I841" s="152"/>
    </row>
    <row r="842" customFormat="false" ht="16.5" hidden="false" customHeight="true" outlineLevel="0" collapsed="false">
      <c r="A842" s="151" t="n">
        <v>45782</v>
      </c>
      <c r="B842" s="152" t="s">
        <v>973</v>
      </c>
      <c r="C842" s="153" t="n">
        <v>99.97</v>
      </c>
      <c r="D842" s="154" t="s">
        <v>97</v>
      </c>
      <c r="E842" s="153"/>
      <c r="F842" s="154" t="s">
        <v>974</v>
      </c>
      <c r="G842" s="152" t="s">
        <v>190</v>
      </c>
      <c r="H842" s="152" t="s">
        <v>106</v>
      </c>
      <c r="I842" s="152"/>
    </row>
    <row r="843" customFormat="false" ht="16.5" hidden="false" customHeight="true" outlineLevel="0" collapsed="false">
      <c r="A843" s="151" t="n">
        <v>45798</v>
      </c>
      <c r="B843" s="152" t="s">
        <v>60</v>
      </c>
      <c r="C843" s="153" t="n">
        <v>6737.31</v>
      </c>
      <c r="D843" s="154" t="s">
        <v>97</v>
      </c>
      <c r="E843" s="153"/>
      <c r="F843" s="154"/>
      <c r="G843" s="152" t="s">
        <v>315</v>
      </c>
      <c r="H843" s="152" t="s">
        <v>106</v>
      </c>
      <c r="I843" s="152"/>
    </row>
    <row r="844" customFormat="false" ht="16.5" hidden="false" customHeight="true" outlineLevel="0" collapsed="false">
      <c r="A844" s="151" t="n">
        <v>45782</v>
      </c>
      <c r="B844" s="152"/>
      <c r="C844" s="153" t="n">
        <v>-99.97</v>
      </c>
      <c r="D844" s="154" t="s">
        <v>97</v>
      </c>
      <c r="E844" s="153"/>
      <c r="F844" s="154" t="s">
        <v>972</v>
      </c>
      <c r="G844" s="152" t="s">
        <v>190</v>
      </c>
      <c r="H844" s="152" t="s">
        <v>132</v>
      </c>
      <c r="I844" s="152"/>
    </row>
    <row r="845" customFormat="false" ht="16.5" hidden="false" customHeight="true" outlineLevel="0" collapsed="false">
      <c r="A845" s="151" t="n">
        <v>45782</v>
      </c>
      <c r="B845" s="152"/>
      <c r="C845" s="153" t="n">
        <v>-99.97</v>
      </c>
      <c r="D845" s="154" t="s">
        <v>97</v>
      </c>
      <c r="E845" s="153"/>
      <c r="F845" s="154" t="s">
        <v>974</v>
      </c>
      <c r="G845" s="152" t="s">
        <v>190</v>
      </c>
      <c r="H845" s="152" t="s">
        <v>133</v>
      </c>
      <c r="I845" s="152"/>
    </row>
    <row r="846" customFormat="false" ht="16.5" hidden="false" customHeight="true" outlineLevel="0" collapsed="false">
      <c r="A846" s="151" t="n">
        <v>45782</v>
      </c>
      <c r="B846" s="152" t="s">
        <v>60</v>
      </c>
      <c r="C846" s="153" t="n">
        <v>22093.15</v>
      </c>
      <c r="D846" s="154" t="s">
        <v>97</v>
      </c>
      <c r="E846" s="153"/>
      <c r="F846" s="154"/>
      <c r="G846" s="152" t="s">
        <v>315</v>
      </c>
      <c r="H846" s="152" t="s">
        <v>132</v>
      </c>
      <c r="I846" s="152"/>
    </row>
    <row r="847" customFormat="false" ht="16.5" hidden="false" customHeight="true" outlineLevel="0" collapsed="false">
      <c r="A847" s="151" t="n">
        <v>45782</v>
      </c>
      <c r="B847" s="152" t="s">
        <v>60</v>
      </c>
      <c r="C847" s="153" t="n">
        <v>8800.15</v>
      </c>
      <c r="D847" s="154" t="s">
        <v>97</v>
      </c>
      <c r="E847" s="153"/>
      <c r="F847" s="154"/>
      <c r="G847" s="152" t="s">
        <v>315</v>
      </c>
      <c r="H847" s="152" t="s">
        <v>133</v>
      </c>
      <c r="I847" s="152"/>
    </row>
    <row r="848" customFormat="false" ht="16.5" hidden="false" customHeight="true" outlineLevel="0" collapsed="false">
      <c r="A848" s="151" t="n">
        <v>45797</v>
      </c>
      <c r="B848" s="152" t="s">
        <v>975</v>
      </c>
      <c r="C848" s="158" t="n">
        <v>2.14726</v>
      </c>
      <c r="D848" s="154" t="s">
        <v>150</v>
      </c>
      <c r="E848" s="153" t="n">
        <v>165.47</v>
      </c>
      <c r="F848" s="154" t="s">
        <v>976</v>
      </c>
      <c r="G848" s="152" t="s">
        <v>189</v>
      </c>
      <c r="H848" s="152" t="s">
        <v>149</v>
      </c>
      <c r="I848" s="152"/>
    </row>
    <row r="849" customFormat="false" ht="16.5" hidden="false" customHeight="true" outlineLevel="0" collapsed="false">
      <c r="A849" s="151" t="n">
        <v>45797</v>
      </c>
      <c r="B849" s="152" t="s">
        <v>60</v>
      </c>
      <c r="C849" s="158" t="n">
        <v>97.82174</v>
      </c>
      <c r="D849" s="154" t="s">
        <v>150</v>
      </c>
      <c r="E849" s="153"/>
      <c r="F849" s="154"/>
      <c r="G849" s="152" t="s">
        <v>315</v>
      </c>
      <c r="H849" s="152" t="s">
        <v>149</v>
      </c>
      <c r="I849" s="152"/>
    </row>
    <row r="850" customFormat="false" ht="16.5" hidden="false" customHeight="true" outlineLevel="0" collapsed="false">
      <c r="A850" s="151" t="n">
        <v>45809</v>
      </c>
      <c r="B850" s="152" t="s">
        <v>692</v>
      </c>
      <c r="C850" s="153" t="n">
        <v>-0.14</v>
      </c>
      <c r="D850" s="154" t="s">
        <v>97</v>
      </c>
      <c r="E850" s="153"/>
      <c r="F850" s="154"/>
      <c r="G850" s="152" t="s">
        <v>204</v>
      </c>
      <c r="H850" s="152" t="s">
        <v>117</v>
      </c>
      <c r="I850" s="152"/>
    </row>
    <row r="851" customFormat="false" ht="16.5" hidden="false" customHeight="true" outlineLevel="0" collapsed="false">
      <c r="A851" s="151" t="n">
        <v>45809</v>
      </c>
      <c r="B851" s="152" t="s">
        <v>692</v>
      </c>
      <c r="C851" s="159" t="n">
        <v>-1.09</v>
      </c>
      <c r="D851" s="154" t="s">
        <v>103</v>
      </c>
      <c r="E851" s="153"/>
      <c r="F851" s="154"/>
      <c r="G851" s="152" t="s">
        <v>204</v>
      </c>
      <c r="H851" s="152" t="s">
        <v>125</v>
      </c>
      <c r="I851" s="152"/>
    </row>
    <row r="852" customFormat="false" ht="16.5" hidden="false" customHeight="true" outlineLevel="0" collapsed="false">
      <c r="A852" s="151" t="n">
        <v>45810</v>
      </c>
      <c r="B852" s="152" t="s">
        <v>692</v>
      </c>
      <c r="C852" s="159" t="n">
        <v>-1.13</v>
      </c>
      <c r="D852" s="154" t="s">
        <v>103</v>
      </c>
      <c r="E852" s="153"/>
      <c r="F852" s="154"/>
      <c r="G852" s="152" t="s">
        <v>204</v>
      </c>
      <c r="H852" s="152" t="s">
        <v>125</v>
      </c>
      <c r="I852" s="152"/>
    </row>
    <row r="853" customFormat="false" ht="16.5" hidden="false" customHeight="true" outlineLevel="0" collapsed="false">
      <c r="A853" s="151" t="n">
        <v>45809</v>
      </c>
      <c r="B853" s="152" t="s">
        <v>60</v>
      </c>
      <c r="C853" s="153" t="n">
        <v>997.93</v>
      </c>
      <c r="D853" s="154" t="s">
        <v>97</v>
      </c>
      <c r="E853" s="153"/>
      <c r="F853" s="154"/>
      <c r="G853" s="152" t="s">
        <v>315</v>
      </c>
      <c r="H853" s="152" t="s">
        <v>117</v>
      </c>
      <c r="I853" s="152"/>
    </row>
    <row r="854" customFormat="false" ht="16.5" hidden="false" customHeight="true" outlineLevel="0" collapsed="false">
      <c r="A854" s="151" t="n">
        <v>45809</v>
      </c>
      <c r="B854" s="152" t="s">
        <v>60</v>
      </c>
      <c r="C854" s="159" t="n">
        <v>6902.84</v>
      </c>
      <c r="D854" s="154" t="s">
        <v>103</v>
      </c>
      <c r="E854" s="153"/>
      <c r="F854" s="154"/>
      <c r="G854" s="152" t="s">
        <v>315</v>
      </c>
      <c r="H854" s="152" t="s">
        <v>125</v>
      </c>
      <c r="I854" s="152"/>
    </row>
    <row r="855" customFormat="false" ht="16.5" hidden="false" customHeight="true" outlineLevel="0" collapsed="false">
      <c r="A855" s="151" t="n">
        <v>45809</v>
      </c>
      <c r="B855" s="152" t="s">
        <v>977</v>
      </c>
      <c r="C855" s="159" t="n">
        <v>0.03</v>
      </c>
      <c r="D855" s="154" t="s">
        <v>103</v>
      </c>
      <c r="E855" s="153"/>
      <c r="F855" s="154"/>
      <c r="G855" s="152" t="s">
        <v>199</v>
      </c>
      <c r="H855" s="152" t="s">
        <v>131</v>
      </c>
      <c r="I855" s="152"/>
    </row>
    <row r="856" customFormat="false" ht="16.5" hidden="false" customHeight="true" outlineLevel="0" collapsed="false">
      <c r="A856" s="151" t="n">
        <v>45809</v>
      </c>
      <c r="B856" s="152"/>
      <c r="C856" s="159" t="n">
        <v>0.16</v>
      </c>
      <c r="D856" s="154" t="s">
        <v>103</v>
      </c>
      <c r="E856" s="153"/>
      <c r="F856" s="154"/>
      <c r="G856" s="152" t="s">
        <v>195</v>
      </c>
      <c r="H856" s="152" t="s">
        <v>131</v>
      </c>
      <c r="I856" s="152"/>
    </row>
    <row r="857" customFormat="false" ht="16.5" hidden="false" customHeight="true" outlineLevel="0" collapsed="false">
      <c r="A857" s="151" t="n">
        <v>45809</v>
      </c>
      <c r="B857" s="152" t="s">
        <v>60</v>
      </c>
      <c r="C857" s="159" t="n">
        <v>57.78</v>
      </c>
      <c r="D857" s="154" t="s">
        <v>103</v>
      </c>
      <c r="E857" s="153"/>
      <c r="F857" s="154"/>
      <c r="G857" s="152" t="s">
        <v>315</v>
      </c>
      <c r="H857" s="152" t="s">
        <v>131</v>
      </c>
      <c r="I857" s="152"/>
    </row>
    <row r="858" customFormat="false" ht="16.5" hidden="false" customHeight="true" outlineLevel="0" collapsed="false">
      <c r="A858" s="151" t="n">
        <v>45807</v>
      </c>
      <c r="B858" s="152" t="s">
        <v>978</v>
      </c>
      <c r="C858" s="153" t="n">
        <v>-1.6</v>
      </c>
      <c r="D858" s="154" t="s">
        <v>97</v>
      </c>
      <c r="E858" s="153"/>
      <c r="F858" s="154"/>
      <c r="G858" s="152" t="s">
        <v>219</v>
      </c>
      <c r="H858" s="152" t="s">
        <v>106</v>
      </c>
      <c r="I858" s="152"/>
    </row>
    <row r="859" customFormat="false" ht="16.5" hidden="false" customHeight="true" outlineLevel="0" collapsed="false">
      <c r="A859" s="151" t="n">
        <v>45807</v>
      </c>
      <c r="B859" s="152" t="s">
        <v>979</v>
      </c>
      <c r="C859" s="153" t="n">
        <v>1.8</v>
      </c>
      <c r="D859" s="154" t="s">
        <v>97</v>
      </c>
      <c r="E859" s="153"/>
      <c r="F859" s="154"/>
      <c r="G859" s="152" t="s">
        <v>197</v>
      </c>
      <c r="H859" s="152" t="s">
        <v>106</v>
      </c>
      <c r="I859" s="152"/>
    </row>
    <row r="860" customFormat="false" ht="16.5" hidden="false" customHeight="true" outlineLevel="0" collapsed="false">
      <c r="A860" s="151" t="n">
        <v>45805</v>
      </c>
      <c r="B860" s="152" t="s">
        <v>980</v>
      </c>
      <c r="C860" s="153" t="n">
        <v>-23.16</v>
      </c>
      <c r="D860" s="154" t="s">
        <v>97</v>
      </c>
      <c r="E860" s="153"/>
      <c r="F860" s="154"/>
      <c r="G860" s="152" t="s">
        <v>202</v>
      </c>
      <c r="H860" s="152" t="s">
        <v>106</v>
      </c>
      <c r="I860" s="152"/>
    </row>
    <row r="861" customFormat="false" ht="16.5" hidden="false" customHeight="true" outlineLevel="0" collapsed="false">
      <c r="A861" s="151" t="n">
        <v>45803</v>
      </c>
      <c r="B861" s="152" t="s">
        <v>981</v>
      </c>
      <c r="C861" s="153" t="n">
        <v>-1.4</v>
      </c>
      <c r="D861" s="154" t="s">
        <v>97</v>
      </c>
      <c r="E861" s="153"/>
      <c r="F861" s="154"/>
      <c r="G861" s="152" t="s">
        <v>226</v>
      </c>
      <c r="H861" s="152" t="s">
        <v>106</v>
      </c>
      <c r="I861" s="152"/>
    </row>
    <row r="862" customFormat="false" ht="16.5" hidden="false" customHeight="true" outlineLevel="0" collapsed="false">
      <c r="A862" s="151" t="n">
        <v>45799</v>
      </c>
      <c r="B862" s="152" t="s">
        <v>982</v>
      </c>
      <c r="C862" s="153" t="n">
        <v>-1100.79</v>
      </c>
      <c r="D862" s="154" t="s">
        <v>97</v>
      </c>
      <c r="E862" s="153"/>
      <c r="F862" s="154"/>
      <c r="G862" s="152" t="s">
        <v>176</v>
      </c>
      <c r="H862" s="152" t="s">
        <v>106</v>
      </c>
      <c r="I862" s="152"/>
    </row>
    <row r="863" customFormat="false" ht="16.5" hidden="false" customHeight="true" outlineLevel="0" collapsed="false">
      <c r="A863" s="151" t="n">
        <v>45810</v>
      </c>
      <c r="B863" s="152" t="s">
        <v>60</v>
      </c>
      <c r="C863" s="153" t="n">
        <v>5614.65</v>
      </c>
      <c r="D863" s="154" t="s">
        <v>97</v>
      </c>
      <c r="E863" s="153"/>
      <c r="F863" s="154"/>
      <c r="G863" s="152" t="s">
        <v>315</v>
      </c>
      <c r="H863" s="152" t="s">
        <v>106</v>
      </c>
      <c r="I863" s="152"/>
    </row>
    <row r="864" customFormat="false" ht="16.5" hidden="false" customHeight="true" outlineLevel="0" collapsed="false">
      <c r="A864" s="151" t="n">
        <v>45784</v>
      </c>
      <c r="B864" s="152" t="s">
        <v>983</v>
      </c>
      <c r="C864" s="153" t="n">
        <v>4.29</v>
      </c>
      <c r="D864" s="154" t="s">
        <v>97</v>
      </c>
      <c r="E864" s="153"/>
      <c r="F864" s="154"/>
      <c r="G864" s="152" t="s">
        <v>199</v>
      </c>
      <c r="H864" s="152" t="s">
        <v>122</v>
      </c>
      <c r="I864" s="152"/>
    </row>
    <row r="865" customFormat="false" ht="16.5" hidden="false" customHeight="true" outlineLevel="0" collapsed="false">
      <c r="A865" s="151" t="n">
        <v>45784</v>
      </c>
      <c r="B865" s="152" t="s">
        <v>984</v>
      </c>
      <c r="C865" s="153" t="n">
        <v>17.6</v>
      </c>
      <c r="D865" s="154" t="s">
        <v>97</v>
      </c>
      <c r="E865" s="153"/>
      <c r="F865" s="154"/>
      <c r="G865" s="152" t="s">
        <v>199</v>
      </c>
      <c r="H865" s="152" t="s">
        <v>122</v>
      </c>
      <c r="I865" s="152"/>
    </row>
    <row r="866" customFormat="false" ht="16.5" hidden="false" customHeight="true" outlineLevel="0" collapsed="false">
      <c r="A866" s="151" t="n">
        <v>45784</v>
      </c>
      <c r="B866" s="152" t="s">
        <v>985</v>
      </c>
      <c r="C866" s="153" t="n">
        <v>5.73</v>
      </c>
      <c r="D866" s="154" t="s">
        <v>97</v>
      </c>
      <c r="E866" s="153"/>
      <c r="F866" s="154"/>
      <c r="G866" s="152" t="s">
        <v>199</v>
      </c>
      <c r="H866" s="152" t="s">
        <v>122</v>
      </c>
      <c r="I866" s="152"/>
    </row>
    <row r="867" customFormat="false" ht="16.5" hidden="false" customHeight="true" outlineLevel="0" collapsed="false">
      <c r="A867" s="151" t="n">
        <v>45792</v>
      </c>
      <c r="B867" s="152" t="s">
        <v>986</v>
      </c>
      <c r="C867" s="153" t="n">
        <v>2.48</v>
      </c>
      <c r="D867" s="154" t="s">
        <v>97</v>
      </c>
      <c r="E867" s="153"/>
      <c r="F867" s="154"/>
      <c r="G867" s="152" t="s">
        <v>199</v>
      </c>
      <c r="H867" s="152" t="s">
        <v>122</v>
      </c>
      <c r="I867" s="152"/>
    </row>
    <row r="868" customFormat="false" ht="16.5" hidden="false" customHeight="true" outlineLevel="0" collapsed="false">
      <c r="A868" s="151" t="n">
        <v>45792</v>
      </c>
      <c r="B868" s="152" t="s">
        <v>986</v>
      </c>
      <c r="C868" s="153" t="n">
        <v>1.93</v>
      </c>
      <c r="D868" s="154" t="s">
        <v>97</v>
      </c>
      <c r="E868" s="153"/>
      <c r="F868" s="154"/>
      <c r="G868" s="152" t="s">
        <v>199</v>
      </c>
      <c r="H868" s="152" t="s">
        <v>122</v>
      </c>
      <c r="I868" s="152"/>
    </row>
    <row r="869" customFormat="false" ht="16.5" hidden="false" customHeight="true" outlineLevel="0" collapsed="false">
      <c r="A869" s="151" t="n">
        <v>45796</v>
      </c>
      <c r="B869" s="152" t="s">
        <v>987</v>
      </c>
      <c r="C869" s="153" t="n">
        <v>12.33</v>
      </c>
      <c r="D869" s="154" t="s">
        <v>97</v>
      </c>
      <c r="E869" s="153"/>
      <c r="F869" s="154"/>
      <c r="G869" s="152" t="s">
        <v>199</v>
      </c>
      <c r="H869" s="152" t="s">
        <v>122</v>
      </c>
      <c r="I869" s="152"/>
    </row>
    <row r="870" customFormat="false" ht="16.5" hidden="false" customHeight="true" outlineLevel="0" collapsed="false">
      <c r="A870" s="151" t="n">
        <v>45800</v>
      </c>
      <c r="B870" s="152" t="s">
        <v>988</v>
      </c>
      <c r="C870" s="153" t="n">
        <v>2.78</v>
      </c>
      <c r="D870" s="154" t="s">
        <v>97</v>
      </c>
      <c r="E870" s="153"/>
      <c r="F870" s="154"/>
      <c r="G870" s="152" t="s">
        <v>199</v>
      </c>
      <c r="H870" s="152" t="s">
        <v>122</v>
      </c>
      <c r="I870" s="152"/>
    </row>
    <row r="871" customFormat="false" ht="16.5" hidden="false" customHeight="true" outlineLevel="0" collapsed="false">
      <c r="A871" s="151" t="n">
        <v>45800</v>
      </c>
      <c r="B871" s="152" t="s">
        <v>989</v>
      </c>
      <c r="C871" s="153" t="n">
        <v>2.86</v>
      </c>
      <c r="D871" s="154" t="s">
        <v>97</v>
      </c>
      <c r="E871" s="153"/>
      <c r="F871" s="154"/>
      <c r="G871" s="152" t="s">
        <v>199</v>
      </c>
      <c r="H871" s="152" t="s">
        <v>122</v>
      </c>
      <c r="I871" s="152"/>
    </row>
    <row r="872" customFormat="false" ht="16.5" hidden="false" customHeight="true" outlineLevel="0" collapsed="false">
      <c r="A872" s="151" t="n">
        <v>45811</v>
      </c>
      <c r="B872" s="152" t="s">
        <v>60</v>
      </c>
      <c r="C872" s="153" t="n">
        <v>161.56</v>
      </c>
      <c r="D872" s="154" t="s">
        <v>97</v>
      </c>
      <c r="E872" s="153"/>
      <c r="F872" s="154"/>
      <c r="G872" s="152" t="s">
        <v>315</v>
      </c>
      <c r="H872" s="152" t="s">
        <v>122</v>
      </c>
      <c r="I872" s="152"/>
    </row>
    <row r="873" customFormat="false" ht="16.5" hidden="false" customHeight="true" outlineLevel="0" collapsed="false">
      <c r="A873" s="151" t="n">
        <v>45811</v>
      </c>
      <c r="B873" s="152" t="s">
        <v>60</v>
      </c>
      <c r="C873" s="153" t="n">
        <v>9607.54</v>
      </c>
      <c r="D873" s="154" t="s">
        <v>97</v>
      </c>
      <c r="E873" s="153"/>
      <c r="F873" s="154"/>
      <c r="G873" s="152" t="s">
        <v>315</v>
      </c>
      <c r="H873" s="152" t="s">
        <v>100</v>
      </c>
      <c r="I873" s="152"/>
    </row>
    <row r="874" customFormat="false" ht="16.5" hidden="false" customHeight="true" outlineLevel="0" collapsed="false">
      <c r="A874" s="151" t="n">
        <v>45810</v>
      </c>
      <c r="B874" s="152" t="s">
        <v>990</v>
      </c>
      <c r="C874" s="153" t="n">
        <v>-1235.69</v>
      </c>
      <c r="D874" s="154" t="s">
        <v>97</v>
      </c>
      <c r="E874" s="153"/>
      <c r="F874" s="154"/>
      <c r="G874" s="152" t="s">
        <v>176</v>
      </c>
      <c r="H874" s="152" t="s">
        <v>106</v>
      </c>
      <c r="I874" s="152"/>
    </row>
    <row r="875" customFormat="false" ht="16.5" hidden="false" customHeight="true" outlineLevel="0" collapsed="false">
      <c r="A875" s="151" t="n">
        <v>45810</v>
      </c>
      <c r="B875" s="152" t="s">
        <v>991</v>
      </c>
      <c r="C875" s="153" t="n">
        <v>26.7</v>
      </c>
      <c r="D875" s="154" t="s">
        <v>97</v>
      </c>
      <c r="E875" s="153"/>
      <c r="F875" s="154"/>
      <c r="G875" s="152" t="s">
        <v>224</v>
      </c>
      <c r="H875" s="152" t="s">
        <v>106</v>
      </c>
      <c r="I875" s="152"/>
    </row>
    <row r="876" customFormat="false" ht="16.5" hidden="false" customHeight="true" outlineLevel="0" collapsed="false">
      <c r="A876" s="151" t="n">
        <v>45810</v>
      </c>
      <c r="B876" s="152" t="s">
        <v>992</v>
      </c>
      <c r="C876" s="153" t="n">
        <v>-339.37</v>
      </c>
      <c r="D876" s="154" t="s">
        <v>97</v>
      </c>
      <c r="E876" s="153"/>
      <c r="F876" s="154"/>
      <c r="G876" s="152" t="s">
        <v>162</v>
      </c>
      <c r="H876" s="152" t="s">
        <v>106</v>
      </c>
      <c r="I876" s="152"/>
    </row>
    <row r="877" customFormat="false" ht="16.5" hidden="false" customHeight="true" outlineLevel="0" collapsed="false">
      <c r="A877" s="151" t="n">
        <v>45810</v>
      </c>
      <c r="B877" s="152" t="s">
        <v>993</v>
      </c>
      <c r="C877" s="153" t="n">
        <v>597.96</v>
      </c>
      <c r="D877" s="154" t="s">
        <v>97</v>
      </c>
      <c r="E877" s="153"/>
      <c r="F877" s="154"/>
      <c r="G877" s="152" t="s">
        <v>194</v>
      </c>
      <c r="H877" s="152" t="s">
        <v>106</v>
      </c>
      <c r="I877" s="152"/>
    </row>
    <row r="878" customFormat="false" ht="16.5" hidden="false" customHeight="true" outlineLevel="0" collapsed="false">
      <c r="A878" s="151" t="n">
        <v>45810</v>
      </c>
      <c r="B878" s="152" t="s">
        <v>994</v>
      </c>
      <c r="C878" s="153" t="n">
        <v>266.95</v>
      </c>
      <c r="D878" s="154" t="s">
        <v>97</v>
      </c>
      <c r="E878" s="153"/>
      <c r="F878" s="154"/>
      <c r="G878" s="152" t="s">
        <v>206</v>
      </c>
      <c r="H878" s="152" t="s">
        <v>106</v>
      </c>
      <c r="I878" s="152"/>
    </row>
    <row r="879" customFormat="false" ht="16.5" hidden="false" customHeight="true" outlineLevel="0" collapsed="false">
      <c r="A879" s="151" t="n">
        <v>45810</v>
      </c>
      <c r="B879" s="152" t="s">
        <v>995</v>
      </c>
      <c r="C879" s="153" t="n">
        <v>100.69</v>
      </c>
      <c r="D879" s="154" t="s">
        <v>97</v>
      </c>
      <c r="E879" s="153"/>
      <c r="F879" s="154"/>
      <c r="G879" s="152" t="s">
        <v>206</v>
      </c>
      <c r="H879" s="152" t="s">
        <v>106</v>
      </c>
      <c r="I879" s="152"/>
    </row>
    <row r="880" customFormat="false" ht="16.5" hidden="false" customHeight="true" outlineLevel="0" collapsed="false">
      <c r="A880" s="151" t="n">
        <v>45810</v>
      </c>
      <c r="B880" s="152" t="s">
        <v>996</v>
      </c>
      <c r="C880" s="153" t="n">
        <v>-198.22</v>
      </c>
      <c r="D880" s="154" t="s">
        <v>97</v>
      </c>
      <c r="E880" s="153" t="n">
        <v>-198.22</v>
      </c>
      <c r="F880" s="154" t="s">
        <v>902</v>
      </c>
      <c r="G880" s="152" t="s">
        <v>189</v>
      </c>
      <c r="H880" s="152" t="s">
        <v>106</v>
      </c>
      <c r="I880" s="152"/>
    </row>
    <row r="881" customFormat="false" ht="16.5" hidden="false" customHeight="true" outlineLevel="0" collapsed="false">
      <c r="A881" s="151" t="n">
        <v>45810</v>
      </c>
      <c r="B881" s="152" t="s">
        <v>997</v>
      </c>
      <c r="C881" s="153" t="n">
        <v>-80.07</v>
      </c>
      <c r="D881" s="154" t="s">
        <v>97</v>
      </c>
      <c r="E881" s="153"/>
      <c r="F881" s="154"/>
      <c r="G881" s="152" t="s">
        <v>168</v>
      </c>
      <c r="H881" s="152" t="s">
        <v>106</v>
      </c>
      <c r="I881" s="152"/>
    </row>
    <row r="882" customFormat="false" ht="16.5" hidden="false" customHeight="true" outlineLevel="0" collapsed="false">
      <c r="A882" s="151" t="n">
        <v>45810</v>
      </c>
      <c r="B882" s="152" t="s">
        <v>998</v>
      </c>
      <c r="C882" s="153" t="n">
        <v>-49.18</v>
      </c>
      <c r="D882" s="154" t="s">
        <v>97</v>
      </c>
      <c r="E882" s="153"/>
      <c r="F882" s="154"/>
      <c r="G882" s="152" t="s">
        <v>213</v>
      </c>
      <c r="H882" s="152" t="s">
        <v>106</v>
      </c>
      <c r="I882" s="152"/>
    </row>
    <row r="883" customFormat="false" ht="16.5" hidden="false" customHeight="true" outlineLevel="0" collapsed="false">
      <c r="A883" s="151" t="n">
        <v>45810</v>
      </c>
      <c r="B883" s="152" t="s">
        <v>999</v>
      </c>
      <c r="C883" s="153" t="n">
        <v>-32.78</v>
      </c>
      <c r="D883" s="154" t="s">
        <v>97</v>
      </c>
      <c r="E883" s="153"/>
      <c r="F883" s="154"/>
      <c r="G883" s="152" t="s">
        <v>213</v>
      </c>
      <c r="H883" s="152" t="s">
        <v>106</v>
      </c>
      <c r="I883" s="152"/>
    </row>
    <row r="884" customFormat="false" ht="16.5" hidden="false" customHeight="true" outlineLevel="0" collapsed="false">
      <c r="A884" s="151" t="n">
        <v>45810</v>
      </c>
      <c r="B884" s="152" t="s">
        <v>1000</v>
      </c>
      <c r="C884" s="153" t="n">
        <v>-29.9</v>
      </c>
      <c r="D884" s="154" t="s">
        <v>97</v>
      </c>
      <c r="E884" s="153"/>
      <c r="F884" s="154"/>
      <c r="G884" s="152" t="s">
        <v>213</v>
      </c>
      <c r="H884" s="152" t="s">
        <v>106</v>
      </c>
      <c r="I884" s="152"/>
    </row>
    <row r="885" customFormat="false" ht="16.5" hidden="false" customHeight="true" outlineLevel="0" collapsed="false">
      <c r="A885" s="151" t="n">
        <v>45810</v>
      </c>
      <c r="B885" s="152" t="s">
        <v>1001</v>
      </c>
      <c r="C885" s="153" t="n">
        <v>-23.88</v>
      </c>
      <c r="D885" s="154" t="s">
        <v>97</v>
      </c>
      <c r="E885" s="153"/>
      <c r="F885" s="154"/>
      <c r="G885" s="152" t="s">
        <v>213</v>
      </c>
      <c r="H885" s="152" t="s">
        <v>106</v>
      </c>
      <c r="I885" s="152"/>
    </row>
    <row r="886" customFormat="false" ht="16.5" hidden="false" customHeight="true" outlineLevel="0" collapsed="false">
      <c r="A886" s="151" t="n">
        <v>45810</v>
      </c>
      <c r="B886" s="152" t="s">
        <v>1002</v>
      </c>
      <c r="C886" s="153" t="n">
        <v>-23.25</v>
      </c>
      <c r="D886" s="154" t="s">
        <v>97</v>
      </c>
      <c r="E886" s="153"/>
      <c r="F886" s="154"/>
      <c r="G886" s="152" t="s">
        <v>213</v>
      </c>
      <c r="H886" s="152" t="s">
        <v>106</v>
      </c>
      <c r="I886" s="152"/>
    </row>
    <row r="887" customFormat="false" ht="16.5" hidden="false" customHeight="true" outlineLevel="0" collapsed="false">
      <c r="A887" s="151" t="n">
        <v>45810</v>
      </c>
      <c r="B887" s="152" t="s">
        <v>1003</v>
      </c>
      <c r="C887" s="153" t="n">
        <v>-20.49</v>
      </c>
      <c r="D887" s="154" t="s">
        <v>97</v>
      </c>
      <c r="E887" s="153"/>
      <c r="F887" s="154"/>
      <c r="G887" s="152" t="s">
        <v>213</v>
      </c>
      <c r="H887" s="152" t="s">
        <v>106</v>
      </c>
      <c r="I887" s="152"/>
    </row>
    <row r="888" customFormat="false" ht="16.5" hidden="false" customHeight="true" outlineLevel="0" collapsed="false">
      <c r="A888" s="151" t="n">
        <v>45810</v>
      </c>
      <c r="B888" s="152" t="s">
        <v>1004</v>
      </c>
      <c r="C888" s="153" t="n">
        <v>-15.45</v>
      </c>
      <c r="D888" s="154" t="s">
        <v>97</v>
      </c>
      <c r="E888" s="153"/>
      <c r="F888" s="154"/>
      <c r="G888" s="152" t="s">
        <v>213</v>
      </c>
      <c r="H888" s="152" t="s">
        <v>106</v>
      </c>
      <c r="I888" s="152"/>
    </row>
    <row r="889" customFormat="false" ht="16.5" hidden="false" customHeight="true" outlineLevel="0" collapsed="false">
      <c r="A889" s="151" t="n">
        <v>45810</v>
      </c>
      <c r="B889" s="152" t="s">
        <v>1005</v>
      </c>
      <c r="C889" s="153" t="n">
        <v>-14.99</v>
      </c>
      <c r="D889" s="154" t="s">
        <v>97</v>
      </c>
      <c r="E889" s="153"/>
      <c r="F889" s="154"/>
      <c r="G889" s="152" t="s">
        <v>213</v>
      </c>
      <c r="H889" s="152" t="s">
        <v>106</v>
      </c>
      <c r="I889" s="152"/>
    </row>
    <row r="890" customFormat="false" ht="16.5" hidden="false" customHeight="true" outlineLevel="0" collapsed="false">
      <c r="A890" s="151" t="n">
        <v>45810</v>
      </c>
      <c r="B890" s="152" t="s">
        <v>1006</v>
      </c>
      <c r="C890" s="153" t="n">
        <v>-8.98</v>
      </c>
      <c r="D890" s="154" t="s">
        <v>97</v>
      </c>
      <c r="E890" s="153"/>
      <c r="F890" s="154"/>
      <c r="G890" s="152" t="s">
        <v>231</v>
      </c>
      <c r="H890" s="152" t="s">
        <v>106</v>
      </c>
      <c r="I890" s="152"/>
    </row>
    <row r="891" customFormat="false" ht="16.5" hidden="false" customHeight="true" outlineLevel="0" collapsed="false">
      <c r="A891" s="151" t="n">
        <v>45810</v>
      </c>
      <c r="B891" s="152" t="s">
        <v>1007</v>
      </c>
      <c r="C891" s="153" t="n">
        <v>-8.21</v>
      </c>
      <c r="D891" s="154" t="s">
        <v>97</v>
      </c>
      <c r="E891" s="153"/>
      <c r="F891" s="154"/>
      <c r="G891" s="152" t="s">
        <v>164</v>
      </c>
      <c r="H891" s="152" t="s">
        <v>106</v>
      </c>
      <c r="I891" s="152"/>
    </row>
    <row r="892" customFormat="false" ht="16.5" hidden="false" customHeight="true" outlineLevel="0" collapsed="false">
      <c r="A892" s="151" t="n">
        <v>45810</v>
      </c>
      <c r="B892" s="152" t="s">
        <v>1008</v>
      </c>
      <c r="C892" s="153" t="n">
        <v>-8.02</v>
      </c>
      <c r="D892" s="154" t="s">
        <v>97</v>
      </c>
      <c r="E892" s="153"/>
      <c r="F892" s="154"/>
      <c r="G892" s="152" t="s">
        <v>164</v>
      </c>
      <c r="H892" s="152" t="s">
        <v>106</v>
      </c>
      <c r="I892" s="152"/>
    </row>
    <row r="893" customFormat="false" ht="16.5" hidden="false" customHeight="true" outlineLevel="0" collapsed="false">
      <c r="A893" s="151" t="n">
        <v>45810</v>
      </c>
      <c r="B893" s="152" t="s">
        <v>1009</v>
      </c>
      <c r="C893" s="153" t="n">
        <v>-6.75</v>
      </c>
      <c r="D893" s="154" t="s">
        <v>97</v>
      </c>
      <c r="E893" s="153"/>
      <c r="F893" s="154"/>
      <c r="G893" s="152" t="s">
        <v>231</v>
      </c>
      <c r="H893" s="152" t="s">
        <v>106</v>
      </c>
      <c r="I893" s="152"/>
    </row>
    <row r="894" customFormat="false" ht="16.5" hidden="false" customHeight="true" outlineLevel="0" collapsed="false">
      <c r="A894" s="151" t="n">
        <v>45810</v>
      </c>
      <c r="B894" s="152" t="s">
        <v>1010</v>
      </c>
      <c r="C894" s="153" t="n">
        <v>-6.37</v>
      </c>
      <c r="D894" s="154" t="s">
        <v>97</v>
      </c>
      <c r="E894" s="153"/>
      <c r="F894" s="154"/>
      <c r="G894" s="152" t="s">
        <v>225</v>
      </c>
      <c r="H894" s="152" t="s">
        <v>106</v>
      </c>
      <c r="I894" s="152"/>
    </row>
    <row r="895" customFormat="false" ht="16.5" hidden="false" customHeight="true" outlineLevel="0" collapsed="false">
      <c r="A895" s="151" t="n">
        <v>45810</v>
      </c>
      <c r="B895" s="152" t="s">
        <v>1011</v>
      </c>
      <c r="C895" s="153" t="n">
        <v>-4</v>
      </c>
      <c r="D895" s="154" t="s">
        <v>97</v>
      </c>
      <c r="E895" s="153"/>
      <c r="F895" s="154"/>
      <c r="G895" s="152" t="s">
        <v>168</v>
      </c>
      <c r="H895" s="152" t="s">
        <v>106</v>
      </c>
      <c r="I895" s="152"/>
    </row>
    <row r="896" customFormat="false" ht="16.5" hidden="false" customHeight="true" outlineLevel="0" collapsed="false">
      <c r="A896" s="151" t="n">
        <v>45810</v>
      </c>
      <c r="B896" s="152" t="s">
        <v>1012</v>
      </c>
      <c r="C896" s="153" t="n">
        <v>-3.97</v>
      </c>
      <c r="D896" s="154" t="s">
        <v>97</v>
      </c>
      <c r="E896" s="153"/>
      <c r="F896" s="154"/>
      <c r="G896" s="152" t="s">
        <v>231</v>
      </c>
      <c r="H896" s="152" t="s">
        <v>106</v>
      </c>
      <c r="I896" s="152"/>
    </row>
    <row r="897" customFormat="false" ht="16.5" hidden="false" customHeight="true" outlineLevel="0" collapsed="false">
      <c r="A897" s="151" t="n">
        <v>45810</v>
      </c>
      <c r="B897" s="152" t="s">
        <v>1013</v>
      </c>
      <c r="C897" s="153" t="n">
        <v>-3.57</v>
      </c>
      <c r="D897" s="154" t="s">
        <v>97</v>
      </c>
      <c r="E897" s="153"/>
      <c r="F897" s="154"/>
      <c r="G897" s="152" t="s">
        <v>231</v>
      </c>
      <c r="H897" s="152" t="s">
        <v>106</v>
      </c>
      <c r="I897" s="152"/>
    </row>
    <row r="898" customFormat="false" ht="16.5" hidden="false" customHeight="true" outlineLevel="0" collapsed="false">
      <c r="A898" s="151" t="n">
        <v>45810</v>
      </c>
      <c r="B898" s="152" t="s">
        <v>1014</v>
      </c>
      <c r="C898" s="153" t="n">
        <v>-3.17</v>
      </c>
      <c r="D898" s="154" t="s">
        <v>97</v>
      </c>
      <c r="E898" s="153"/>
      <c r="F898" s="154"/>
      <c r="G898" s="152" t="s">
        <v>167</v>
      </c>
      <c r="H898" s="152" t="s">
        <v>106</v>
      </c>
      <c r="I898" s="152"/>
    </row>
    <row r="899" customFormat="false" ht="16.5" hidden="false" customHeight="true" outlineLevel="0" collapsed="false">
      <c r="A899" s="151" t="n">
        <v>45810</v>
      </c>
      <c r="B899" s="152" t="s">
        <v>1015</v>
      </c>
      <c r="C899" s="153" t="n">
        <v>-3</v>
      </c>
      <c r="D899" s="154" t="s">
        <v>97</v>
      </c>
      <c r="E899" s="153"/>
      <c r="F899" s="154"/>
      <c r="G899" s="152" t="s">
        <v>205</v>
      </c>
      <c r="H899" s="152" t="s">
        <v>106</v>
      </c>
      <c r="I899" s="152"/>
    </row>
    <row r="900" customFormat="false" ht="16.5" hidden="false" customHeight="true" outlineLevel="0" collapsed="false">
      <c r="A900" s="151" t="n">
        <v>45810</v>
      </c>
      <c r="B900" s="152" t="s">
        <v>1016</v>
      </c>
      <c r="C900" s="153" t="n">
        <v>-2.5</v>
      </c>
      <c r="D900" s="154" t="s">
        <v>97</v>
      </c>
      <c r="E900" s="153"/>
      <c r="F900" s="154"/>
      <c r="G900" s="152" t="s">
        <v>225</v>
      </c>
      <c r="H900" s="152" t="s">
        <v>106</v>
      </c>
      <c r="I900" s="152"/>
    </row>
    <row r="901" customFormat="false" ht="16.5" hidden="false" customHeight="true" outlineLevel="0" collapsed="false">
      <c r="A901" s="151" t="n">
        <v>45810</v>
      </c>
      <c r="B901" s="152" t="s">
        <v>1017</v>
      </c>
      <c r="C901" s="153" t="n">
        <v>-2.06</v>
      </c>
      <c r="D901" s="154" t="s">
        <v>97</v>
      </c>
      <c r="E901" s="153"/>
      <c r="F901" s="154"/>
      <c r="G901" s="152" t="s">
        <v>231</v>
      </c>
      <c r="H901" s="152" t="s">
        <v>106</v>
      </c>
      <c r="I901" s="152"/>
    </row>
    <row r="902" customFormat="false" ht="16.5" hidden="false" customHeight="true" outlineLevel="0" collapsed="false">
      <c r="A902" s="151" t="n">
        <v>45810</v>
      </c>
      <c r="B902" s="152" t="s">
        <v>1018</v>
      </c>
      <c r="C902" s="153" t="n">
        <v>-1.98</v>
      </c>
      <c r="D902" s="154" t="s">
        <v>97</v>
      </c>
      <c r="E902" s="153"/>
      <c r="F902" s="154"/>
      <c r="G902" s="152" t="s">
        <v>167</v>
      </c>
      <c r="H902" s="152" t="s">
        <v>106</v>
      </c>
      <c r="I902" s="152"/>
    </row>
    <row r="903" customFormat="false" ht="16.5" hidden="false" customHeight="true" outlineLevel="0" collapsed="false">
      <c r="A903" s="151" t="n">
        <v>45810</v>
      </c>
      <c r="B903" s="152" t="s">
        <v>1019</v>
      </c>
      <c r="C903" s="153" t="n">
        <v>-1.8</v>
      </c>
      <c r="D903" s="154" t="s">
        <v>97</v>
      </c>
      <c r="E903" s="153"/>
      <c r="F903" s="154"/>
      <c r="G903" s="152" t="s">
        <v>12</v>
      </c>
      <c r="H903" s="152" t="s">
        <v>106</v>
      </c>
      <c r="I903" s="152"/>
    </row>
    <row r="904" customFormat="false" ht="16.5" hidden="false" customHeight="true" outlineLevel="0" collapsed="false">
      <c r="A904" s="151" t="n">
        <v>45810</v>
      </c>
      <c r="B904" s="152" t="s">
        <v>1020</v>
      </c>
      <c r="C904" s="153" t="n">
        <v>-1.8</v>
      </c>
      <c r="D904" s="154" t="s">
        <v>97</v>
      </c>
      <c r="E904" s="153"/>
      <c r="F904" s="154"/>
      <c r="G904" s="152" t="s">
        <v>167</v>
      </c>
      <c r="H904" s="152" t="s">
        <v>106</v>
      </c>
      <c r="I904" s="152"/>
    </row>
    <row r="905" customFormat="false" ht="16.5" hidden="false" customHeight="true" outlineLevel="0" collapsed="false">
      <c r="A905" s="151" t="n">
        <v>45810</v>
      </c>
      <c r="B905" s="152" t="s">
        <v>1021</v>
      </c>
      <c r="C905" s="153" t="n">
        <v>-1.57</v>
      </c>
      <c r="D905" s="154" t="s">
        <v>97</v>
      </c>
      <c r="E905" s="153"/>
      <c r="F905" s="154"/>
      <c r="G905" s="152" t="s">
        <v>231</v>
      </c>
      <c r="H905" s="152" t="s">
        <v>106</v>
      </c>
      <c r="I905" s="152"/>
    </row>
    <row r="906" customFormat="false" ht="16.5" hidden="false" customHeight="true" outlineLevel="0" collapsed="false">
      <c r="A906" s="151" t="n">
        <v>45810</v>
      </c>
      <c r="B906" s="152" t="s">
        <v>1022</v>
      </c>
      <c r="C906" s="153" t="n">
        <v>-1.46</v>
      </c>
      <c r="D906" s="154" t="s">
        <v>97</v>
      </c>
      <c r="E906" s="153"/>
      <c r="F906" s="154"/>
      <c r="G906" s="152" t="s">
        <v>213</v>
      </c>
      <c r="H906" s="152" t="s">
        <v>106</v>
      </c>
      <c r="I906" s="152"/>
    </row>
    <row r="907" customFormat="false" ht="16.5" hidden="false" customHeight="true" outlineLevel="0" collapsed="false">
      <c r="A907" s="151" t="n">
        <v>45810</v>
      </c>
      <c r="B907" s="152" t="s">
        <v>1023</v>
      </c>
      <c r="C907" s="153" t="n">
        <v>-1.26</v>
      </c>
      <c r="D907" s="154" t="s">
        <v>97</v>
      </c>
      <c r="E907" s="153"/>
      <c r="F907" s="154"/>
      <c r="G907" s="152" t="s">
        <v>213</v>
      </c>
      <c r="H907" s="152" t="s">
        <v>106</v>
      </c>
      <c r="I907" s="152"/>
    </row>
    <row r="908" customFormat="false" ht="16.5" hidden="false" customHeight="true" outlineLevel="0" collapsed="false">
      <c r="A908" s="151" t="n">
        <v>45810</v>
      </c>
      <c r="B908" s="152" t="s">
        <v>1024</v>
      </c>
      <c r="C908" s="153" t="n">
        <v>-1.19</v>
      </c>
      <c r="D908" s="154" t="s">
        <v>97</v>
      </c>
      <c r="E908" s="153"/>
      <c r="F908" s="154"/>
      <c r="G908" s="152" t="s">
        <v>213</v>
      </c>
      <c r="H908" s="152" t="s">
        <v>106</v>
      </c>
      <c r="I908" s="152"/>
    </row>
    <row r="909" customFormat="false" ht="16.5" hidden="false" customHeight="true" outlineLevel="0" collapsed="false">
      <c r="A909" s="151" t="n">
        <v>45810</v>
      </c>
      <c r="B909" s="152" t="s">
        <v>1025</v>
      </c>
      <c r="C909" s="153" t="n">
        <v>-1.01</v>
      </c>
      <c r="D909" s="154" t="s">
        <v>97</v>
      </c>
      <c r="E909" s="153"/>
      <c r="F909" s="154"/>
      <c r="G909" s="152" t="s">
        <v>213</v>
      </c>
      <c r="H909" s="152" t="s">
        <v>106</v>
      </c>
      <c r="I909" s="152"/>
    </row>
    <row r="910" customFormat="false" ht="16.5" hidden="false" customHeight="true" outlineLevel="0" collapsed="false">
      <c r="A910" s="151" t="n">
        <v>45810</v>
      </c>
      <c r="B910" s="152" t="s">
        <v>1026</v>
      </c>
      <c r="C910" s="153" t="n">
        <v>-0.99</v>
      </c>
      <c r="D910" s="154" t="s">
        <v>97</v>
      </c>
      <c r="E910" s="153"/>
      <c r="F910" s="154"/>
      <c r="G910" s="152" t="s">
        <v>42</v>
      </c>
      <c r="H910" s="152" t="s">
        <v>106</v>
      </c>
      <c r="I910" s="152"/>
    </row>
    <row r="911" customFormat="false" ht="16.5" hidden="false" customHeight="true" outlineLevel="0" collapsed="false">
      <c r="A911" s="151" t="n">
        <v>45810</v>
      </c>
      <c r="B911" s="152" t="s">
        <v>1027</v>
      </c>
      <c r="C911" s="153" t="n">
        <v>-0.99</v>
      </c>
      <c r="D911" s="154" t="s">
        <v>97</v>
      </c>
      <c r="E911" s="153"/>
      <c r="F911" s="154"/>
      <c r="G911" s="152" t="s">
        <v>42</v>
      </c>
      <c r="H911" s="152" t="s">
        <v>106</v>
      </c>
      <c r="I911" s="152"/>
    </row>
    <row r="912" customFormat="false" ht="16.5" hidden="false" customHeight="true" outlineLevel="0" collapsed="false">
      <c r="A912" s="151" t="n">
        <v>45810</v>
      </c>
      <c r="B912" s="152" t="s">
        <v>1028</v>
      </c>
      <c r="C912" s="153" t="n">
        <v>-0.85</v>
      </c>
      <c r="D912" s="154" t="s">
        <v>97</v>
      </c>
      <c r="E912" s="153"/>
      <c r="F912" s="154"/>
      <c r="G912" s="152" t="s">
        <v>213</v>
      </c>
      <c r="H912" s="152" t="s">
        <v>106</v>
      </c>
      <c r="I912" s="152"/>
    </row>
    <row r="913" customFormat="false" ht="16.5" hidden="false" customHeight="true" outlineLevel="0" collapsed="false">
      <c r="A913" s="151" t="n">
        <v>45810</v>
      </c>
      <c r="B913" s="152" t="s">
        <v>1029</v>
      </c>
      <c r="C913" s="153" t="n">
        <v>-0.69</v>
      </c>
      <c r="D913" s="154" t="s">
        <v>97</v>
      </c>
      <c r="E913" s="153"/>
      <c r="F913" s="154"/>
      <c r="G913" s="152" t="s">
        <v>213</v>
      </c>
      <c r="H913" s="152" t="s">
        <v>106</v>
      </c>
      <c r="I913" s="152"/>
    </row>
    <row r="914" customFormat="false" ht="16.5" hidden="false" customHeight="true" outlineLevel="0" collapsed="false">
      <c r="A914" s="151" t="n">
        <v>45810</v>
      </c>
      <c r="B914" s="152" t="s">
        <v>1030</v>
      </c>
      <c r="C914" s="153" t="n">
        <v>-0.32</v>
      </c>
      <c r="D914" s="154" t="s">
        <v>97</v>
      </c>
      <c r="E914" s="153"/>
      <c r="F914" s="154"/>
      <c r="G914" s="152" t="s">
        <v>225</v>
      </c>
      <c r="H914" s="152" t="s">
        <v>106</v>
      </c>
      <c r="I914" s="152"/>
    </row>
    <row r="915" customFormat="false" ht="16.5" hidden="false" customHeight="true" outlineLevel="0" collapsed="false">
      <c r="A915" s="151" t="n">
        <v>45811</v>
      </c>
      <c r="B915" s="152" t="s">
        <v>60</v>
      </c>
      <c r="C915" s="153" t="n">
        <v>4464.68</v>
      </c>
      <c r="D915" s="154" t="s">
        <v>97</v>
      </c>
      <c r="E915" s="153"/>
      <c r="F915" s="154"/>
      <c r="G915" s="152" t="s">
        <v>315</v>
      </c>
      <c r="H915" s="152" t="s">
        <v>106</v>
      </c>
      <c r="I915" s="152"/>
    </row>
    <row r="916" customFormat="false" ht="16.5" hidden="false" customHeight="true" outlineLevel="0" collapsed="false">
      <c r="A916" s="151" t="n">
        <v>45799</v>
      </c>
      <c r="B916" s="152" t="s">
        <v>1031</v>
      </c>
      <c r="C916" s="153" t="n">
        <v>22.86</v>
      </c>
      <c r="D916" s="154" t="s">
        <v>97</v>
      </c>
      <c r="E916" s="153"/>
      <c r="F916" s="154"/>
      <c r="G916" s="152" t="s">
        <v>199</v>
      </c>
      <c r="H916" s="152" t="s">
        <v>121</v>
      </c>
      <c r="I916" s="152"/>
    </row>
    <row r="917" customFormat="false" ht="16.5" hidden="false" customHeight="true" outlineLevel="0" collapsed="false">
      <c r="A917" s="151" t="n">
        <v>45799</v>
      </c>
      <c r="B917" s="152" t="s">
        <v>1032</v>
      </c>
      <c r="C917" s="153" t="n">
        <v>-5.71</v>
      </c>
      <c r="D917" s="154" t="s">
        <v>97</v>
      </c>
      <c r="E917" s="153"/>
      <c r="F917" s="154"/>
      <c r="G917" s="152" t="s">
        <v>171</v>
      </c>
      <c r="H917" s="152" t="s">
        <v>121</v>
      </c>
      <c r="I917" s="152"/>
    </row>
    <row r="918" customFormat="false" ht="16.5" hidden="false" customHeight="true" outlineLevel="0" collapsed="false">
      <c r="A918" s="151" t="n">
        <v>45799</v>
      </c>
      <c r="B918" s="152" t="s">
        <v>1033</v>
      </c>
      <c r="C918" s="153" t="n">
        <v>0.94</v>
      </c>
      <c r="D918" s="154" t="s">
        <v>97</v>
      </c>
      <c r="E918" s="153"/>
      <c r="F918" s="154"/>
      <c r="G918" s="152" t="s">
        <v>199</v>
      </c>
      <c r="H918" s="152" t="s">
        <v>121</v>
      </c>
      <c r="I918" s="152"/>
    </row>
    <row r="919" customFormat="false" ht="16.5" hidden="false" customHeight="true" outlineLevel="0" collapsed="false">
      <c r="A919" s="151" t="n">
        <v>45799</v>
      </c>
      <c r="B919" s="152" t="s">
        <v>1034</v>
      </c>
      <c r="C919" s="153" t="n">
        <v>-0.24</v>
      </c>
      <c r="D919" s="154" t="s">
        <v>97</v>
      </c>
      <c r="E919" s="153"/>
      <c r="F919" s="154"/>
      <c r="G919" s="152" t="s">
        <v>171</v>
      </c>
      <c r="H919" s="152" t="s">
        <v>121</v>
      </c>
      <c r="I919" s="152"/>
    </row>
    <row r="920" customFormat="false" ht="16.5" hidden="false" customHeight="true" outlineLevel="0" collapsed="false">
      <c r="A920" s="151" t="n">
        <v>45747</v>
      </c>
      <c r="B920" s="152" t="s">
        <v>1035</v>
      </c>
      <c r="C920" s="153" t="n">
        <v>-0.5</v>
      </c>
      <c r="D920" s="154" t="s">
        <v>97</v>
      </c>
      <c r="E920" s="153"/>
      <c r="F920" s="154"/>
      <c r="G920" s="152" t="s">
        <v>204</v>
      </c>
      <c r="H920" s="152" t="s">
        <v>121</v>
      </c>
      <c r="I920" s="152"/>
    </row>
    <row r="921" customFormat="false" ht="16.5" hidden="false" customHeight="true" outlineLevel="0" collapsed="false">
      <c r="A921" s="151" t="n">
        <v>45800</v>
      </c>
      <c r="B921" s="152" t="s">
        <v>60</v>
      </c>
      <c r="C921" s="153" t="n">
        <v>17.52</v>
      </c>
      <c r="D921" s="154" t="s">
        <v>97</v>
      </c>
      <c r="E921" s="153"/>
      <c r="F921" s="154"/>
      <c r="G921" s="152" t="s">
        <v>315</v>
      </c>
      <c r="H921" s="152" t="s">
        <v>121</v>
      </c>
      <c r="I921" s="152"/>
    </row>
    <row r="922" customFormat="false" ht="16.5" hidden="false" customHeight="true" outlineLevel="0" collapsed="false">
      <c r="A922" s="151" t="n">
        <v>45800</v>
      </c>
      <c r="B922" s="152" t="s">
        <v>60</v>
      </c>
      <c r="C922" s="153" t="n">
        <v>2240.67</v>
      </c>
      <c r="D922" s="154" t="s">
        <v>97</v>
      </c>
      <c r="E922" s="153"/>
      <c r="F922" s="154"/>
      <c r="G922" s="152" t="s">
        <v>315</v>
      </c>
      <c r="H922" s="152" t="s">
        <v>101</v>
      </c>
      <c r="I922" s="152"/>
    </row>
    <row r="923" customFormat="false" ht="16.5" hidden="false" customHeight="true" outlineLevel="0" collapsed="false">
      <c r="A923" s="151" t="n">
        <v>45826</v>
      </c>
      <c r="B923" s="152" t="s">
        <v>1036</v>
      </c>
      <c r="C923" s="153" t="n">
        <v>-3005.15</v>
      </c>
      <c r="D923" s="154" t="s">
        <v>97</v>
      </c>
      <c r="E923" s="153"/>
      <c r="F923" s="154" t="s">
        <v>1037</v>
      </c>
      <c r="G923" s="152" t="s">
        <v>190</v>
      </c>
      <c r="H923" s="152" t="s">
        <v>110</v>
      </c>
      <c r="I923" s="152"/>
    </row>
    <row r="924" customFormat="false" ht="16.5" hidden="false" customHeight="true" outlineLevel="0" collapsed="false">
      <c r="A924" s="151" t="n">
        <v>45826</v>
      </c>
      <c r="B924" s="152" t="s">
        <v>60</v>
      </c>
      <c r="C924" s="153" t="n">
        <v>45.56</v>
      </c>
      <c r="D924" s="154" t="s">
        <v>97</v>
      </c>
      <c r="E924" s="153"/>
      <c r="F924" s="154"/>
      <c r="G924" s="152" t="s">
        <v>315</v>
      </c>
      <c r="H924" s="152" t="s">
        <v>110</v>
      </c>
      <c r="I924" s="152"/>
    </row>
    <row r="925" customFormat="false" ht="16.5" hidden="false" customHeight="true" outlineLevel="0" collapsed="false">
      <c r="A925" s="151" t="n">
        <v>45826</v>
      </c>
      <c r="B925" s="152" t="s">
        <v>60</v>
      </c>
      <c r="C925" s="156" t="n">
        <v>0</v>
      </c>
      <c r="D925" s="154" t="s">
        <v>141</v>
      </c>
      <c r="E925" s="153"/>
      <c r="F925" s="154"/>
      <c r="G925" s="152" t="s">
        <v>315</v>
      </c>
      <c r="H925" s="152" t="s">
        <v>142</v>
      </c>
      <c r="I925" s="152"/>
    </row>
    <row r="926" customFormat="false" ht="16.5" hidden="false" customHeight="true" outlineLevel="0" collapsed="false">
      <c r="A926" s="151" t="n">
        <v>45828</v>
      </c>
      <c r="B926" s="152"/>
      <c r="C926" s="156" t="n">
        <v>0.6912</v>
      </c>
      <c r="D926" s="154" t="s">
        <v>141</v>
      </c>
      <c r="E926" s="153" t="n">
        <v>190.02</v>
      </c>
      <c r="F926" s="154" t="s">
        <v>1038</v>
      </c>
      <c r="G926" s="152" t="s">
        <v>188</v>
      </c>
      <c r="H926" s="152" t="s">
        <v>142</v>
      </c>
      <c r="I926" s="152"/>
    </row>
    <row r="927" customFormat="false" ht="16.5" hidden="false" customHeight="true" outlineLevel="0" collapsed="false">
      <c r="A927" s="151" t="n">
        <v>45828</v>
      </c>
      <c r="B927" s="152" t="s">
        <v>60</v>
      </c>
      <c r="C927" s="156" t="n">
        <v>0.6912</v>
      </c>
      <c r="D927" s="154" t="s">
        <v>141</v>
      </c>
      <c r="E927" s="153"/>
      <c r="F927" s="154"/>
      <c r="G927" s="152" t="s">
        <v>315</v>
      </c>
      <c r="H927" s="152" t="s">
        <v>142</v>
      </c>
      <c r="I927" s="152"/>
    </row>
    <row r="928" customFormat="false" ht="16.5" hidden="false" customHeight="true" outlineLevel="0" collapsed="false">
      <c r="A928" s="151" t="n">
        <v>45827</v>
      </c>
      <c r="B928" s="152" t="s">
        <v>1039</v>
      </c>
      <c r="C928" s="153" t="n">
        <v>-115.97</v>
      </c>
      <c r="D928" s="154" t="s">
        <v>97</v>
      </c>
      <c r="E928" s="153"/>
      <c r="F928" s="154"/>
      <c r="G928" s="152" t="s">
        <v>176</v>
      </c>
      <c r="H928" s="152" t="s">
        <v>106</v>
      </c>
      <c r="I928" s="152"/>
    </row>
    <row r="929" customFormat="false" ht="16.5" hidden="false" customHeight="true" outlineLevel="0" collapsed="false">
      <c r="A929" s="151" t="n">
        <v>45827</v>
      </c>
      <c r="B929" s="152" t="s">
        <v>1040</v>
      </c>
      <c r="C929" s="153" t="n">
        <v>-190.02</v>
      </c>
      <c r="D929" s="154" t="s">
        <v>97</v>
      </c>
      <c r="E929" s="153" t="n">
        <v>-190.02</v>
      </c>
      <c r="F929" s="154" t="s">
        <v>1038</v>
      </c>
      <c r="G929" s="152" t="s">
        <v>188</v>
      </c>
      <c r="H929" s="152" t="s">
        <v>106</v>
      </c>
      <c r="I929" s="152"/>
    </row>
    <row r="930" customFormat="false" ht="16.5" hidden="false" customHeight="true" outlineLevel="0" collapsed="false">
      <c r="A930" s="151" t="n">
        <v>45826</v>
      </c>
      <c r="B930" s="152" t="s">
        <v>1041</v>
      </c>
      <c r="C930" s="153" t="n">
        <v>-4108.72</v>
      </c>
      <c r="D930" s="154" t="s">
        <v>97</v>
      </c>
      <c r="E930" s="153"/>
      <c r="F930" s="154"/>
      <c r="G930" s="152" t="s">
        <v>176</v>
      </c>
      <c r="H930" s="152" t="s">
        <v>106</v>
      </c>
      <c r="I930" s="152"/>
    </row>
    <row r="931" customFormat="false" ht="16.5" hidden="false" customHeight="true" outlineLevel="0" collapsed="false">
      <c r="A931" s="151" t="n">
        <v>45826</v>
      </c>
      <c r="B931" s="152" t="s">
        <v>1042</v>
      </c>
      <c r="C931" s="153" t="n">
        <v>3005.15</v>
      </c>
      <c r="D931" s="154" t="s">
        <v>97</v>
      </c>
      <c r="E931" s="153"/>
      <c r="F931" s="154" t="s">
        <v>1037</v>
      </c>
      <c r="G931" s="152" t="s">
        <v>190</v>
      </c>
      <c r="H931" s="152" t="s">
        <v>106</v>
      </c>
      <c r="I931" s="152"/>
    </row>
    <row r="932" customFormat="false" ht="16.5" hidden="false" customHeight="true" outlineLevel="0" collapsed="false">
      <c r="A932" s="151" t="n">
        <v>45825</v>
      </c>
      <c r="B932" s="152" t="s">
        <v>1043</v>
      </c>
      <c r="C932" s="153" t="n">
        <v>-9.57</v>
      </c>
      <c r="D932" s="154" t="s">
        <v>97</v>
      </c>
      <c r="E932" s="153"/>
      <c r="F932" s="154"/>
      <c r="G932" s="152" t="s">
        <v>207</v>
      </c>
      <c r="H932" s="152" t="s">
        <v>106</v>
      </c>
      <c r="I932" s="152"/>
    </row>
    <row r="933" customFormat="false" ht="16.5" hidden="false" customHeight="true" outlineLevel="0" collapsed="false">
      <c r="A933" s="151" t="n">
        <v>45825</v>
      </c>
      <c r="B933" s="152" t="s">
        <v>1044</v>
      </c>
      <c r="C933" s="153" t="n">
        <v>-8.83</v>
      </c>
      <c r="D933" s="154" t="s">
        <v>97</v>
      </c>
      <c r="E933" s="153"/>
      <c r="F933" s="154"/>
      <c r="G933" s="152" t="s">
        <v>207</v>
      </c>
      <c r="H933" s="152" t="s">
        <v>106</v>
      </c>
      <c r="I933" s="152"/>
    </row>
    <row r="934" customFormat="false" ht="16.5" hidden="false" customHeight="true" outlineLevel="0" collapsed="false">
      <c r="A934" s="151" t="n">
        <v>45824</v>
      </c>
      <c r="B934" s="152" t="s">
        <v>1045</v>
      </c>
      <c r="C934" s="153" t="n">
        <v>-115.17</v>
      </c>
      <c r="D934" s="154" t="s">
        <v>97</v>
      </c>
      <c r="E934" s="153"/>
      <c r="F934" s="154"/>
      <c r="G934" s="152" t="s">
        <v>176</v>
      </c>
      <c r="H934" s="152" t="s">
        <v>106</v>
      </c>
      <c r="I934" s="152"/>
    </row>
    <row r="935" customFormat="false" ht="16.5" hidden="false" customHeight="true" outlineLevel="0" collapsed="false">
      <c r="A935" s="151" t="n">
        <v>45824</v>
      </c>
      <c r="B935" s="152" t="s">
        <v>1046</v>
      </c>
      <c r="C935" s="153" t="n">
        <v>-66.16</v>
      </c>
      <c r="D935" s="154" t="s">
        <v>97</v>
      </c>
      <c r="E935" s="153"/>
      <c r="F935" s="154"/>
      <c r="G935" s="152" t="s">
        <v>208</v>
      </c>
      <c r="H935" s="152" t="s">
        <v>106</v>
      </c>
      <c r="I935" s="152"/>
    </row>
    <row r="936" customFormat="false" ht="16.5" hidden="false" customHeight="true" outlineLevel="0" collapsed="false">
      <c r="A936" s="151" t="n">
        <v>45824</v>
      </c>
      <c r="B936" s="152" t="s">
        <v>1047</v>
      </c>
      <c r="C936" s="153" t="n">
        <v>-28.27</v>
      </c>
      <c r="D936" s="154" t="s">
        <v>97</v>
      </c>
      <c r="E936" s="153"/>
      <c r="F936" s="154"/>
      <c r="G936" s="152" t="s">
        <v>197</v>
      </c>
      <c r="H936" s="152" t="s">
        <v>106</v>
      </c>
      <c r="I936" s="152"/>
    </row>
    <row r="937" customFormat="false" ht="16.5" hidden="false" customHeight="true" outlineLevel="0" collapsed="false">
      <c r="A937" s="151" t="n">
        <v>45824</v>
      </c>
      <c r="B937" s="152" t="s">
        <v>1048</v>
      </c>
      <c r="C937" s="153" t="n">
        <v>-20</v>
      </c>
      <c r="D937" s="154" t="s">
        <v>97</v>
      </c>
      <c r="E937" s="153"/>
      <c r="F937" s="154"/>
      <c r="G937" s="152" t="s">
        <v>171</v>
      </c>
      <c r="H937" s="152" t="s">
        <v>106</v>
      </c>
      <c r="I937" s="152"/>
    </row>
    <row r="938" customFormat="false" ht="16.5" hidden="false" customHeight="true" outlineLevel="0" collapsed="false">
      <c r="A938" s="151" t="n">
        <v>45824</v>
      </c>
      <c r="B938" s="152" t="s">
        <v>1049</v>
      </c>
      <c r="C938" s="153" t="n">
        <v>-8.58</v>
      </c>
      <c r="D938" s="154" t="s">
        <v>97</v>
      </c>
      <c r="E938" s="153"/>
      <c r="F938" s="154"/>
      <c r="G938" s="152" t="s">
        <v>217</v>
      </c>
      <c r="H938" s="152" t="s">
        <v>106</v>
      </c>
      <c r="I938" s="152"/>
    </row>
    <row r="939" customFormat="false" ht="16.5" hidden="false" customHeight="true" outlineLevel="0" collapsed="false">
      <c r="A939" s="151" t="n">
        <v>45821</v>
      </c>
      <c r="B939" s="152" t="s">
        <v>1050</v>
      </c>
      <c r="C939" s="153" t="n">
        <v>-605.15</v>
      </c>
      <c r="D939" s="154" t="s">
        <v>97</v>
      </c>
      <c r="E939" s="153"/>
      <c r="F939" s="154"/>
      <c r="G939" s="152" t="s">
        <v>176</v>
      </c>
      <c r="H939" s="152" t="s">
        <v>106</v>
      </c>
      <c r="I939" s="152"/>
    </row>
    <row r="940" customFormat="false" ht="16.5" hidden="false" customHeight="true" outlineLevel="0" collapsed="false">
      <c r="A940" s="151" t="n">
        <v>45818</v>
      </c>
      <c r="B940" s="152" t="s">
        <v>1051</v>
      </c>
      <c r="C940" s="153" t="n">
        <v>-16.82</v>
      </c>
      <c r="D940" s="154" t="s">
        <v>97</v>
      </c>
      <c r="E940" s="153"/>
      <c r="F940" s="154"/>
      <c r="G940" s="152" t="s">
        <v>212</v>
      </c>
      <c r="H940" s="152" t="s">
        <v>106</v>
      </c>
      <c r="I940" s="152"/>
    </row>
    <row r="941" customFormat="false" ht="16.5" hidden="false" customHeight="true" outlineLevel="0" collapsed="false">
      <c r="A941" s="151" t="n">
        <v>45818</v>
      </c>
      <c r="B941" s="152" t="s">
        <v>1052</v>
      </c>
      <c r="C941" s="153" t="n">
        <v>-59.99</v>
      </c>
      <c r="D941" s="154" t="s">
        <v>97</v>
      </c>
      <c r="E941" s="153"/>
      <c r="F941" s="154" t="s">
        <v>1053</v>
      </c>
      <c r="G941" s="152" t="s">
        <v>190</v>
      </c>
      <c r="H941" s="152" t="s">
        <v>106</v>
      </c>
      <c r="I941" s="152"/>
    </row>
    <row r="942" customFormat="false" ht="16.5" hidden="false" customHeight="true" outlineLevel="0" collapsed="false">
      <c r="A942" s="151" t="n">
        <v>45814</v>
      </c>
      <c r="B942" s="152" t="s">
        <v>1054</v>
      </c>
      <c r="C942" s="153" t="n">
        <v>-5.39</v>
      </c>
      <c r="D942" s="154" t="s">
        <v>97</v>
      </c>
      <c r="E942" s="153"/>
      <c r="F942" s="154"/>
      <c r="G942" s="152" t="s">
        <v>218</v>
      </c>
      <c r="H942" s="152" t="s">
        <v>106</v>
      </c>
      <c r="I942" s="152"/>
    </row>
    <row r="943" customFormat="false" ht="16.5" hidden="false" customHeight="true" outlineLevel="0" collapsed="false">
      <c r="A943" s="151" t="n">
        <v>45814</v>
      </c>
      <c r="B943" s="152" t="s">
        <v>1055</v>
      </c>
      <c r="C943" s="153" t="n">
        <v>-0.84</v>
      </c>
      <c r="D943" s="154" t="s">
        <v>97</v>
      </c>
      <c r="E943" s="153"/>
      <c r="F943" s="154"/>
      <c r="G943" s="152" t="s">
        <v>222</v>
      </c>
      <c r="H943" s="152" t="s">
        <v>106</v>
      </c>
      <c r="I943" s="152"/>
    </row>
    <row r="944" customFormat="false" ht="16.5" hidden="false" customHeight="true" outlineLevel="0" collapsed="false">
      <c r="A944" s="151" t="n">
        <v>45814</v>
      </c>
      <c r="B944" s="152" t="s">
        <v>1056</v>
      </c>
      <c r="C944" s="153" t="n">
        <v>242.67</v>
      </c>
      <c r="D944" s="154" t="s">
        <v>97</v>
      </c>
      <c r="E944" s="153"/>
      <c r="F944" s="154"/>
      <c r="G944" s="152" t="s">
        <v>198</v>
      </c>
      <c r="H944" s="152" t="s">
        <v>106</v>
      </c>
      <c r="I944" s="152"/>
    </row>
    <row r="945" customFormat="false" ht="16.5" hidden="false" customHeight="true" outlineLevel="0" collapsed="false">
      <c r="A945" s="151" t="n">
        <v>45814</v>
      </c>
      <c r="B945" s="152" t="s">
        <v>1057</v>
      </c>
      <c r="C945" s="153" t="n">
        <v>265.43</v>
      </c>
      <c r="D945" s="154" t="s">
        <v>97</v>
      </c>
      <c r="E945" s="153"/>
      <c r="F945" s="154"/>
      <c r="G945" s="152" t="s">
        <v>215</v>
      </c>
      <c r="H945" s="152" t="s">
        <v>106</v>
      </c>
      <c r="I945" s="152"/>
    </row>
    <row r="946" customFormat="false" ht="16.5" hidden="false" customHeight="true" outlineLevel="0" collapsed="false">
      <c r="A946" s="151" t="n">
        <v>45813</v>
      </c>
      <c r="B946" s="152" t="s">
        <v>1058</v>
      </c>
      <c r="C946" s="153" t="n">
        <v>-45.63</v>
      </c>
      <c r="D946" s="154" t="s">
        <v>97</v>
      </c>
      <c r="E946" s="153"/>
      <c r="F946" s="154"/>
      <c r="G946" s="152" t="s">
        <v>197</v>
      </c>
      <c r="H946" s="152" t="s">
        <v>106</v>
      </c>
      <c r="I946" s="152"/>
    </row>
    <row r="947" customFormat="false" ht="16.5" hidden="false" customHeight="true" outlineLevel="0" collapsed="false">
      <c r="A947" s="151" t="n">
        <v>45813</v>
      </c>
      <c r="B947" s="152" t="s">
        <v>1059</v>
      </c>
      <c r="C947" s="153" t="n">
        <v>-42.81</v>
      </c>
      <c r="D947" s="154" t="s">
        <v>97</v>
      </c>
      <c r="E947" s="153"/>
      <c r="F947" s="154"/>
      <c r="G947" s="152" t="s">
        <v>203</v>
      </c>
      <c r="H947" s="152" t="s">
        <v>106</v>
      </c>
      <c r="I947" s="152"/>
    </row>
    <row r="948" customFormat="false" ht="16.5" hidden="false" customHeight="true" outlineLevel="0" collapsed="false">
      <c r="A948" s="151" t="n">
        <v>45813</v>
      </c>
      <c r="B948" s="152" t="s">
        <v>1060</v>
      </c>
      <c r="C948" s="153" t="n">
        <v>99.97</v>
      </c>
      <c r="D948" s="154" t="s">
        <v>97</v>
      </c>
      <c r="E948" s="153"/>
      <c r="F948" s="154" t="s">
        <v>1061</v>
      </c>
      <c r="G948" s="152" t="s">
        <v>190</v>
      </c>
      <c r="H948" s="152" t="s">
        <v>106</v>
      </c>
      <c r="I948" s="152"/>
    </row>
    <row r="949" customFormat="false" ht="16.5" hidden="false" customHeight="true" outlineLevel="0" collapsed="false">
      <c r="A949" s="151" t="n">
        <v>45812</v>
      </c>
      <c r="B949" s="152" t="s">
        <v>1062</v>
      </c>
      <c r="C949" s="153" t="n">
        <v>99.97</v>
      </c>
      <c r="D949" s="154" t="s">
        <v>97</v>
      </c>
      <c r="E949" s="153"/>
      <c r="F949" s="154" t="s">
        <v>1063</v>
      </c>
      <c r="G949" s="152" t="s">
        <v>190</v>
      </c>
      <c r="H949" s="152" t="s">
        <v>106</v>
      </c>
      <c r="I949" s="152"/>
    </row>
    <row r="950" customFormat="false" ht="16.5" hidden="false" customHeight="true" outlineLevel="0" collapsed="false">
      <c r="A950" s="151" t="n">
        <v>45828</v>
      </c>
      <c r="B950" s="152" t="s">
        <v>60</v>
      </c>
      <c r="C950" s="153" t="n">
        <v>1175.49</v>
      </c>
      <c r="D950" s="154" t="s">
        <v>97</v>
      </c>
      <c r="E950" s="153"/>
      <c r="F950" s="154"/>
      <c r="G950" s="152" t="s">
        <v>821</v>
      </c>
      <c r="H950" s="152" t="s">
        <v>106</v>
      </c>
      <c r="I950" s="152"/>
    </row>
    <row r="951" customFormat="false" ht="16.5" hidden="false" customHeight="true" outlineLevel="0" collapsed="false">
      <c r="A951" s="151" t="n">
        <v>45813</v>
      </c>
      <c r="B951" s="152"/>
      <c r="C951" s="153" t="n">
        <v>-99.97</v>
      </c>
      <c r="D951" s="154" t="s">
        <v>97</v>
      </c>
      <c r="E951" s="153"/>
      <c r="F951" s="154" t="s">
        <v>1061</v>
      </c>
      <c r="G951" s="152" t="s">
        <v>190</v>
      </c>
      <c r="H951" s="152" t="s">
        <v>132</v>
      </c>
      <c r="I951" s="152"/>
    </row>
    <row r="952" customFormat="false" ht="16.5" hidden="false" customHeight="true" outlineLevel="0" collapsed="false">
      <c r="A952" s="151" t="n">
        <v>45812</v>
      </c>
      <c r="B952" s="152"/>
      <c r="C952" s="153" t="n">
        <v>-99.97</v>
      </c>
      <c r="D952" s="154" t="s">
        <v>97</v>
      </c>
      <c r="E952" s="153"/>
      <c r="F952" s="154" t="s">
        <v>1063</v>
      </c>
      <c r="G952" s="152" t="s">
        <v>190</v>
      </c>
      <c r="H952" s="152" t="s">
        <v>133</v>
      </c>
      <c r="I952" s="152"/>
    </row>
    <row r="953" customFormat="false" ht="16.5" hidden="false" customHeight="true" outlineLevel="0" collapsed="false">
      <c r="A953" s="151" t="n">
        <v>45813</v>
      </c>
      <c r="B953" s="152" t="s">
        <v>60</v>
      </c>
      <c r="C953" s="153" t="n">
        <v>21993.18</v>
      </c>
      <c r="D953" s="154" t="s">
        <v>97</v>
      </c>
      <c r="E953" s="153"/>
      <c r="F953" s="154"/>
      <c r="G953" s="152" t="s">
        <v>821</v>
      </c>
      <c r="H953" s="152" t="s">
        <v>132</v>
      </c>
      <c r="I953" s="152"/>
    </row>
    <row r="954" customFormat="false" ht="16.5" hidden="false" customHeight="true" outlineLevel="0" collapsed="false">
      <c r="A954" s="151" t="n">
        <v>45812</v>
      </c>
      <c r="B954" s="152" t="s">
        <v>60</v>
      </c>
      <c r="C954" s="153" t="n">
        <v>8700.18</v>
      </c>
      <c r="D954" s="154" t="s">
        <v>97</v>
      </c>
      <c r="E954" s="153"/>
      <c r="F954" s="154"/>
      <c r="G954" s="152" t="s">
        <v>821</v>
      </c>
      <c r="H954" s="152" t="s">
        <v>133</v>
      </c>
      <c r="I954" s="152"/>
    </row>
    <row r="955" customFormat="false" ht="16.5" hidden="false" customHeight="true" outlineLevel="0" collapsed="false">
      <c r="A955" s="151" t="n">
        <v>45818</v>
      </c>
      <c r="B955" s="152"/>
      <c r="C955" s="153" t="n">
        <v>59.99</v>
      </c>
      <c r="D955" s="154" t="s">
        <v>97</v>
      </c>
      <c r="E955" s="153"/>
      <c r="F955" s="154" t="s">
        <v>1053</v>
      </c>
      <c r="G955" s="152" t="s">
        <v>190</v>
      </c>
      <c r="H955" s="152" t="s">
        <v>108</v>
      </c>
      <c r="I955" s="152"/>
    </row>
    <row r="956" customFormat="false" ht="16.5" hidden="false" customHeight="true" outlineLevel="0" collapsed="false">
      <c r="A956" s="151" t="n">
        <v>45822</v>
      </c>
      <c r="B956" s="152" t="s">
        <v>1064</v>
      </c>
      <c r="C956" s="153" t="n">
        <v>-180.12</v>
      </c>
      <c r="D956" s="154" t="s">
        <v>97</v>
      </c>
      <c r="E956" s="153"/>
      <c r="F956" s="154"/>
      <c r="G956" s="152" t="s">
        <v>42</v>
      </c>
      <c r="H956" s="152" t="s">
        <v>108</v>
      </c>
      <c r="I956" s="152"/>
    </row>
    <row r="957" customFormat="false" ht="16.5" hidden="false" customHeight="true" outlineLevel="0" collapsed="false">
      <c r="A957" s="151" t="n">
        <v>45822</v>
      </c>
      <c r="B957" s="152" t="s">
        <v>60</v>
      </c>
      <c r="C957" s="153" t="n">
        <v>1111.07</v>
      </c>
      <c r="D957" s="154" t="s">
        <v>97</v>
      </c>
      <c r="E957" s="153"/>
      <c r="F957" s="154"/>
      <c r="G957" s="152" t="s">
        <v>821</v>
      </c>
      <c r="H957" s="152" t="s">
        <v>108</v>
      </c>
      <c r="I957" s="152"/>
    </row>
    <row r="958" customFormat="false" ht="16.5" hidden="false" customHeight="true" outlineLevel="0" collapsed="false">
      <c r="A958" s="151" t="n">
        <v>45830</v>
      </c>
      <c r="B958" s="152"/>
      <c r="C958" s="156" t="n">
        <v>-0.03992</v>
      </c>
      <c r="D958" s="154" t="s">
        <v>141</v>
      </c>
      <c r="E958" s="153" t="n">
        <v>-11.18</v>
      </c>
      <c r="F958" s="154" t="s">
        <v>1065</v>
      </c>
      <c r="G958" s="152" t="s">
        <v>190</v>
      </c>
      <c r="H958" s="152" t="s">
        <v>140</v>
      </c>
      <c r="I958" s="152"/>
    </row>
    <row r="959" customFormat="false" ht="16.5" hidden="false" customHeight="true" outlineLevel="0" collapsed="false">
      <c r="A959" s="151" t="n">
        <v>45830</v>
      </c>
      <c r="B959" s="152"/>
      <c r="C959" s="156" t="n">
        <v>-1E-005</v>
      </c>
      <c r="D959" s="154" t="s">
        <v>141</v>
      </c>
      <c r="E959" s="153" t="n">
        <v>-0.0025</v>
      </c>
      <c r="F959" s="154"/>
      <c r="G959" s="152" t="s">
        <v>204</v>
      </c>
      <c r="H959" s="152" t="s">
        <v>140</v>
      </c>
      <c r="I959" s="152"/>
    </row>
    <row r="960" customFormat="false" ht="16.5" hidden="false" customHeight="true" outlineLevel="0" collapsed="false">
      <c r="A960" s="151" t="n">
        <v>45830</v>
      </c>
      <c r="B960" s="152" t="s">
        <v>60</v>
      </c>
      <c r="C960" s="156" t="n">
        <v>16.38747</v>
      </c>
      <c r="D960" s="154" t="s">
        <v>141</v>
      </c>
      <c r="E960" s="153"/>
      <c r="F960" s="154"/>
      <c r="G960" s="152" t="s">
        <v>821</v>
      </c>
      <c r="H960" s="152" t="s">
        <v>140</v>
      </c>
      <c r="I960" s="152"/>
    </row>
    <row r="961" customFormat="false" ht="16.5" hidden="false" customHeight="true" outlineLevel="0" collapsed="false">
      <c r="A961" s="151" t="n">
        <v>45830</v>
      </c>
      <c r="B961" s="152"/>
      <c r="C961" s="156" t="n">
        <v>0.03992</v>
      </c>
      <c r="D961" s="154" t="s">
        <v>141</v>
      </c>
      <c r="E961" s="153" t="n">
        <v>11.18</v>
      </c>
      <c r="F961" s="154" t="s">
        <v>1065</v>
      </c>
      <c r="G961" s="152" t="s">
        <v>190</v>
      </c>
      <c r="H961" s="152" t="s">
        <v>142</v>
      </c>
      <c r="I961" s="152"/>
    </row>
    <row r="962" customFormat="false" ht="16.5" hidden="false" customHeight="true" outlineLevel="0" collapsed="false">
      <c r="A962" s="151" t="n">
        <v>45830</v>
      </c>
      <c r="B962" s="152" t="s">
        <v>60</v>
      </c>
      <c r="C962" s="156" t="n">
        <v>0.73112</v>
      </c>
      <c r="D962" s="154" t="s">
        <v>141</v>
      </c>
      <c r="E962" s="153"/>
      <c r="F962" s="154"/>
      <c r="G962" s="152" t="s">
        <v>821</v>
      </c>
      <c r="H962" s="152" t="s">
        <v>142</v>
      </c>
      <c r="I962" s="152"/>
    </row>
    <row r="963" customFormat="false" ht="16.5" hidden="false" customHeight="true" outlineLevel="0" collapsed="false">
      <c r="A963" s="151" t="n">
        <v>45839</v>
      </c>
      <c r="B963" s="152" t="s">
        <v>1066</v>
      </c>
      <c r="C963" s="153" t="n">
        <v>26.7</v>
      </c>
      <c r="D963" s="154" t="s">
        <v>97</v>
      </c>
      <c r="E963" s="153"/>
      <c r="F963" s="154"/>
      <c r="G963" s="152" t="s">
        <v>224</v>
      </c>
      <c r="H963" s="152" t="s">
        <v>106</v>
      </c>
      <c r="I963" s="152"/>
    </row>
    <row r="964" customFormat="false" ht="16.5" hidden="false" customHeight="true" outlineLevel="0" collapsed="false">
      <c r="A964" s="151" t="n">
        <v>45839</v>
      </c>
      <c r="B964" s="152" t="s">
        <v>606</v>
      </c>
      <c r="C964" s="153" t="n">
        <v>-339.37</v>
      </c>
      <c r="D964" s="154" t="s">
        <v>97</v>
      </c>
      <c r="E964" s="153"/>
      <c r="F964" s="154"/>
      <c r="G964" s="152" t="s">
        <v>162</v>
      </c>
      <c r="H964" s="152" t="s">
        <v>106</v>
      </c>
      <c r="I964" s="152"/>
    </row>
    <row r="965" customFormat="false" ht="16.5" hidden="false" customHeight="true" outlineLevel="0" collapsed="false">
      <c r="A965" s="151" t="n">
        <v>45839</v>
      </c>
      <c r="B965" s="152" t="s">
        <v>1067</v>
      </c>
      <c r="C965" s="153" t="n">
        <v>597.96</v>
      </c>
      <c r="D965" s="154" t="s">
        <v>97</v>
      </c>
      <c r="E965" s="153"/>
      <c r="F965" s="154"/>
      <c r="G965" s="152" t="s">
        <v>194</v>
      </c>
      <c r="H965" s="152" t="s">
        <v>106</v>
      </c>
      <c r="I965" s="152"/>
    </row>
    <row r="966" customFormat="false" ht="16.5" hidden="false" customHeight="true" outlineLevel="0" collapsed="false">
      <c r="A966" s="151" t="n">
        <v>45839</v>
      </c>
      <c r="B966" s="152" t="s">
        <v>1068</v>
      </c>
      <c r="C966" s="153" t="n">
        <v>266.95</v>
      </c>
      <c r="D966" s="154" t="s">
        <v>97</v>
      </c>
      <c r="E966" s="153"/>
      <c r="F966" s="154"/>
      <c r="G966" s="152" t="s">
        <v>206</v>
      </c>
      <c r="H966" s="152" t="s">
        <v>106</v>
      </c>
      <c r="I966" s="152"/>
    </row>
    <row r="967" customFormat="false" ht="16.5" hidden="false" customHeight="true" outlineLevel="0" collapsed="false">
      <c r="A967" s="151" t="n">
        <v>45839</v>
      </c>
      <c r="B967" s="152" t="s">
        <v>1069</v>
      </c>
      <c r="C967" s="153" t="n">
        <v>100.69</v>
      </c>
      <c r="D967" s="154" t="s">
        <v>97</v>
      </c>
      <c r="E967" s="153"/>
      <c r="F967" s="154"/>
      <c r="G967" s="152" t="s">
        <v>206</v>
      </c>
      <c r="H967" s="152" t="s">
        <v>106</v>
      </c>
      <c r="I967" s="152"/>
    </row>
    <row r="968" customFormat="false" ht="16.5" hidden="false" customHeight="true" outlineLevel="0" collapsed="false">
      <c r="A968" s="151" t="n">
        <v>45839</v>
      </c>
      <c r="B968" s="152" t="s">
        <v>1070</v>
      </c>
      <c r="C968" s="153" t="n">
        <v>-169.12</v>
      </c>
      <c r="D968" s="154" t="s">
        <v>97</v>
      </c>
      <c r="E968" s="153" t="n">
        <v>-165.47</v>
      </c>
      <c r="F968" s="154" t="s">
        <v>976</v>
      </c>
      <c r="G968" s="152" t="s">
        <v>189</v>
      </c>
      <c r="H968" s="152" t="s">
        <v>106</v>
      </c>
      <c r="I968" s="152"/>
    </row>
    <row r="969" customFormat="false" ht="16.5" hidden="false" customHeight="true" outlineLevel="0" collapsed="false">
      <c r="A969" s="151" t="n">
        <v>45839</v>
      </c>
      <c r="B969" s="152" t="s">
        <v>1071</v>
      </c>
      <c r="C969" s="153" t="n">
        <v>-51.84</v>
      </c>
      <c r="D969" s="154" t="s">
        <v>97</v>
      </c>
      <c r="E969" s="153"/>
      <c r="F969" s="154"/>
      <c r="G969" s="152" t="s">
        <v>213</v>
      </c>
      <c r="H969" s="152" t="s">
        <v>106</v>
      </c>
      <c r="I969" s="152"/>
    </row>
    <row r="970" customFormat="false" ht="16.5" hidden="false" customHeight="true" outlineLevel="0" collapsed="false">
      <c r="A970" s="151" t="n">
        <v>45839</v>
      </c>
      <c r="B970" s="152" t="s">
        <v>1072</v>
      </c>
      <c r="C970" s="153" t="n">
        <v>-34.05</v>
      </c>
      <c r="D970" s="154" t="s">
        <v>97</v>
      </c>
      <c r="E970" s="153"/>
      <c r="F970" s="154"/>
      <c r="G970" s="152" t="s">
        <v>213</v>
      </c>
      <c r="H970" s="152" t="s">
        <v>106</v>
      </c>
      <c r="I970" s="152"/>
    </row>
    <row r="971" customFormat="false" ht="16.5" hidden="false" customHeight="true" outlineLevel="0" collapsed="false">
      <c r="A971" s="151" t="n">
        <v>45839</v>
      </c>
      <c r="B971" s="152" t="s">
        <v>1073</v>
      </c>
      <c r="C971" s="153" t="n">
        <v>-29.83</v>
      </c>
      <c r="D971" s="154" t="s">
        <v>97</v>
      </c>
      <c r="E971" s="153"/>
      <c r="F971" s="154"/>
      <c r="G971" s="152" t="s">
        <v>41</v>
      </c>
      <c r="H971" s="152" t="s">
        <v>106</v>
      </c>
      <c r="I971" s="152"/>
    </row>
    <row r="972" customFormat="false" ht="16.5" hidden="false" customHeight="true" outlineLevel="0" collapsed="false">
      <c r="A972" s="151" t="n">
        <v>45839</v>
      </c>
      <c r="B972" s="152" t="s">
        <v>1074</v>
      </c>
      <c r="C972" s="153" t="n">
        <v>-28.28</v>
      </c>
      <c r="D972" s="154" t="s">
        <v>97</v>
      </c>
      <c r="E972" s="153"/>
      <c r="F972" s="154"/>
      <c r="G972" s="152" t="s">
        <v>213</v>
      </c>
      <c r="H972" s="152" t="s">
        <v>106</v>
      </c>
      <c r="I972" s="152"/>
    </row>
    <row r="973" customFormat="false" ht="16.5" hidden="false" customHeight="true" outlineLevel="0" collapsed="false">
      <c r="A973" s="151" t="n">
        <v>45839</v>
      </c>
      <c r="B973" s="152" t="s">
        <v>1075</v>
      </c>
      <c r="C973" s="153" t="n">
        <v>-20.75</v>
      </c>
      <c r="D973" s="154" t="s">
        <v>97</v>
      </c>
      <c r="E973" s="153"/>
      <c r="F973" s="154"/>
      <c r="G973" s="152" t="s">
        <v>213</v>
      </c>
      <c r="H973" s="152" t="s">
        <v>106</v>
      </c>
      <c r="I973" s="152"/>
    </row>
    <row r="974" customFormat="false" ht="16.5" hidden="false" customHeight="true" outlineLevel="0" collapsed="false">
      <c r="A974" s="151" t="n">
        <v>45839</v>
      </c>
      <c r="B974" s="152" t="s">
        <v>1076</v>
      </c>
      <c r="C974" s="153" t="n">
        <v>-17.44</v>
      </c>
      <c r="D974" s="154" t="s">
        <v>97</v>
      </c>
      <c r="E974" s="153"/>
      <c r="F974" s="154"/>
      <c r="G974" s="152" t="s">
        <v>213</v>
      </c>
      <c r="H974" s="152" t="s">
        <v>106</v>
      </c>
      <c r="I974" s="152"/>
    </row>
    <row r="975" customFormat="false" ht="16.5" hidden="false" customHeight="true" outlineLevel="0" collapsed="false">
      <c r="A975" s="151" t="n">
        <v>45839</v>
      </c>
      <c r="B975" s="152" t="s">
        <v>1077</v>
      </c>
      <c r="C975" s="153" t="n">
        <v>-16.37</v>
      </c>
      <c r="D975" s="154" t="s">
        <v>97</v>
      </c>
      <c r="E975" s="153"/>
      <c r="F975" s="154"/>
      <c r="G975" s="152" t="s">
        <v>213</v>
      </c>
      <c r="H975" s="152" t="s">
        <v>106</v>
      </c>
      <c r="I975" s="152"/>
    </row>
    <row r="976" customFormat="false" ht="16.5" hidden="false" customHeight="true" outlineLevel="0" collapsed="false">
      <c r="A976" s="151" t="n">
        <v>45839</v>
      </c>
      <c r="B976" s="152" t="s">
        <v>1078</v>
      </c>
      <c r="C976" s="153" t="n">
        <v>-14.06</v>
      </c>
      <c r="D976" s="154" t="s">
        <v>97</v>
      </c>
      <c r="E976" s="153"/>
      <c r="F976" s="154"/>
      <c r="G976" s="152" t="s">
        <v>213</v>
      </c>
      <c r="H976" s="152" t="s">
        <v>106</v>
      </c>
      <c r="I976" s="152"/>
    </row>
    <row r="977" customFormat="false" ht="16.5" hidden="false" customHeight="true" outlineLevel="0" collapsed="false">
      <c r="A977" s="151" t="n">
        <v>45839</v>
      </c>
      <c r="B977" s="152" t="s">
        <v>1079</v>
      </c>
      <c r="C977" s="153" t="n">
        <v>-12.04</v>
      </c>
      <c r="D977" s="154" t="s">
        <v>97</v>
      </c>
      <c r="E977" s="153"/>
      <c r="F977" s="154"/>
      <c r="G977" s="152" t="s">
        <v>168</v>
      </c>
      <c r="H977" s="152" t="s">
        <v>106</v>
      </c>
      <c r="I977" s="152"/>
    </row>
    <row r="978" customFormat="false" ht="16.5" hidden="false" customHeight="true" outlineLevel="0" collapsed="false">
      <c r="A978" s="151" t="n">
        <v>45839</v>
      </c>
      <c r="B978" s="152" t="s">
        <v>1080</v>
      </c>
      <c r="C978" s="153" t="n">
        <v>-8.02</v>
      </c>
      <c r="D978" s="154" t="s">
        <v>97</v>
      </c>
      <c r="E978" s="153"/>
      <c r="F978" s="154"/>
      <c r="G978" s="152" t="s">
        <v>164</v>
      </c>
      <c r="H978" s="152" t="s">
        <v>106</v>
      </c>
      <c r="I978" s="152"/>
    </row>
    <row r="979" customFormat="false" ht="16.5" hidden="false" customHeight="true" outlineLevel="0" collapsed="false">
      <c r="A979" s="151" t="n">
        <v>45839</v>
      </c>
      <c r="B979" s="152" t="s">
        <v>1081</v>
      </c>
      <c r="C979" s="153" t="n">
        <v>-6.81</v>
      </c>
      <c r="D979" s="154" t="s">
        <v>97</v>
      </c>
      <c r="E979" s="153"/>
      <c r="F979" s="154"/>
      <c r="G979" s="152" t="s">
        <v>41</v>
      </c>
      <c r="H979" s="152" t="s">
        <v>106</v>
      </c>
      <c r="I979" s="152"/>
    </row>
    <row r="980" customFormat="false" ht="16.5" hidden="false" customHeight="true" outlineLevel="0" collapsed="false">
      <c r="A980" s="151" t="n">
        <v>45839</v>
      </c>
      <c r="B980" s="152" t="s">
        <v>1082</v>
      </c>
      <c r="C980" s="153" t="n">
        <v>-5.75</v>
      </c>
      <c r="D980" s="154" t="s">
        <v>97</v>
      </c>
      <c r="E980" s="153"/>
      <c r="F980" s="154"/>
      <c r="G980" s="152" t="s">
        <v>168</v>
      </c>
      <c r="H980" s="152" t="s">
        <v>106</v>
      </c>
      <c r="I980" s="152"/>
    </row>
    <row r="981" customFormat="false" ht="16.5" hidden="false" customHeight="true" outlineLevel="0" collapsed="false">
      <c r="A981" s="151" t="n">
        <v>45839</v>
      </c>
      <c r="B981" s="152" t="s">
        <v>1083</v>
      </c>
      <c r="C981" s="153" t="n">
        <v>-5.55</v>
      </c>
      <c r="D981" s="154" t="s">
        <v>97</v>
      </c>
      <c r="E981" s="153"/>
      <c r="F981" s="154"/>
      <c r="G981" s="152" t="s">
        <v>213</v>
      </c>
      <c r="H981" s="152" t="s">
        <v>106</v>
      </c>
      <c r="I981" s="152"/>
    </row>
    <row r="982" customFormat="false" ht="16.5" hidden="false" customHeight="true" outlineLevel="0" collapsed="false">
      <c r="A982" s="151" t="n">
        <v>45839</v>
      </c>
      <c r="B982" s="152" t="s">
        <v>1084</v>
      </c>
      <c r="C982" s="153" t="n">
        <v>-4.77</v>
      </c>
      <c r="D982" s="154" t="s">
        <v>97</v>
      </c>
      <c r="E982" s="153"/>
      <c r="F982" s="154"/>
      <c r="G982" s="152" t="s">
        <v>213</v>
      </c>
      <c r="H982" s="152" t="s">
        <v>106</v>
      </c>
      <c r="I982" s="152"/>
    </row>
    <row r="983" customFormat="false" ht="16.5" hidden="false" customHeight="true" outlineLevel="0" collapsed="false">
      <c r="A983" s="151" t="n">
        <v>45839</v>
      </c>
      <c r="B983" s="152" t="s">
        <v>1085</v>
      </c>
      <c r="C983" s="153" t="n">
        <v>-4.24</v>
      </c>
      <c r="D983" s="154" t="s">
        <v>97</v>
      </c>
      <c r="E983" s="153"/>
      <c r="F983" s="154"/>
      <c r="G983" s="152" t="s">
        <v>231</v>
      </c>
      <c r="H983" s="152" t="s">
        <v>106</v>
      </c>
      <c r="I983" s="152"/>
    </row>
    <row r="984" customFormat="false" ht="16.5" hidden="false" customHeight="true" outlineLevel="0" collapsed="false">
      <c r="A984" s="151" t="n">
        <v>45839</v>
      </c>
      <c r="B984" s="152" t="s">
        <v>1086</v>
      </c>
      <c r="C984" s="153" t="n">
        <v>-3.91</v>
      </c>
      <c r="D984" s="154" t="s">
        <v>97</v>
      </c>
      <c r="E984" s="153"/>
      <c r="F984" s="154"/>
      <c r="G984" s="152" t="s">
        <v>213</v>
      </c>
      <c r="H984" s="152" t="s">
        <v>106</v>
      </c>
      <c r="I984" s="152"/>
    </row>
    <row r="985" customFormat="false" ht="16.5" hidden="false" customHeight="true" outlineLevel="0" collapsed="false">
      <c r="A985" s="151" t="n">
        <v>45839</v>
      </c>
      <c r="B985" s="152" t="s">
        <v>1087</v>
      </c>
      <c r="C985" s="153" t="n">
        <v>-3.57</v>
      </c>
      <c r="D985" s="154" t="s">
        <v>97</v>
      </c>
      <c r="E985" s="153"/>
      <c r="F985" s="154"/>
      <c r="G985" s="152" t="s">
        <v>231</v>
      </c>
      <c r="H985" s="152" t="s">
        <v>106</v>
      </c>
      <c r="I985" s="152"/>
    </row>
    <row r="986" customFormat="false" ht="16.5" hidden="false" customHeight="true" outlineLevel="0" collapsed="false">
      <c r="A986" s="151" t="n">
        <v>45839</v>
      </c>
      <c r="B986" s="152" t="s">
        <v>1088</v>
      </c>
      <c r="C986" s="153" t="n">
        <v>-3.21</v>
      </c>
      <c r="D986" s="154" t="s">
        <v>97</v>
      </c>
      <c r="E986" s="153"/>
      <c r="F986" s="154"/>
      <c r="G986" s="152" t="s">
        <v>213</v>
      </c>
      <c r="H986" s="152" t="s">
        <v>106</v>
      </c>
      <c r="I986" s="152"/>
    </row>
    <row r="987" customFormat="false" ht="16.5" hidden="false" customHeight="true" outlineLevel="0" collapsed="false">
      <c r="A987" s="151" t="n">
        <v>45839</v>
      </c>
      <c r="B987" s="152" t="s">
        <v>1089</v>
      </c>
      <c r="C987" s="153" t="n">
        <v>-2.55</v>
      </c>
      <c r="D987" s="154" t="s">
        <v>97</v>
      </c>
      <c r="E987" s="153"/>
      <c r="F987" s="154"/>
      <c r="G987" s="152" t="s">
        <v>213</v>
      </c>
      <c r="H987" s="152" t="s">
        <v>106</v>
      </c>
      <c r="I987" s="152"/>
    </row>
    <row r="988" customFormat="false" ht="16.5" hidden="false" customHeight="true" outlineLevel="0" collapsed="false">
      <c r="A988" s="151" t="n">
        <v>45839</v>
      </c>
      <c r="B988" s="152" t="s">
        <v>1090</v>
      </c>
      <c r="C988" s="153" t="n">
        <v>-2</v>
      </c>
      <c r="D988" s="154" t="s">
        <v>97</v>
      </c>
      <c r="E988" s="153"/>
      <c r="F988" s="154"/>
      <c r="G988" s="152" t="s">
        <v>167</v>
      </c>
      <c r="H988" s="152" t="s">
        <v>106</v>
      </c>
      <c r="I988" s="152"/>
    </row>
    <row r="989" customFormat="false" ht="16.5" hidden="false" customHeight="true" outlineLevel="0" collapsed="false">
      <c r="A989" s="151" t="n">
        <v>45839</v>
      </c>
      <c r="B989" s="152" t="s">
        <v>1091</v>
      </c>
      <c r="C989" s="153" t="n">
        <v>-1.64</v>
      </c>
      <c r="D989" s="154" t="s">
        <v>97</v>
      </c>
      <c r="E989" s="153"/>
      <c r="F989" s="154"/>
      <c r="G989" s="152" t="s">
        <v>213</v>
      </c>
      <c r="H989" s="152" t="s">
        <v>106</v>
      </c>
      <c r="I989" s="152"/>
    </row>
    <row r="990" customFormat="false" ht="16.5" hidden="false" customHeight="true" outlineLevel="0" collapsed="false">
      <c r="A990" s="151" t="n">
        <v>45839</v>
      </c>
      <c r="B990" s="152" t="s">
        <v>1092</v>
      </c>
      <c r="C990" s="153" t="n">
        <v>-1.39</v>
      </c>
      <c r="D990" s="154" t="s">
        <v>97</v>
      </c>
      <c r="E990" s="153"/>
      <c r="F990" s="154"/>
      <c r="G990" s="152" t="s">
        <v>160</v>
      </c>
      <c r="H990" s="152" t="s">
        <v>106</v>
      </c>
      <c r="I990" s="152"/>
    </row>
    <row r="991" customFormat="false" ht="16.5" hidden="false" customHeight="true" outlineLevel="0" collapsed="false">
      <c r="A991" s="151" t="n">
        <v>45839</v>
      </c>
      <c r="B991" s="152" t="s">
        <v>1093</v>
      </c>
      <c r="C991" s="153" t="n">
        <v>-1.24</v>
      </c>
      <c r="D991" s="154" t="s">
        <v>97</v>
      </c>
      <c r="E991" s="153"/>
      <c r="F991" s="154"/>
      <c r="G991" s="152" t="s">
        <v>213</v>
      </c>
      <c r="H991" s="152" t="s">
        <v>106</v>
      </c>
      <c r="I991" s="152"/>
    </row>
    <row r="992" customFormat="false" ht="16.5" hidden="false" customHeight="true" outlineLevel="0" collapsed="false">
      <c r="A992" s="151" t="n">
        <v>45839</v>
      </c>
      <c r="B992" s="152" t="s">
        <v>1094</v>
      </c>
      <c r="C992" s="153" t="n">
        <v>-1.22</v>
      </c>
      <c r="D992" s="154" t="s">
        <v>97</v>
      </c>
      <c r="E992" s="153"/>
      <c r="F992" s="154"/>
      <c r="G992" s="152" t="s">
        <v>213</v>
      </c>
      <c r="H992" s="152" t="s">
        <v>106</v>
      </c>
      <c r="I992" s="152"/>
    </row>
    <row r="993" customFormat="false" ht="16.5" hidden="false" customHeight="true" outlineLevel="0" collapsed="false">
      <c r="A993" s="151" t="n">
        <v>45839</v>
      </c>
      <c r="B993" s="152" t="s">
        <v>1095</v>
      </c>
      <c r="C993" s="153" t="n">
        <v>-0.99</v>
      </c>
      <c r="D993" s="154" t="s">
        <v>97</v>
      </c>
      <c r="E993" s="153"/>
      <c r="F993" s="154"/>
      <c r="G993" s="152" t="s">
        <v>213</v>
      </c>
      <c r="H993" s="152" t="s">
        <v>106</v>
      </c>
      <c r="I993" s="152"/>
    </row>
    <row r="994" customFormat="false" ht="16.5" hidden="false" customHeight="true" outlineLevel="0" collapsed="false">
      <c r="A994" s="151" t="n">
        <v>45839</v>
      </c>
      <c r="B994" s="152" t="s">
        <v>1096</v>
      </c>
      <c r="C994" s="153" t="n">
        <v>-0.98</v>
      </c>
      <c r="D994" s="154" t="s">
        <v>97</v>
      </c>
      <c r="E994" s="153"/>
      <c r="F994" s="154"/>
      <c r="G994" s="152" t="s">
        <v>213</v>
      </c>
      <c r="H994" s="152" t="s">
        <v>106</v>
      </c>
      <c r="I994" s="152"/>
    </row>
    <row r="995" customFormat="false" ht="16.5" hidden="false" customHeight="true" outlineLevel="0" collapsed="false">
      <c r="A995" s="151" t="n">
        <v>45839</v>
      </c>
      <c r="B995" s="152" t="s">
        <v>1097</v>
      </c>
      <c r="C995" s="153" t="n">
        <v>-0.8</v>
      </c>
      <c r="D995" s="154" t="s">
        <v>97</v>
      </c>
      <c r="E995" s="153"/>
      <c r="F995" s="154"/>
      <c r="G995" s="152" t="s">
        <v>213</v>
      </c>
      <c r="H995" s="152" t="s">
        <v>106</v>
      </c>
      <c r="I995" s="152"/>
    </row>
    <row r="996" customFormat="false" ht="16.5" hidden="false" customHeight="true" outlineLevel="0" collapsed="false">
      <c r="A996" s="151" t="n">
        <v>45839</v>
      </c>
      <c r="B996" s="152" t="s">
        <v>1098</v>
      </c>
      <c r="C996" s="153" t="n">
        <v>-0.69</v>
      </c>
      <c r="D996" s="154" t="s">
        <v>97</v>
      </c>
      <c r="E996" s="153"/>
      <c r="F996" s="154"/>
      <c r="G996" s="152" t="s">
        <v>213</v>
      </c>
      <c r="H996" s="152" t="s">
        <v>106</v>
      </c>
      <c r="I996" s="152"/>
    </row>
    <row r="997" customFormat="false" ht="16.5" hidden="false" customHeight="true" outlineLevel="0" collapsed="false">
      <c r="A997" s="151" t="n">
        <v>45839</v>
      </c>
      <c r="B997" s="152" t="s">
        <v>1099</v>
      </c>
      <c r="C997" s="153" t="n">
        <v>-0.54</v>
      </c>
      <c r="D997" s="154" t="s">
        <v>97</v>
      </c>
      <c r="E997" s="153"/>
      <c r="F997" s="154"/>
      <c r="G997" s="152" t="s">
        <v>213</v>
      </c>
      <c r="H997" s="152" t="s">
        <v>106</v>
      </c>
      <c r="I997" s="152"/>
    </row>
    <row r="998" customFormat="false" ht="16.5" hidden="false" customHeight="true" outlineLevel="0" collapsed="false">
      <c r="A998" s="151" t="n">
        <v>45839</v>
      </c>
      <c r="B998" s="152" t="s">
        <v>1100</v>
      </c>
      <c r="C998" s="153" t="n">
        <v>-0.41</v>
      </c>
      <c r="D998" s="154" t="s">
        <v>97</v>
      </c>
      <c r="E998" s="153"/>
      <c r="F998" s="154"/>
      <c r="G998" s="152" t="s">
        <v>231</v>
      </c>
      <c r="H998" s="152" t="s">
        <v>106</v>
      </c>
      <c r="I998" s="152"/>
    </row>
    <row r="999" customFormat="false" ht="16.5" hidden="false" customHeight="true" outlineLevel="0" collapsed="false">
      <c r="A999" s="151" t="n">
        <v>45839</v>
      </c>
      <c r="B999" s="152" t="s">
        <v>1101</v>
      </c>
      <c r="C999" s="153" t="n">
        <v>-0.41</v>
      </c>
      <c r="D999" s="154" t="s">
        <v>97</v>
      </c>
      <c r="E999" s="153"/>
      <c r="F999" s="154"/>
      <c r="G999" s="152" t="s">
        <v>231</v>
      </c>
      <c r="H999" s="152" t="s">
        <v>106</v>
      </c>
      <c r="I999" s="152"/>
    </row>
    <row r="1000" customFormat="false" ht="16.5" hidden="false" customHeight="true" outlineLevel="0" collapsed="false">
      <c r="A1000" s="151" t="n">
        <v>45839</v>
      </c>
      <c r="B1000" s="152" t="s">
        <v>1102</v>
      </c>
      <c r="C1000" s="153" t="n">
        <v>-0.41</v>
      </c>
      <c r="D1000" s="154" t="s">
        <v>97</v>
      </c>
      <c r="E1000" s="153"/>
      <c r="F1000" s="154"/>
      <c r="G1000" s="152" t="s">
        <v>231</v>
      </c>
      <c r="H1000" s="152" t="s">
        <v>106</v>
      </c>
      <c r="I1000" s="152"/>
    </row>
    <row r="1001" customFormat="false" ht="16.5" hidden="false" customHeight="true" outlineLevel="0" collapsed="false">
      <c r="A1001" s="151" t="n">
        <v>45839</v>
      </c>
      <c r="B1001" s="152" t="s">
        <v>1103</v>
      </c>
      <c r="C1001" s="153" t="n">
        <v>-0.25</v>
      </c>
      <c r="D1001" s="154" t="s">
        <v>97</v>
      </c>
      <c r="E1001" s="153"/>
      <c r="F1001" s="154"/>
      <c r="G1001" s="152" t="s">
        <v>213</v>
      </c>
      <c r="H1001" s="152" t="s">
        <v>106</v>
      </c>
      <c r="I1001" s="152"/>
    </row>
    <row r="1002" customFormat="false" ht="16.5" hidden="false" customHeight="true" outlineLevel="0" collapsed="false">
      <c r="A1002" s="151" t="n">
        <v>45839</v>
      </c>
      <c r="B1002" s="152" t="s">
        <v>1104</v>
      </c>
      <c r="C1002" s="153" t="n">
        <v>-0.22</v>
      </c>
      <c r="D1002" s="154" t="s">
        <v>97</v>
      </c>
      <c r="E1002" s="153"/>
      <c r="F1002" s="154"/>
      <c r="G1002" s="152" t="s">
        <v>231</v>
      </c>
      <c r="H1002" s="152" t="s">
        <v>106</v>
      </c>
      <c r="I1002" s="152"/>
    </row>
    <row r="1003" customFormat="false" ht="16.5" hidden="false" customHeight="true" outlineLevel="0" collapsed="false">
      <c r="A1003" s="151" t="n">
        <v>45839</v>
      </c>
      <c r="B1003" s="152" t="s">
        <v>1105</v>
      </c>
      <c r="C1003" s="153" t="n">
        <v>-0.2</v>
      </c>
      <c r="D1003" s="154" t="s">
        <v>97</v>
      </c>
      <c r="E1003" s="153"/>
      <c r="F1003" s="154"/>
      <c r="G1003" s="152" t="s">
        <v>213</v>
      </c>
      <c r="H1003" s="152" t="s">
        <v>106</v>
      </c>
      <c r="I1003" s="152"/>
    </row>
    <row r="1004" customFormat="false" ht="16.5" hidden="false" customHeight="true" outlineLevel="0" collapsed="false">
      <c r="A1004" s="151" t="n">
        <v>45839</v>
      </c>
      <c r="B1004" s="152" t="s">
        <v>1106</v>
      </c>
      <c r="C1004" s="153" t="n">
        <v>-10.03</v>
      </c>
      <c r="D1004" s="154" t="s">
        <v>97</v>
      </c>
      <c r="E1004" s="153"/>
      <c r="F1004" s="154"/>
      <c r="G1004" s="152" t="s">
        <v>204</v>
      </c>
      <c r="H1004" s="152" t="s">
        <v>106</v>
      </c>
      <c r="I1004" s="152"/>
    </row>
    <row r="1005" customFormat="false" ht="16.5" hidden="false" customHeight="true" outlineLevel="0" collapsed="false">
      <c r="A1005" s="151" t="n">
        <v>45838</v>
      </c>
      <c r="B1005" s="152" t="s">
        <v>1107</v>
      </c>
      <c r="C1005" s="153" t="n">
        <v>-23.16</v>
      </c>
      <c r="D1005" s="154" t="s">
        <v>97</v>
      </c>
      <c r="E1005" s="153"/>
      <c r="F1005" s="154"/>
      <c r="G1005" s="152" t="s">
        <v>202</v>
      </c>
      <c r="H1005" s="152" t="s">
        <v>106</v>
      </c>
      <c r="I1005" s="152"/>
    </row>
    <row r="1006" customFormat="false" ht="16.5" hidden="false" customHeight="true" outlineLevel="0" collapsed="false">
      <c r="A1006" s="151" t="n">
        <v>45835</v>
      </c>
      <c r="B1006" s="152" t="s">
        <v>1108</v>
      </c>
      <c r="C1006" s="153" t="n">
        <v>-1.6</v>
      </c>
      <c r="D1006" s="154" t="s">
        <v>97</v>
      </c>
      <c r="E1006" s="153"/>
      <c r="F1006" s="154"/>
      <c r="G1006" s="152" t="s">
        <v>219</v>
      </c>
      <c r="H1006" s="152" t="s">
        <v>106</v>
      </c>
      <c r="I1006" s="152"/>
    </row>
    <row r="1007" customFormat="false" ht="16.5" hidden="false" customHeight="true" outlineLevel="0" collapsed="false">
      <c r="A1007" s="151" t="n">
        <v>45834</v>
      </c>
      <c r="B1007" s="152" t="s">
        <v>1109</v>
      </c>
      <c r="C1007" s="153" t="n">
        <v>-1.4</v>
      </c>
      <c r="D1007" s="154" t="s">
        <v>97</v>
      </c>
      <c r="E1007" s="153"/>
      <c r="F1007" s="154"/>
      <c r="G1007" s="152" t="s">
        <v>226</v>
      </c>
      <c r="H1007" s="152" t="s">
        <v>106</v>
      </c>
      <c r="I1007" s="152"/>
    </row>
    <row r="1008" customFormat="false" ht="16.5" hidden="false" customHeight="true" outlineLevel="0" collapsed="false">
      <c r="A1008" s="151" t="n">
        <v>45831</v>
      </c>
      <c r="B1008" s="152" t="s">
        <v>1110</v>
      </c>
      <c r="C1008" s="153" t="n">
        <v>-9.45</v>
      </c>
      <c r="D1008" s="154" t="s">
        <v>97</v>
      </c>
      <c r="E1008" s="153"/>
      <c r="F1008" s="154"/>
      <c r="G1008" s="152" t="s">
        <v>167</v>
      </c>
      <c r="H1008" s="152" t="s">
        <v>106</v>
      </c>
      <c r="I1008" s="152"/>
    </row>
    <row r="1009" customFormat="false" ht="16.5" hidden="false" customHeight="true" outlineLevel="0" collapsed="false">
      <c r="A1009" s="151" t="n">
        <v>45828</v>
      </c>
      <c r="B1009" s="152" t="s">
        <v>1111</v>
      </c>
      <c r="C1009" s="153" t="n">
        <v>-4.21</v>
      </c>
      <c r="D1009" s="154" t="s">
        <v>97</v>
      </c>
      <c r="E1009" s="153"/>
      <c r="F1009" s="154"/>
      <c r="G1009" s="152" t="s">
        <v>221</v>
      </c>
      <c r="H1009" s="152" t="s">
        <v>106</v>
      </c>
      <c r="I1009" s="152"/>
    </row>
    <row r="1010" customFormat="false" ht="16.5" hidden="false" customHeight="true" outlineLevel="0" collapsed="false">
      <c r="A1010" s="151" t="n">
        <v>45839</v>
      </c>
      <c r="B1010" s="152" t="s">
        <v>60</v>
      </c>
      <c r="C1010" s="153" t="n">
        <v>1023.16</v>
      </c>
      <c r="D1010" s="154" t="s">
        <v>97</v>
      </c>
      <c r="E1010" s="153"/>
      <c r="F1010" s="154"/>
      <c r="G1010" s="152" t="s">
        <v>821</v>
      </c>
      <c r="H1010" s="152" t="s">
        <v>106</v>
      </c>
      <c r="I1010" s="152"/>
    </row>
    <row r="1011" customFormat="false" ht="16.5" hidden="false" customHeight="true" outlineLevel="0" collapsed="false">
      <c r="A1011" s="151" t="n">
        <v>45818</v>
      </c>
      <c r="B1011" s="152" t="s">
        <v>1112</v>
      </c>
      <c r="C1011" s="153" t="n">
        <v>2.02</v>
      </c>
      <c r="D1011" s="154" t="s">
        <v>97</v>
      </c>
      <c r="E1011" s="153"/>
      <c r="F1011" s="154"/>
      <c r="G1011" s="152" t="s">
        <v>199</v>
      </c>
      <c r="H1011" s="152" t="s">
        <v>122</v>
      </c>
      <c r="I1011" s="152"/>
    </row>
    <row r="1012" customFormat="false" ht="16.5" hidden="false" customHeight="true" outlineLevel="0" collapsed="false">
      <c r="A1012" s="151" t="n">
        <v>45812</v>
      </c>
      <c r="B1012" s="152" t="s">
        <v>1113</v>
      </c>
      <c r="C1012" s="153" t="n">
        <v>6.2</v>
      </c>
      <c r="D1012" s="154" t="s">
        <v>97</v>
      </c>
      <c r="E1012" s="153"/>
      <c r="F1012" s="154"/>
      <c r="G1012" s="152" t="s">
        <v>199</v>
      </c>
      <c r="H1012" s="152" t="s">
        <v>122</v>
      </c>
      <c r="I1012" s="152"/>
    </row>
    <row r="1013" customFormat="false" ht="16.5" hidden="false" customHeight="true" outlineLevel="0" collapsed="false">
      <c r="A1013" s="151" t="n">
        <v>45838</v>
      </c>
      <c r="B1013" s="152" t="s">
        <v>1114</v>
      </c>
      <c r="C1013" s="153" t="n">
        <v>1.01</v>
      </c>
      <c r="D1013" s="154" t="s">
        <v>97</v>
      </c>
      <c r="E1013" s="153"/>
      <c r="F1013" s="154"/>
      <c r="G1013" s="152" t="s">
        <v>199</v>
      </c>
      <c r="H1013" s="152" t="s">
        <v>122</v>
      </c>
      <c r="I1013" s="152"/>
    </row>
    <row r="1014" customFormat="false" ht="16.5" hidden="false" customHeight="true" outlineLevel="0" collapsed="false">
      <c r="A1014" s="151" t="n">
        <v>45838</v>
      </c>
      <c r="B1014" s="152" t="s">
        <v>60</v>
      </c>
      <c r="C1014" s="153" t="n">
        <v>170.86</v>
      </c>
      <c r="D1014" s="154" t="s">
        <v>97</v>
      </c>
      <c r="E1014" s="153"/>
      <c r="F1014" s="154"/>
      <c r="G1014" s="152" t="s">
        <v>821</v>
      </c>
      <c r="H1014" s="152" t="s">
        <v>122</v>
      </c>
      <c r="I1014" s="152"/>
    </row>
    <row r="1015" customFormat="false" ht="16.5" hidden="false" customHeight="true" outlineLevel="0" collapsed="false">
      <c r="A1015" s="151" t="n">
        <v>45838</v>
      </c>
      <c r="B1015" s="152" t="s">
        <v>60</v>
      </c>
      <c r="C1015" s="153" t="n">
        <v>9494.31</v>
      </c>
      <c r="D1015" s="154" t="s">
        <v>97</v>
      </c>
      <c r="E1015" s="153"/>
      <c r="F1015" s="154"/>
      <c r="G1015" s="152" t="s">
        <v>821</v>
      </c>
      <c r="H1015" s="152" t="s">
        <v>100</v>
      </c>
      <c r="I1015" s="152"/>
    </row>
    <row r="1016" customFormat="false" ht="16.5" hidden="false" customHeight="true" outlineLevel="0" collapsed="false">
      <c r="A1016" s="151" t="n">
        <v>45838</v>
      </c>
      <c r="B1016" s="152" t="s">
        <v>1115</v>
      </c>
      <c r="C1016" s="160" t="n">
        <v>0</v>
      </c>
      <c r="D1016" s="154"/>
      <c r="E1016" s="160"/>
      <c r="F1016" s="154"/>
      <c r="G1016" s="152" t="s">
        <v>1116</v>
      </c>
      <c r="H1016" s="152"/>
      <c r="I1016" s="152"/>
    </row>
    <row r="1017" customFormat="false" ht="16.5" hidden="false" customHeight="true" outlineLevel="0" collapsed="false">
      <c r="A1017" s="151" t="n">
        <v>45838</v>
      </c>
      <c r="B1017" s="152" t="s">
        <v>692</v>
      </c>
      <c r="C1017" s="153" t="n">
        <v>-0.15</v>
      </c>
      <c r="D1017" s="154" t="s">
        <v>97</v>
      </c>
      <c r="E1017" s="153"/>
      <c r="F1017" s="154"/>
      <c r="G1017" s="152" t="s">
        <v>204</v>
      </c>
      <c r="H1017" s="152" t="s">
        <v>117</v>
      </c>
      <c r="I1017" s="152"/>
    </row>
    <row r="1018" customFormat="false" ht="16.5" hidden="false" customHeight="true" outlineLevel="0" collapsed="false">
      <c r="A1018" s="151" t="n">
        <v>45839</v>
      </c>
      <c r="B1018" s="152" t="s">
        <v>692</v>
      </c>
      <c r="C1018" s="153" t="n">
        <v>-0.14</v>
      </c>
      <c r="D1018" s="154" t="s">
        <v>97</v>
      </c>
      <c r="E1018" s="153"/>
      <c r="F1018" s="154"/>
      <c r="G1018" s="152" t="s">
        <v>204</v>
      </c>
      <c r="H1018" s="152" t="s">
        <v>117</v>
      </c>
      <c r="I1018" s="152"/>
    </row>
    <row r="1019" customFormat="false" ht="16.5" hidden="false" customHeight="true" outlineLevel="0" collapsed="false">
      <c r="A1019" s="151" t="n">
        <v>45839</v>
      </c>
      <c r="B1019" s="152" t="s">
        <v>692</v>
      </c>
      <c r="C1019" s="159" t="n">
        <v>-1.1</v>
      </c>
      <c r="D1019" s="154" t="s">
        <v>103</v>
      </c>
      <c r="E1019" s="153"/>
      <c r="F1019" s="154"/>
      <c r="G1019" s="152" t="s">
        <v>204</v>
      </c>
      <c r="H1019" s="152" t="s">
        <v>125</v>
      </c>
      <c r="I1019" s="152"/>
    </row>
    <row r="1020" customFormat="false" ht="16.5" hidden="false" customHeight="true" outlineLevel="0" collapsed="false">
      <c r="A1020" s="151" t="n">
        <v>45839</v>
      </c>
      <c r="B1020" s="152" t="s">
        <v>60</v>
      </c>
      <c r="C1020" s="153" t="n">
        <v>997.64</v>
      </c>
      <c r="D1020" s="154" t="s">
        <v>97</v>
      </c>
      <c r="E1020" s="153"/>
      <c r="F1020" s="154"/>
      <c r="G1020" s="152" t="s">
        <v>315</v>
      </c>
      <c r="H1020" s="152" t="s">
        <v>117</v>
      </c>
      <c r="I1020" s="152"/>
    </row>
    <row r="1021" customFormat="false" ht="16.5" hidden="false" customHeight="true" outlineLevel="0" collapsed="false">
      <c r="A1021" s="151" t="n">
        <v>45839</v>
      </c>
      <c r="B1021" s="152" t="s">
        <v>60</v>
      </c>
      <c r="C1021" s="159" t="n">
        <v>6901.74</v>
      </c>
      <c r="D1021" s="154" t="s">
        <v>103</v>
      </c>
      <c r="E1021" s="153"/>
      <c r="F1021" s="154"/>
      <c r="G1021" s="152" t="s">
        <v>315</v>
      </c>
      <c r="H1021" s="152" t="s">
        <v>125</v>
      </c>
      <c r="I1021" s="152"/>
    </row>
    <row r="1022" customFormat="false" ht="16.5" hidden="false" customHeight="true" outlineLevel="0" collapsed="false">
      <c r="A1022" s="151" t="n">
        <v>45839</v>
      </c>
      <c r="B1022" s="152" t="s">
        <v>1115</v>
      </c>
      <c r="C1022" s="160" t="n">
        <v>0</v>
      </c>
      <c r="D1022" s="154"/>
      <c r="E1022" s="160"/>
      <c r="F1022" s="154"/>
      <c r="G1022" s="152" t="s">
        <v>1116</v>
      </c>
      <c r="H1022" s="152"/>
      <c r="I1022" s="152"/>
    </row>
    <row r="1023" customFormat="false" ht="16.5" hidden="false" customHeight="true" outlineLevel="0" collapsed="false">
      <c r="A1023" s="151" t="n">
        <v>45869</v>
      </c>
      <c r="B1023" s="152" t="s">
        <v>1117</v>
      </c>
      <c r="C1023" s="153" t="n">
        <v>-25.42</v>
      </c>
      <c r="D1023" s="154" t="s">
        <v>97</v>
      </c>
      <c r="E1023" s="153"/>
      <c r="F1023" s="154"/>
      <c r="G1023" s="152" t="s">
        <v>164</v>
      </c>
      <c r="H1023" s="152" t="s">
        <v>106</v>
      </c>
      <c r="I1023" s="152"/>
    </row>
    <row r="1024" customFormat="false" ht="16.5" hidden="false" customHeight="true" outlineLevel="0" collapsed="false">
      <c r="A1024" s="151" t="n">
        <v>45869</v>
      </c>
      <c r="B1024" s="152" t="s">
        <v>1118</v>
      </c>
      <c r="C1024" s="153" t="n">
        <v>-91.39</v>
      </c>
      <c r="D1024" s="154" t="s">
        <v>97</v>
      </c>
      <c r="E1024" s="153"/>
      <c r="F1024" s="154"/>
      <c r="G1024" s="152" t="s">
        <v>168</v>
      </c>
      <c r="H1024" s="152" t="s">
        <v>106</v>
      </c>
      <c r="I1024" s="152"/>
    </row>
    <row r="1025" customFormat="false" ht="16.5" hidden="false" customHeight="true" outlineLevel="0" collapsed="false">
      <c r="A1025" s="151" t="n">
        <v>45869</v>
      </c>
      <c r="B1025" s="152" t="s">
        <v>1119</v>
      </c>
      <c r="C1025" s="153" t="n">
        <v>-79.97</v>
      </c>
      <c r="D1025" s="154" t="s">
        <v>97</v>
      </c>
      <c r="E1025" s="153"/>
      <c r="F1025" s="154"/>
      <c r="G1025" s="152" t="s">
        <v>168</v>
      </c>
      <c r="H1025" s="152" t="s">
        <v>106</v>
      </c>
      <c r="I1025" s="152"/>
    </row>
    <row r="1026" customFormat="false" ht="16.5" hidden="false" customHeight="true" outlineLevel="0" collapsed="false">
      <c r="A1026" s="151" t="n">
        <v>45869</v>
      </c>
      <c r="B1026" s="152" t="s">
        <v>1120</v>
      </c>
      <c r="C1026" s="153" t="n">
        <v>-59.82</v>
      </c>
      <c r="D1026" s="154" t="s">
        <v>97</v>
      </c>
      <c r="E1026" s="153"/>
      <c r="F1026" s="154"/>
      <c r="G1026" s="152" t="s">
        <v>168</v>
      </c>
      <c r="H1026" s="152" t="s">
        <v>106</v>
      </c>
      <c r="I1026" s="152"/>
    </row>
    <row r="1027" customFormat="false" ht="16.5" hidden="false" customHeight="true" outlineLevel="0" collapsed="false">
      <c r="A1027" s="151" t="n">
        <v>45869</v>
      </c>
      <c r="B1027" s="152" t="s">
        <v>1121</v>
      </c>
      <c r="C1027" s="153" t="n">
        <v>-45.99</v>
      </c>
      <c r="D1027" s="154" t="s">
        <v>97</v>
      </c>
      <c r="E1027" s="153"/>
      <c r="F1027" s="154"/>
      <c r="G1027" s="152" t="s">
        <v>213</v>
      </c>
      <c r="H1027" s="152" t="s">
        <v>106</v>
      </c>
      <c r="I1027" s="152"/>
    </row>
    <row r="1028" customFormat="false" ht="16.5" hidden="false" customHeight="true" outlineLevel="0" collapsed="false">
      <c r="A1028" s="151" t="n">
        <v>45869</v>
      </c>
      <c r="B1028" s="152" t="s">
        <v>1122</v>
      </c>
      <c r="C1028" s="153" t="n">
        <v>-36.71</v>
      </c>
      <c r="D1028" s="154" t="s">
        <v>97</v>
      </c>
      <c r="E1028" s="153"/>
      <c r="F1028" s="154"/>
      <c r="G1028" s="152" t="s">
        <v>213</v>
      </c>
      <c r="H1028" s="152" t="s">
        <v>106</v>
      </c>
      <c r="I1028" s="152"/>
    </row>
    <row r="1029" customFormat="false" ht="16.5" hidden="false" customHeight="true" outlineLevel="0" collapsed="false">
      <c r="A1029" s="151" t="n">
        <v>45869</v>
      </c>
      <c r="B1029" s="152" t="s">
        <v>1123</v>
      </c>
      <c r="C1029" s="153" t="n">
        <v>-27.63</v>
      </c>
      <c r="D1029" s="154" t="s">
        <v>97</v>
      </c>
      <c r="E1029" s="153"/>
      <c r="F1029" s="154"/>
      <c r="G1029" s="152" t="s">
        <v>213</v>
      </c>
      <c r="H1029" s="152" t="s">
        <v>106</v>
      </c>
      <c r="I1029" s="152"/>
    </row>
    <row r="1030" customFormat="false" ht="16.5" hidden="false" customHeight="true" outlineLevel="0" collapsed="false">
      <c r="A1030" s="151" t="n">
        <v>45869</v>
      </c>
      <c r="B1030" s="152" t="s">
        <v>1124</v>
      </c>
      <c r="C1030" s="153" t="n">
        <v>-26.3</v>
      </c>
      <c r="D1030" s="154" t="s">
        <v>97</v>
      </c>
      <c r="E1030" s="153"/>
      <c r="F1030" s="154"/>
      <c r="G1030" s="152" t="s">
        <v>168</v>
      </c>
      <c r="H1030" s="152" t="s">
        <v>106</v>
      </c>
      <c r="I1030" s="152"/>
    </row>
    <row r="1031" customFormat="false" ht="16.5" hidden="false" customHeight="true" outlineLevel="0" collapsed="false">
      <c r="A1031" s="151" t="n">
        <v>45869</v>
      </c>
      <c r="B1031" s="152" t="s">
        <v>1125</v>
      </c>
      <c r="C1031" s="153" t="n">
        <v>-26.28</v>
      </c>
      <c r="D1031" s="154" t="s">
        <v>97</v>
      </c>
      <c r="E1031" s="153"/>
      <c r="F1031" s="154"/>
      <c r="G1031" s="152" t="s">
        <v>213</v>
      </c>
      <c r="H1031" s="152" t="s">
        <v>106</v>
      </c>
      <c r="I1031" s="152"/>
    </row>
    <row r="1032" customFormat="false" ht="16.5" hidden="false" customHeight="true" outlineLevel="0" collapsed="false">
      <c r="A1032" s="151" t="n">
        <v>45869</v>
      </c>
      <c r="B1032" s="152" t="s">
        <v>1126</v>
      </c>
      <c r="C1032" s="153" t="n">
        <v>-24.48</v>
      </c>
      <c r="D1032" s="154" t="s">
        <v>97</v>
      </c>
      <c r="E1032" s="153"/>
      <c r="F1032" s="154"/>
      <c r="G1032" s="152" t="s">
        <v>213</v>
      </c>
      <c r="H1032" s="152" t="s">
        <v>106</v>
      </c>
      <c r="I1032" s="152"/>
    </row>
    <row r="1033" customFormat="false" ht="16.5" hidden="false" customHeight="true" outlineLevel="0" collapsed="false">
      <c r="A1033" s="151" t="n">
        <v>45869</v>
      </c>
      <c r="B1033" s="152" t="s">
        <v>1127</v>
      </c>
      <c r="C1033" s="153" t="n">
        <v>-20.71</v>
      </c>
      <c r="D1033" s="154" t="s">
        <v>97</v>
      </c>
      <c r="E1033" s="153"/>
      <c r="F1033" s="154"/>
      <c r="G1033" s="152" t="s">
        <v>213</v>
      </c>
      <c r="H1033" s="152" t="s">
        <v>106</v>
      </c>
      <c r="I1033" s="152"/>
    </row>
    <row r="1034" customFormat="false" ht="16.5" hidden="false" customHeight="true" outlineLevel="0" collapsed="false">
      <c r="A1034" s="151" t="n">
        <v>45869</v>
      </c>
      <c r="B1034" s="152" t="s">
        <v>1128</v>
      </c>
      <c r="C1034" s="153" t="n">
        <v>-14.44</v>
      </c>
      <c r="D1034" s="154" t="s">
        <v>97</v>
      </c>
      <c r="E1034" s="153"/>
      <c r="F1034" s="154"/>
      <c r="G1034" s="152" t="s">
        <v>164</v>
      </c>
      <c r="H1034" s="152" t="s">
        <v>106</v>
      </c>
      <c r="I1034" s="152"/>
    </row>
    <row r="1035" customFormat="false" ht="16.5" hidden="false" customHeight="true" outlineLevel="0" collapsed="false">
      <c r="A1035" s="151" t="n">
        <v>45869</v>
      </c>
      <c r="B1035" s="152" t="s">
        <v>1129</v>
      </c>
      <c r="C1035" s="153" t="n">
        <v>-12.62</v>
      </c>
      <c r="D1035" s="154" t="s">
        <v>97</v>
      </c>
      <c r="E1035" s="153"/>
      <c r="F1035" s="154"/>
      <c r="G1035" s="152" t="s">
        <v>213</v>
      </c>
      <c r="H1035" s="152" t="s">
        <v>106</v>
      </c>
      <c r="I1035" s="152"/>
    </row>
    <row r="1036" customFormat="false" ht="16.5" hidden="false" customHeight="true" outlineLevel="0" collapsed="false">
      <c r="A1036" s="151" t="n">
        <v>45869</v>
      </c>
      <c r="B1036" s="152" t="s">
        <v>1130</v>
      </c>
      <c r="C1036" s="153" t="n">
        <v>-11</v>
      </c>
      <c r="D1036" s="154" t="s">
        <v>97</v>
      </c>
      <c r="E1036" s="153"/>
      <c r="F1036" s="154"/>
      <c r="G1036" s="152" t="s">
        <v>213</v>
      </c>
      <c r="H1036" s="152" t="s">
        <v>106</v>
      </c>
      <c r="I1036" s="152"/>
    </row>
    <row r="1037" customFormat="false" ht="16.5" hidden="false" customHeight="true" outlineLevel="0" collapsed="false">
      <c r="A1037" s="151" t="n">
        <v>45869</v>
      </c>
      <c r="B1037" s="152" t="s">
        <v>1131</v>
      </c>
      <c r="C1037" s="153" t="n">
        <v>-10.03</v>
      </c>
      <c r="D1037" s="154" t="s">
        <v>97</v>
      </c>
      <c r="E1037" s="153"/>
      <c r="F1037" s="154"/>
      <c r="G1037" s="152" t="s">
        <v>160</v>
      </c>
      <c r="H1037" s="152" t="s">
        <v>106</v>
      </c>
      <c r="I1037" s="152"/>
    </row>
    <row r="1038" customFormat="false" ht="16.5" hidden="false" customHeight="true" outlineLevel="0" collapsed="false">
      <c r="A1038" s="151" t="n">
        <v>45869</v>
      </c>
      <c r="B1038" s="152" t="s">
        <v>1132</v>
      </c>
      <c r="C1038" s="153" t="n">
        <v>-9.81</v>
      </c>
      <c r="D1038" s="154" t="s">
        <v>97</v>
      </c>
      <c r="E1038" s="153"/>
      <c r="F1038" s="154"/>
      <c r="G1038" s="152" t="s">
        <v>213</v>
      </c>
      <c r="H1038" s="152" t="s">
        <v>106</v>
      </c>
      <c r="I1038" s="152"/>
    </row>
    <row r="1039" customFormat="false" ht="16.5" hidden="false" customHeight="true" outlineLevel="0" collapsed="false">
      <c r="A1039" s="151" t="n">
        <v>45869</v>
      </c>
      <c r="B1039" s="152" t="s">
        <v>1133</v>
      </c>
      <c r="C1039" s="153" t="n">
        <v>-8.92</v>
      </c>
      <c r="D1039" s="154" t="s">
        <v>97</v>
      </c>
      <c r="E1039" s="153"/>
      <c r="F1039" s="154"/>
      <c r="G1039" s="152" t="s">
        <v>213</v>
      </c>
      <c r="H1039" s="152" t="s">
        <v>106</v>
      </c>
      <c r="I1039" s="152"/>
    </row>
    <row r="1040" customFormat="false" ht="16.5" hidden="false" customHeight="true" outlineLevel="0" collapsed="false">
      <c r="A1040" s="151" t="n">
        <v>45869</v>
      </c>
      <c r="B1040" s="152" t="s">
        <v>1134</v>
      </c>
      <c r="C1040" s="153" t="n">
        <v>-8.02</v>
      </c>
      <c r="D1040" s="154" t="s">
        <v>97</v>
      </c>
      <c r="E1040" s="153"/>
      <c r="F1040" s="154"/>
      <c r="G1040" s="152" t="s">
        <v>164</v>
      </c>
      <c r="H1040" s="152" t="s">
        <v>106</v>
      </c>
      <c r="I1040" s="152"/>
    </row>
    <row r="1041" customFormat="false" ht="16.5" hidden="false" customHeight="true" outlineLevel="0" collapsed="false">
      <c r="A1041" s="151" t="n">
        <v>45869</v>
      </c>
      <c r="B1041" s="152" t="s">
        <v>1135</v>
      </c>
      <c r="C1041" s="153" t="n">
        <v>-6.54</v>
      </c>
      <c r="D1041" s="154" t="s">
        <v>97</v>
      </c>
      <c r="E1041" s="153"/>
      <c r="F1041" s="154"/>
      <c r="G1041" s="152" t="s">
        <v>205</v>
      </c>
      <c r="H1041" s="152" t="s">
        <v>106</v>
      </c>
      <c r="I1041" s="152"/>
    </row>
    <row r="1042" customFormat="false" ht="16.5" hidden="false" customHeight="true" outlineLevel="0" collapsed="false">
      <c r="A1042" s="151" t="n">
        <v>45869</v>
      </c>
      <c r="B1042" s="152" t="s">
        <v>1136</v>
      </c>
      <c r="C1042" s="153" t="n">
        <v>-6.34</v>
      </c>
      <c r="D1042" s="154" t="s">
        <v>97</v>
      </c>
      <c r="E1042" s="153"/>
      <c r="F1042" s="154"/>
      <c r="G1042" s="152" t="s">
        <v>213</v>
      </c>
      <c r="H1042" s="152" t="s">
        <v>106</v>
      </c>
      <c r="I1042" s="152"/>
    </row>
    <row r="1043" customFormat="false" ht="16.5" hidden="false" customHeight="true" outlineLevel="0" collapsed="false">
      <c r="A1043" s="151" t="n">
        <v>45869</v>
      </c>
      <c r="B1043" s="152" t="s">
        <v>1137</v>
      </c>
      <c r="C1043" s="153" t="n">
        <v>-5.99</v>
      </c>
      <c r="D1043" s="154" t="s">
        <v>97</v>
      </c>
      <c r="E1043" s="153"/>
      <c r="F1043" s="154"/>
      <c r="G1043" s="152" t="s">
        <v>213</v>
      </c>
      <c r="H1043" s="152" t="s">
        <v>106</v>
      </c>
      <c r="I1043" s="152"/>
    </row>
    <row r="1044" customFormat="false" ht="16.5" hidden="false" customHeight="true" outlineLevel="0" collapsed="false">
      <c r="A1044" s="151" t="n">
        <v>45869</v>
      </c>
      <c r="B1044" s="152" t="s">
        <v>1138</v>
      </c>
      <c r="C1044" s="153" t="n">
        <v>-5.55</v>
      </c>
      <c r="D1044" s="154" t="s">
        <v>97</v>
      </c>
      <c r="E1044" s="153"/>
      <c r="F1044" s="154"/>
      <c r="G1044" s="152" t="s">
        <v>213</v>
      </c>
      <c r="H1044" s="152" t="s">
        <v>106</v>
      </c>
      <c r="I1044" s="152"/>
    </row>
    <row r="1045" customFormat="false" ht="16.5" hidden="false" customHeight="true" outlineLevel="0" collapsed="false">
      <c r="A1045" s="151" t="n">
        <v>45869</v>
      </c>
      <c r="B1045" s="152" t="s">
        <v>1139</v>
      </c>
      <c r="C1045" s="153" t="n">
        <v>-4.75</v>
      </c>
      <c r="D1045" s="154" t="s">
        <v>97</v>
      </c>
      <c r="E1045" s="153"/>
      <c r="F1045" s="154"/>
      <c r="G1045" s="152" t="s">
        <v>213</v>
      </c>
      <c r="H1045" s="152" t="s">
        <v>106</v>
      </c>
      <c r="I1045" s="152"/>
    </row>
    <row r="1046" customFormat="false" ht="16.5" hidden="false" customHeight="true" outlineLevel="0" collapsed="false">
      <c r="A1046" s="151" t="n">
        <v>45869</v>
      </c>
      <c r="B1046" s="152" t="s">
        <v>1140</v>
      </c>
      <c r="C1046" s="153" t="n">
        <v>-3.92</v>
      </c>
      <c r="D1046" s="154" t="s">
        <v>97</v>
      </c>
      <c r="E1046" s="153"/>
      <c r="F1046" s="154"/>
      <c r="G1046" s="152" t="s">
        <v>213</v>
      </c>
      <c r="H1046" s="152" t="s">
        <v>106</v>
      </c>
      <c r="I1046" s="152"/>
    </row>
    <row r="1047" customFormat="false" ht="16.5" hidden="false" customHeight="true" outlineLevel="0" collapsed="false">
      <c r="A1047" s="151" t="n">
        <v>45869</v>
      </c>
      <c r="B1047" s="152" t="s">
        <v>1141</v>
      </c>
      <c r="C1047" s="153" t="n">
        <v>-2.53</v>
      </c>
      <c r="D1047" s="154" t="s">
        <v>97</v>
      </c>
      <c r="E1047" s="153"/>
      <c r="F1047" s="154"/>
      <c r="G1047" s="152" t="s">
        <v>168</v>
      </c>
      <c r="H1047" s="152" t="s">
        <v>106</v>
      </c>
      <c r="I1047" s="152"/>
    </row>
    <row r="1048" customFormat="false" ht="16.5" hidden="false" customHeight="true" outlineLevel="0" collapsed="false">
      <c r="A1048" s="151" t="n">
        <v>45869</v>
      </c>
      <c r="B1048" s="152" t="s">
        <v>1142</v>
      </c>
      <c r="C1048" s="153" t="n">
        <v>-2.19</v>
      </c>
      <c r="D1048" s="154" t="s">
        <v>97</v>
      </c>
      <c r="E1048" s="153"/>
      <c r="F1048" s="154"/>
      <c r="G1048" s="152" t="s">
        <v>167</v>
      </c>
      <c r="H1048" s="152" t="s">
        <v>106</v>
      </c>
      <c r="I1048" s="152"/>
    </row>
    <row r="1049" customFormat="false" ht="16.5" hidden="false" customHeight="true" outlineLevel="0" collapsed="false">
      <c r="A1049" s="151" t="n">
        <v>45869</v>
      </c>
      <c r="B1049" s="152" t="s">
        <v>1143</v>
      </c>
      <c r="C1049" s="153" t="n">
        <v>-2</v>
      </c>
      <c r="D1049" s="154" t="s">
        <v>97</v>
      </c>
      <c r="E1049" s="153"/>
      <c r="F1049" s="154"/>
      <c r="G1049" s="152" t="s">
        <v>168</v>
      </c>
      <c r="H1049" s="152" t="s">
        <v>106</v>
      </c>
      <c r="I1049" s="152"/>
    </row>
    <row r="1050" customFormat="false" ht="16.5" hidden="false" customHeight="true" outlineLevel="0" collapsed="false">
      <c r="A1050" s="151" t="n">
        <v>45869</v>
      </c>
      <c r="B1050" s="152" t="s">
        <v>1144</v>
      </c>
      <c r="C1050" s="153" t="n">
        <v>-2</v>
      </c>
      <c r="D1050" s="154" t="s">
        <v>97</v>
      </c>
      <c r="E1050" s="153"/>
      <c r="F1050" s="154"/>
      <c r="G1050" s="152" t="s">
        <v>168</v>
      </c>
      <c r="H1050" s="152" t="s">
        <v>106</v>
      </c>
      <c r="I1050" s="152"/>
    </row>
    <row r="1051" customFormat="false" ht="16.5" hidden="false" customHeight="true" outlineLevel="0" collapsed="false">
      <c r="A1051" s="151" t="n">
        <v>45869</v>
      </c>
      <c r="B1051" s="152" t="s">
        <v>1145</v>
      </c>
      <c r="C1051" s="153" t="n">
        <v>-1.87</v>
      </c>
      <c r="D1051" s="154" t="s">
        <v>97</v>
      </c>
      <c r="E1051" s="153"/>
      <c r="F1051" s="154"/>
      <c r="G1051" s="152" t="s">
        <v>213</v>
      </c>
      <c r="H1051" s="152" t="s">
        <v>106</v>
      </c>
      <c r="I1051" s="152"/>
    </row>
    <row r="1052" customFormat="false" ht="16.5" hidden="false" customHeight="true" outlineLevel="0" collapsed="false">
      <c r="A1052" s="151" t="n">
        <v>45869</v>
      </c>
      <c r="B1052" s="152" t="s">
        <v>1146</v>
      </c>
      <c r="C1052" s="153" t="n">
        <v>-1.6</v>
      </c>
      <c r="D1052" s="154" t="s">
        <v>97</v>
      </c>
      <c r="E1052" s="153"/>
      <c r="F1052" s="154"/>
      <c r="G1052" s="152" t="s">
        <v>168</v>
      </c>
      <c r="H1052" s="152" t="s">
        <v>106</v>
      </c>
      <c r="I1052" s="152"/>
    </row>
    <row r="1053" customFormat="false" ht="16.5" hidden="false" customHeight="true" outlineLevel="0" collapsed="false">
      <c r="A1053" s="151" t="n">
        <v>45869</v>
      </c>
      <c r="B1053" s="152" t="s">
        <v>1147</v>
      </c>
      <c r="C1053" s="153" t="n">
        <v>-1.6</v>
      </c>
      <c r="D1053" s="154" t="s">
        <v>97</v>
      </c>
      <c r="E1053" s="153"/>
      <c r="F1053" s="154"/>
      <c r="G1053" s="152" t="s">
        <v>168</v>
      </c>
      <c r="H1053" s="152" t="s">
        <v>106</v>
      </c>
      <c r="I1053" s="152"/>
    </row>
    <row r="1054" customFormat="false" ht="16.5" hidden="false" customHeight="true" outlineLevel="0" collapsed="false">
      <c r="A1054" s="151" t="n">
        <v>45869</v>
      </c>
      <c r="B1054" s="152" t="s">
        <v>1148</v>
      </c>
      <c r="C1054" s="153" t="n">
        <v>-1.4</v>
      </c>
      <c r="D1054" s="154" t="s">
        <v>97</v>
      </c>
      <c r="E1054" s="153"/>
      <c r="F1054" s="154"/>
      <c r="G1054" s="152" t="s">
        <v>213</v>
      </c>
      <c r="H1054" s="152" t="s">
        <v>106</v>
      </c>
      <c r="I1054" s="152"/>
    </row>
    <row r="1055" customFormat="false" ht="16.5" hidden="false" customHeight="true" outlineLevel="0" collapsed="false">
      <c r="A1055" s="151" t="n">
        <v>45869</v>
      </c>
      <c r="B1055" s="152" t="s">
        <v>1149</v>
      </c>
      <c r="C1055" s="153" t="n">
        <v>-0.99</v>
      </c>
      <c r="D1055" s="154" t="s">
        <v>97</v>
      </c>
      <c r="E1055" s="153"/>
      <c r="F1055" s="154"/>
      <c r="G1055" s="152" t="s">
        <v>42</v>
      </c>
      <c r="H1055" s="152" t="s">
        <v>106</v>
      </c>
      <c r="I1055" s="152"/>
    </row>
    <row r="1056" customFormat="false" ht="16.5" hidden="false" customHeight="true" outlineLevel="0" collapsed="false">
      <c r="A1056" s="151" t="n">
        <v>45869</v>
      </c>
      <c r="B1056" s="152" t="s">
        <v>1150</v>
      </c>
      <c r="C1056" s="153" t="n">
        <v>-0.78</v>
      </c>
      <c r="D1056" s="154" t="s">
        <v>97</v>
      </c>
      <c r="E1056" s="153"/>
      <c r="F1056" s="154"/>
      <c r="G1056" s="152" t="s">
        <v>231</v>
      </c>
      <c r="H1056" s="152" t="s">
        <v>106</v>
      </c>
      <c r="I1056" s="152"/>
    </row>
    <row r="1057" customFormat="false" ht="16.5" hidden="false" customHeight="true" outlineLevel="0" collapsed="false">
      <c r="A1057" s="151" t="n">
        <v>45869</v>
      </c>
      <c r="B1057" s="152" t="s">
        <v>1151</v>
      </c>
      <c r="C1057" s="153" t="n">
        <v>-0.6</v>
      </c>
      <c r="D1057" s="154" t="s">
        <v>97</v>
      </c>
      <c r="E1057" s="153"/>
      <c r="F1057" s="154"/>
      <c r="G1057" s="152" t="s">
        <v>213</v>
      </c>
      <c r="H1057" s="152" t="s">
        <v>106</v>
      </c>
      <c r="I1057" s="152"/>
    </row>
    <row r="1058" customFormat="false" ht="16.5" hidden="false" customHeight="true" outlineLevel="0" collapsed="false">
      <c r="A1058" s="151" t="n">
        <v>45869</v>
      </c>
      <c r="B1058" s="152" t="s">
        <v>1152</v>
      </c>
      <c r="C1058" s="153" t="n">
        <v>-0.36</v>
      </c>
      <c r="D1058" s="154" t="s">
        <v>97</v>
      </c>
      <c r="E1058" s="153"/>
      <c r="F1058" s="154"/>
      <c r="G1058" s="152" t="s">
        <v>231</v>
      </c>
      <c r="H1058" s="152" t="s">
        <v>106</v>
      </c>
      <c r="I1058" s="152"/>
    </row>
    <row r="1059" customFormat="false" ht="16.5" hidden="false" customHeight="true" outlineLevel="0" collapsed="false">
      <c r="A1059" s="151" t="n">
        <v>45869</v>
      </c>
      <c r="B1059" s="152" t="s">
        <v>1153</v>
      </c>
      <c r="C1059" s="153" t="n">
        <v>-0.36</v>
      </c>
      <c r="D1059" s="154" t="s">
        <v>97</v>
      </c>
      <c r="E1059" s="153"/>
      <c r="F1059" s="154"/>
      <c r="G1059" s="152" t="s">
        <v>231</v>
      </c>
      <c r="H1059" s="152" t="s">
        <v>106</v>
      </c>
      <c r="I1059" s="152"/>
    </row>
    <row r="1060" customFormat="false" ht="16.5" hidden="false" customHeight="true" outlineLevel="0" collapsed="false">
      <c r="A1060" s="151" t="n">
        <v>45869</v>
      </c>
      <c r="B1060" s="152" t="s">
        <v>1154</v>
      </c>
      <c r="C1060" s="153" t="n">
        <v>-0.32</v>
      </c>
      <c r="D1060" s="154" t="s">
        <v>97</v>
      </c>
      <c r="E1060" s="153"/>
      <c r="F1060" s="154"/>
      <c r="G1060" s="152" t="s">
        <v>164</v>
      </c>
      <c r="H1060" s="152" t="s">
        <v>106</v>
      </c>
      <c r="I1060" s="152"/>
    </row>
    <row r="1061" customFormat="false" ht="16.5" hidden="false" customHeight="true" outlineLevel="0" collapsed="false">
      <c r="A1061" s="151" t="n">
        <v>45866</v>
      </c>
      <c r="B1061" s="152" t="s">
        <v>1155</v>
      </c>
      <c r="C1061" s="153" t="n">
        <v>-23.16</v>
      </c>
      <c r="D1061" s="154" t="s">
        <v>97</v>
      </c>
      <c r="E1061" s="153"/>
      <c r="F1061" s="154"/>
      <c r="G1061" s="152" t="s">
        <v>202</v>
      </c>
      <c r="H1061" s="152" t="s">
        <v>106</v>
      </c>
      <c r="I1061" s="152"/>
    </row>
    <row r="1062" customFormat="false" ht="16.5" hidden="false" customHeight="true" outlineLevel="0" collapsed="false">
      <c r="A1062" s="151" t="n">
        <v>45866</v>
      </c>
      <c r="B1062" s="152" t="s">
        <v>1156</v>
      </c>
      <c r="C1062" s="153" t="n">
        <v>-1.6</v>
      </c>
      <c r="D1062" s="154" t="s">
        <v>97</v>
      </c>
      <c r="E1062" s="153"/>
      <c r="F1062" s="154"/>
      <c r="G1062" s="152" t="s">
        <v>219</v>
      </c>
      <c r="H1062" s="152" t="s">
        <v>106</v>
      </c>
      <c r="I1062" s="152"/>
    </row>
    <row r="1063" customFormat="false" ht="16.5" hidden="false" customHeight="true" outlineLevel="0" collapsed="false">
      <c r="A1063" s="151" t="n">
        <v>45866</v>
      </c>
      <c r="B1063" s="152" t="s">
        <v>1157</v>
      </c>
      <c r="C1063" s="153" t="n">
        <v>-1.4</v>
      </c>
      <c r="D1063" s="154" t="s">
        <v>97</v>
      </c>
      <c r="E1063" s="153"/>
      <c r="F1063" s="154"/>
      <c r="G1063" s="152" t="s">
        <v>226</v>
      </c>
      <c r="H1063" s="152" t="s">
        <v>106</v>
      </c>
      <c r="I1063" s="152"/>
    </row>
    <row r="1064" customFormat="false" ht="16.5" hidden="false" customHeight="true" outlineLevel="0" collapsed="false">
      <c r="A1064" s="151" t="n">
        <v>45856</v>
      </c>
      <c r="B1064" s="152" t="s">
        <v>1158</v>
      </c>
      <c r="C1064" s="153" t="n">
        <v>-4.21</v>
      </c>
      <c r="D1064" s="154" t="s">
        <v>97</v>
      </c>
      <c r="E1064" s="153"/>
      <c r="F1064" s="154"/>
      <c r="G1064" s="152" t="s">
        <v>221</v>
      </c>
      <c r="H1064" s="152" t="s">
        <v>106</v>
      </c>
      <c r="I1064" s="152"/>
    </row>
    <row r="1065" customFormat="false" ht="16.5" hidden="false" customHeight="true" outlineLevel="0" collapsed="false">
      <c r="A1065" s="151" t="n">
        <v>45854</v>
      </c>
      <c r="B1065" s="152" t="s">
        <v>1159</v>
      </c>
      <c r="C1065" s="153" t="n">
        <v>-9.57</v>
      </c>
      <c r="D1065" s="154" t="s">
        <v>97</v>
      </c>
      <c r="E1065" s="153"/>
      <c r="F1065" s="154"/>
      <c r="G1065" s="152" t="s">
        <v>207</v>
      </c>
      <c r="H1065" s="152" t="s">
        <v>106</v>
      </c>
      <c r="I1065" s="152"/>
    </row>
    <row r="1066" customFormat="false" ht="16.5" hidden="false" customHeight="true" outlineLevel="0" collapsed="false">
      <c r="A1066" s="151" t="n">
        <v>45854</v>
      </c>
      <c r="B1066" s="152" t="s">
        <v>1160</v>
      </c>
      <c r="C1066" s="153" t="n">
        <v>-8.83</v>
      </c>
      <c r="D1066" s="154" t="s">
        <v>97</v>
      </c>
      <c r="E1066" s="153"/>
      <c r="F1066" s="154"/>
      <c r="G1066" s="152" t="s">
        <v>207</v>
      </c>
      <c r="H1066" s="152" t="s">
        <v>106</v>
      </c>
      <c r="I1066" s="152"/>
    </row>
    <row r="1067" customFormat="false" ht="16.5" hidden="false" customHeight="true" outlineLevel="0" collapsed="false">
      <c r="A1067" s="151" t="n">
        <v>45853</v>
      </c>
      <c r="B1067" s="152" t="s">
        <v>1161</v>
      </c>
      <c r="C1067" s="153" t="n">
        <v>-66.16</v>
      </c>
      <c r="D1067" s="154" t="s">
        <v>97</v>
      </c>
      <c r="E1067" s="153"/>
      <c r="F1067" s="154"/>
      <c r="G1067" s="152" t="s">
        <v>208</v>
      </c>
      <c r="H1067" s="152" t="s">
        <v>106</v>
      </c>
      <c r="I1067" s="152"/>
    </row>
    <row r="1068" customFormat="false" ht="16.5" hidden="false" customHeight="true" outlineLevel="0" collapsed="false">
      <c r="A1068" s="151" t="n">
        <v>45853</v>
      </c>
      <c r="B1068" s="152" t="s">
        <v>1162</v>
      </c>
      <c r="C1068" s="153" t="n">
        <v>-30.88</v>
      </c>
      <c r="D1068" s="154" t="s">
        <v>97</v>
      </c>
      <c r="E1068" s="153"/>
      <c r="F1068" s="154"/>
      <c r="G1068" s="152" t="s">
        <v>197</v>
      </c>
      <c r="H1068" s="152" t="s">
        <v>106</v>
      </c>
      <c r="I1068" s="152"/>
    </row>
    <row r="1069" customFormat="false" ht="16.5" hidden="false" customHeight="true" outlineLevel="0" collapsed="false">
      <c r="A1069" s="151" t="n">
        <v>45853</v>
      </c>
      <c r="B1069" s="152" t="s">
        <v>1163</v>
      </c>
      <c r="C1069" s="153" t="n">
        <v>-20</v>
      </c>
      <c r="D1069" s="154" t="s">
        <v>97</v>
      </c>
      <c r="E1069" s="153"/>
      <c r="F1069" s="154"/>
      <c r="G1069" s="152" t="s">
        <v>171</v>
      </c>
      <c r="H1069" s="152" t="s">
        <v>106</v>
      </c>
      <c r="I1069" s="152"/>
    </row>
    <row r="1070" customFormat="false" ht="16.5" hidden="false" customHeight="true" outlineLevel="0" collapsed="false">
      <c r="A1070" s="151" t="n">
        <v>45853</v>
      </c>
      <c r="B1070" s="152" t="s">
        <v>1164</v>
      </c>
      <c r="C1070" s="153" t="n">
        <v>-8.58</v>
      </c>
      <c r="D1070" s="154" t="s">
        <v>97</v>
      </c>
      <c r="E1070" s="153"/>
      <c r="F1070" s="154"/>
      <c r="G1070" s="152" t="s">
        <v>217</v>
      </c>
      <c r="H1070" s="152" t="s">
        <v>106</v>
      </c>
      <c r="I1070" s="152"/>
    </row>
    <row r="1071" customFormat="false" ht="16.5" hidden="false" customHeight="true" outlineLevel="0" collapsed="false">
      <c r="A1071" s="151" t="n">
        <v>45849</v>
      </c>
      <c r="B1071" s="152" t="s">
        <v>1165</v>
      </c>
      <c r="C1071" s="153" t="n">
        <v>-0.84</v>
      </c>
      <c r="D1071" s="154" t="s">
        <v>97</v>
      </c>
      <c r="E1071" s="153"/>
      <c r="F1071" s="154"/>
      <c r="G1071" s="152" t="s">
        <v>222</v>
      </c>
      <c r="H1071" s="152" t="s">
        <v>106</v>
      </c>
      <c r="I1071" s="152"/>
    </row>
    <row r="1072" customFormat="false" ht="16.5" hidden="false" customHeight="true" outlineLevel="0" collapsed="false">
      <c r="A1072" s="151" t="n">
        <v>45848</v>
      </c>
      <c r="B1072" s="152" t="s">
        <v>1166</v>
      </c>
      <c r="C1072" s="153" t="n">
        <v>-16.82</v>
      </c>
      <c r="D1072" s="154" t="s">
        <v>97</v>
      </c>
      <c r="E1072" s="153"/>
      <c r="F1072" s="154"/>
      <c r="G1072" s="152" t="s">
        <v>212</v>
      </c>
      <c r="H1072" s="152" t="s">
        <v>106</v>
      </c>
      <c r="I1072" s="152"/>
    </row>
    <row r="1073" customFormat="false" ht="16.5" hidden="false" customHeight="true" outlineLevel="0" collapsed="false">
      <c r="A1073" s="151" t="n">
        <v>45847</v>
      </c>
      <c r="B1073" s="152" t="s">
        <v>1167</v>
      </c>
      <c r="C1073" s="153" t="n">
        <v>261.61</v>
      </c>
      <c r="D1073" s="154" t="s">
        <v>97</v>
      </c>
      <c r="E1073" s="153"/>
      <c r="F1073" s="154"/>
      <c r="G1073" s="152" t="s">
        <v>215</v>
      </c>
      <c r="H1073" s="152" t="s">
        <v>106</v>
      </c>
      <c r="I1073" s="152"/>
    </row>
    <row r="1074" customFormat="false" ht="16.5" hidden="false" customHeight="true" outlineLevel="0" collapsed="false">
      <c r="A1074" s="151" t="n">
        <v>45847</v>
      </c>
      <c r="B1074" s="152" t="s">
        <v>1168</v>
      </c>
      <c r="C1074" s="153" t="n">
        <v>242.67</v>
      </c>
      <c r="D1074" s="154" t="s">
        <v>97</v>
      </c>
      <c r="E1074" s="153"/>
      <c r="F1074" s="154"/>
      <c r="G1074" s="152" t="s">
        <v>198</v>
      </c>
      <c r="H1074" s="152" t="s">
        <v>106</v>
      </c>
      <c r="I1074" s="152"/>
    </row>
    <row r="1075" customFormat="false" ht="16.5" hidden="false" customHeight="true" outlineLevel="0" collapsed="false">
      <c r="A1075" s="151" t="n">
        <v>45845</v>
      </c>
      <c r="B1075" s="152" t="s">
        <v>1169</v>
      </c>
      <c r="C1075" s="153" t="n">
        <v>-45.63</v>
      </c>
      <c r="D1075" s="154" t="s">
        <v>97</v>
      </c>
      <c r="E1075" s="153"/>
      <c r="F1075" s="154"/>
      <c r="G1075" s="152" t="s">
        <v>197</v>
      </c>
      <c r="H1075" s="152" t="s">
        <v>106</v>
      </c>
      <c r="I1075" s="152"/>
    </row>
    <row r="1076" customFormat="false" ht="16.5" hidden="false" customHeight="true" outlineLevel="0" collapsed="false">
      <c r="A1076" s="151" t="n">
        <v>45845</v>
      </c>
      <c r="B1076" s="152" t="s">
        <v>1170</v>
      </c>
      <c r="C1076" s="153" t="n">
        <v>-42.81</v>
      </c>
      <c r="D1076" s="154" t="s">
        <v>97</v>
      </c>
      <c r="E1076" s="153"/>
      <c r="F1076" s="154"/>
      <c r="G1076" s="152" t="s">
        <v>203</v>
      </c>
      <c r="H1076" s="152" t="s">
        <v>106</v>
      </c>
      <c r="I1076" s="152"/>
    </row>
    <row r="1077" customFormat="false" ht="16.5" hidden="false" customHeight="true" outlineLevel="0" collapsed="false">
      <c r="A1077" s="151" t="n">
        <v>45845</v>
      </c>
      <c r="B1077" s="152" t="s">
        <v>1171</v>
      </c>
      <c r="C1077" s="153" t="n">
        <v>-5.39</v>
      </c>
      <c r="D1077" s="154" t="s">
        <v>97</v>
      </c>
      <c r="E1077" s="153"/>
      <c r="F1077" s="154"/>
      <c r="G1077" s="152" t="s">
        <v>218</v>
      </c>
      <c r="H1077" s="152" t="s">
        <v>106</v>
      </c>
      <c r="I1077" s="152"/>
    </row>
    <row r="1078" customFormat="false" ht="16.5" hidden="false" customHeight="true" outlineLevel="0" collapsed="false">
      <c r="A1078" s="151" t="n">
        <v>45845</v>
      </c>
      <c r="B1078" s="152" t="s">
        <v>1172</v>
      </c>
      <c r="C1078" s="153" t="n">
        <v>10.03</v>
      </c>
      <c r="D1078" s="154" t="s">
        <v>97</v>
      </c>
      <c r="E1078" s="153"/>
      <c r="F1078" s="154"/>
      <c r="G1078" s="152" t="s">
        <v>204</v>
      </c>
      <c r="H1078" s="152" t="s">
        <v>106</v>
      </c>
      <c r="I1078" s="152"/>
    </row>
    <row r="1079" customFormat="false" ht="16.5" hidden="false" customHeight="true" outlineLevel="0" collapsed="false">
      <c r="A1079" s="151" t="n">
        <v>45845</v>
      </c>
      <c r="B1079" s="152" t="s">
        <v>1173</v>
      </c>
      <c r="C1079" s="153" t="n">
        <v>-51.37</v>
      </c>
      <c r="D1079" s="154" t="s">
        <v>97</v>
      </c>
      <c r="E1079" s="153"/>
      <c r="F1079" s="154"/>
      <c r="G1079" s="152" t="s">
        <v>164</v>
      </c>
      <c r="H1079" s="152" t="s">
        <v>106</v>
      </c>
      <c r="I1079" s="152"/>
    </row>
    <row r="1080" customFormat="false" ht="16.5" hidden="false" customHeight="true" outlineLevel="0" collapsed="false">
      <c r="A1080" s="151" t="n">
        <v>45845</v>
      </c>
      <c r="B1080" s="152" t="s">
        <v>1174</v>
      </c>
      <c r="C1080" s="153" t="n">
        <v>99.97</v>
      </c>
      <c r="D1080" s="154" t="s">
        <v>97</v>
      </c>
      <c r="E1080" s="153"/>
      <c r="F1080" s="154" t="s">
        <v>1175</v>
      </c>
      <c r="G1080" s="152" t="s">
        <v>190</v>
      </c>
      <c r="H1080" s="152" t="s">
        <v>106</v>
      </c>
      <c r="I1080" s="152"/>
    </row>
    <row r="1081" customFormat="false" ht="16.5" hidden="false" customHeight="true" outlineLevel="0" collapsed="false">
      <c r="A1081" s="151" t="n">
        <v>45842</v>
      </c>
      <c r="B1081" s="152" t="s">
        <v>1176</v>
      </c>
      <c r="C1081" s="153" t="n">
        <v>99.97</v>
      </c>
      <c r="D1081" s="154" t="s">
        <v>97</v>
      </c>
      <c r="E1081" s="153"/>
      <c r="F1081" s="154" t="s">
        <v>1177</v>
      </c>
      <c r="G1081" s="152" t="s">
        <v>190</v>
      </c>
      <c r="H1081" s="152" t="s">
        <v>106</v>
      </c>
      <c r="I1081" s="152"/>
    </row>
    <row r="1082" customFormat="false" ht="16.5" hidden="false" customHeight="true" outlineLevel="0" collapsed="false">
      <c r="A1082" s="151" t="n">
        <v>45840</v>
      </c>
      <c r="B1082" s="152" t="s">
        <v>1178</v>
      </c>
      <c r="C1082" s="153" t="n">
        <v>-12.91</v>
      </c>
      <c r="D1082" s="154" t="s">
        <v>97</v>
      </c>
      <c r="E1082" s="153"/>
      <c r="F1082" s="154"/>
      <c r="G1082" s="152" t="s">
        <v>204</v>
      </c>
      <c r="H1082" s="152" t="s">
        <v>106</v>
      </c>
      <c r="I1082" s="152"/>
    </row>
    <row r="1083" customFormat="false" ht="16.5" hidden="false" customHeight="true" outlineLevel="0" collapsed="false">
      <c r="A1083" s="151" t="n">
        <v>45869</v>
      </c>
      <c r="B1083" s="152" t="s">
        <v>60</v>
      </c>
      <c r="C1083" s="153" t="n">
        <v>2650.34</v>
      </c>
      <c r="D1083" s="154" t="s">
        <v>97</v>
      </c>
      <c r="E1083" s="153"/>
      <c r="F1083" s="154"/>
      <c r="G1083" s="152" t="s">
        <v>315</v>
      </c>
      <c r="H1083" s="152" t="s">
        <v>106</v>
      </c>
      <c r="I1083" s="152"/>
    </row>
    <row r="1084" customFormat="false" ht="16.5" hidden="false" customHeight="true" outlineLevel="0" collapsed="false">
      <c r="A1084" s="151" t="n">
        <v>45845</v>
      </c>
      <c r="B1084" s="152"/>
      <c r="C1084" s="153" t="n">
        <v>-99.97</v>
      </c>
      <c r="D1084" s="154" t="s">
        <v>97</v>
      </c>
      <c r="E1084" s="153"/>
      <c r="F1084" s="154" t="s">
        <v>1175</v>
      </c>
      <c r="G1084" s="152" t="s">
        <v>190</v>
      </c>
      <c r="H1084" s="152" t="s">
        <v>132</v>
      </c>
      <c r="I1084" s="152"/>
    </row>
    <row r="1085" customFormat="false" ht="16.5" hidden="false" customHeight="true" outlineLevel="0" collapsed="false">
      <c r="A1085" s="151" t="n">
        <v>45842</v>
      </c>
      <c r="B1085" s="152"/>
      <c r="C1085" s="153" t="n">
        <v>-99.97</v>
      </c>
      <c r="D1085" s="154" t="s">
        <v>97</v>
      </c>
      <c r="E1085" s="153"/>
      <c r="F1085" s="154" t="s">
        <v>1177</v>
      </c>
      <c r="G1085" s="152" t="s">
        <v>190</v>
      </c>
      <c r="H1085" s="152" t="s">
        <v>133</v>
      </c>
      <c r="I1085" s="152"/>
    </row>
    <row r="1086" customFormat="false" ht="16.5" hidden="false" customHeight="true" outlineLevel="0" collapsed="false">
      <c r="A1086" s="151" t="n">
        <v>45845</v>
      </c>
      <c r="B1086" s="152" t="s">
        <v>60</v>
      </c>
      <c r="C1086" s="153" t="n">
        <v>21893.21</v>
      </c>
      <c r="D1086" s="154" t="s">
        <v>97</v>
      </c>
      <c r="E1086" s="153"/>
      <c r="F1086" s="154"/>
      <c r="G1086" s="152" t="s">
        <v>315</v>
      </c>
      <c r="H1086" s="152" t="s">
        <v>132</v>
      </c>
      <c r="I1086" s="152"/>
    </row>
    <row r="1087" customFormat="false" ht="16.5" hidden="false" customHeight="true" outlineLevel="0" collapsed="false">
      <c r="A1087" s="151" t="n">
        <v>45842</v>
      </c>
      <c r="B1087" s="152" t="s">
        <v>60</v>
      </c>
      <c r="C1087" s="153" t="n">
        <v>8600.21</v>
      </c>
      <c r="D1087" s="154" t="s">
        <v>97</v>
      </c>
      <c r="E1087" s="153"/>
      <c r="F1087" s="154"/>
      <c r="G1087" s="152" t="s">
        <v>315</v>
      </c>
      <c r="H1087" s="152" t="s">
        <v>133</v>
      </c>
      <c r="I1087" s="152"/>
    </row>
    <row r="1088" customFormat="false" ht="16.5" hidden="false" customHeight="true" outlineLevel="0" collapsed="false">
      <c r="A1088" s="151" t="n">
        <v>45827</v>
      </c>
      <c r="B1088" s="152" t="s">
        <v>628</v>
      </c>
      <c r="C1088" s="153" t="n">
        <v>22.32</v>
      </c>
      <c r="D1088" s="154" t="s">
        <v>97</v>
      </c>
      <c r="E1088" s="153"/>
      <c r="F1088" s="154"/>
      <c r="G1088" s="152" t="s">
        <v>199</v>
      </c>
      <c r="H1088" s="152" t="s">
        <v>122</v>
      </c>
      <c r="I1088" s="152"/>
    </row>
    <row r="1089" customFormat="false" ht="16.5" hidden="false" customHeight="true" outlineLevel="0" collapsed="false">
      <c r="A1089" s="151" t="n">
        <v>45855</v>
      </c>
      <c r="B1089" s="152" t="s">
        <v>1179</v>
      </c>
      <c r="C1089" s="153" t="n">
        <v>0.31</v>
      </c>
      <c r="D1089" s="154" t="s">
        <v>97</v>
      </c>
      <c r="E1089" s="153"/>
      <c r="F1089" s="154"/>
      <c r="G1089" s="152" t="s">
        <v>199</v>
      </c>
      <c r="H1089" s="152" t="s">
        <v>122</v>
      </c>
      <c r="I1089" s="152"/>
    </row>
    <row r="1090" customFormat="false" ht="16.5" hidden="false" customHeight="true" outlineLevel="0" collapsed="false">
      <c r="A1090" s="151" t="n">
        <v>45861</v>
      </c>
      <c r="B1090" s="152" t="s">
        <v>1180</v>
      </c>
      <c r="C1090" s="153" t="n">
        <v>2.3</v>
      </c>
      <c r="D1090" s="154" t="s">
        <v>97</v>
      </c>
      <c r="E1090" s="153"/>
      <c r="F1090" s="154"/>
      <c r="G1090" s="152" t="s">
        <v>199</v>
      </c>
      <c r="H1090" s="152" t="s">
        <v>122</v>
      </c>
      <c r="I1090" s="152"/>
    </row>
    <row r="1091" customFormat="false" ht="16.5" hidden="false" customHeight="true" outlineLevel="0" collapsed="false">
      <c r="A1091" s="151" t="n">
        <v>45871</v>
      </c>
      <c r="B1091" s="152" t="s">
        <v>60</v>
      </c>
      <c r="C1091" s="153" t="n">
        <v>195.72</v>
      </c>
      <c r="D1091" s="154" t="s">
        <v>97</v>
      </c>
      <c r="E1091" s="153"/>
      <c r="F1091" s="154"/>
      <c r="G1091" s="152" t="s">
        <v>315</v>
      </c>
      <c r="H1091" s="152" t="s">
        <v>122</v>
      </c>
      <c r="I1091" s="152"/>
    </row>
    <row r="1092" customFormat="false" ht="16.5" hidden="false" customHeight="true" outlineLevel="0" collapsed="false">
      <c r="A1092" s="151" t="n">
        <v>45871</v>
      </c>
      <c r="B1092" s="152" t="s">
        <v>60</v>
      </c>
      <c r="C1092" s="153" t="n">
        <v>9196.42</v>
      </c>
      <c r="D1092" s="154" t="s">
        <v>97</v>
      </c>
      <c r="E1092" s="153"/>
      <c r="F1092" s="154"/>
      <c r="G1092" s="152" t="s">
        <v>315</v>
      </c>
      <c r="H1092" s="152" t="s">
        <v>100</v>
      </c>
      <c r="I1092" s="152"/>
    </row>
    <row r="1093" customFormat="false" ht="16.5" hidden="false" customHeight="true" outlineLevel="0" collapsed="false">
      <c r="A1093" s="151" t="n">
        <v>45871</v>
      </c>
      <c r="B1093" s="152" t="s">
        <v>1115</v>
      </c>
      <c r="C1093" s="160" t="n">
        <v>0</v>
      </c>
      <c r="D1093" s="154"/>
      <c r="E1093" s="160"/>
      <c r="F1093" s="154"/>
      <c r="G1093" s="152" t="s">
        <v>1116</v>
      </c>
      <c r="H1093" s="152"/>
      <c r="I1093" s="152"/>
    </row>
    <row r="1094" customFormat="false" ht="16.5" hidden="false" customHeight="true" outlineLevel="0" collapsed="false">
      <c r="A1094" s="151" t="n">
        <v>45872</v>
      </c>
      <c r="B1094" s="152" t="s">
        <v>60</v>
      </c>
      <c r="C1094" s="153" t="n">
        <v>22050.27</v>
      </c>
      <c r="D1094" s="154" t="s">
        <v>97</v>
      </c>
      <c r="E1094" s="153"/>
      <c r="F1094" s="154"/>
      <c r="G1094" s="152" t="s">
        <v>315</v>
      </c>
      <c r="H1094" s="152" t="s">
        <v>96</v>
      </c>
      <c r="I1094" s="152"/>
    </row>
    <row r="1095" customFormat="false" ht="16.5" hidden="false" customHeight="true" outlineLevel="0" collapsed="false">
      <c r="A1095" s="151" t="n">
        <v>45872</v>
      </c>
      <c r="B1095" s="152" t="s">
        <v>60</v>
      </c>
      <c r="C1095" s="153" t="n">
        <v>17559.22</v>
      </c>
      <c r="D1095" s="154" t="s">
        <v>97</v>
      </c>
      <c r="E1095" s="153"/>
      <c r="F1095" s="154"/>
      <c r="G1095" s="152" t="s">
        <v>315</v>
      </c>
      <c r="H1095" s="152" t="s">
        <v>98</v>
      </c>
      <c r="I1095" s="152"/>
    </row>
    <row r="1096" customFormat="false" ht="16.5" hidden="false" customHeight="true" outlineLevel="0" collapsed="false">
      <c r="A1096" s="151" t="n">
        <v>45872</v>
      </c>
      <c r="B1096" s="152" t="s">
        <v>60</v>
      </c>
      <c r="C1096" s="153" t="n">
        <v>17181.56</v>
      </c>
      <c r="D1096" s="154" t="s">
        <v>97</v>
      </c>
      <c r="E1096" s="153"/>
      <c r="F1096" s="154"/>
      <c r="G1096" s="152" t="s">
        <v>315</v>
      </c>
      <c r="H1096" s="152" t="s">
        <v>99</v>
      </c>
      <c r="I1096" s="152"/>
    </row>
    <row r="1097" customFormat="false" ht="16.5" hidden="false" customHeight="true" outlineLevel="0" collapsed="false">
      <c r="A1097" s="151" t="n">
        <v>45870</v>
      </c>
      <c r="B1097" s="152" t="s">
        <v>1181</v>
      </c>
      <c r="C1097" s="153" t="n">
        <v>26.7</v>
      </c>
      <c r="D1097" s="154" t="s">
        <v>97</v>
      </c>
      <c r="E1097" s="153"/>
      <c r="F1097" s="154"/>
      <c r="G1097" s="152" t="s">
        <v>224</v>
      </c>
      <c r="H1097" s="152" t="s">
        <v>106</v>
      </c>
      <c r="I1097" s="152"/>
    </row>
    <row r="1098" customFormat="false" ht="16.5" hidden="false" customHeight="true" outlineLevel="0" collapsed="false">
      <c r="A1098" s="151" t="n">
        <v>45870</v>
      </c>
      <c r="B1098" s="152" t="s">
        <v>606</v>
      </c>
      <c r="C1098" s="153" t="n">
        <v>-339.37</v>
      </c>
      <c r="D1098" s="154" t="s">
        <v>97</v>
      </c>
      <c r="E1098" s="153"/>
      <c r="F1098" s="154"/>
      <c r="G1098" s="152" t="s">
        <v>162</v>
      </c>
      <c r="H1098" s="152" t="s">
        <v>106</v>
      </c>
      <c r="I1098" s="152"/>
    </row>
    <row r="1099" customFormat="false" ht="16.5" hidden="false" customHeight="true" outlineLevel="0" collapsed="false">
      <c r="A1099" s="151" t="n">
        <v>45870</v>
      </c>
      <c r="B1099" s="152" t="s">
        <v>1182</v>
      </c>
      <c r="C1099" s="153" t="n">
        <v>597.96</v>
      </c>
      <c r="D1099" s="154" t="s">
        <v>97</v>
      </c>
      <c r="E1099" s="153"/>
      <c r="F1099" s="154"/>
      <c r="G1099" s="152" t="s">
        <v>194</v>
      </c>
      <c r="H1099" s="152" t="s">
        <v>106</v>
      </c>
      <c r="I1099" s="152"/>
    </row>
    <row r="1100" customFormat="false" ht="16.5" hidden="false" customHeight="true" outlineLevel="0" collapsed="false">
      <c r="A1100" s="151" t="n">
        <v>45870</v>
      </c>
      <c r="B1100" s="152" t="s">
        <v>1183</v>
      </c>
      <c r="C1100" s="153" t="n">
        <v>266.95</v>
      </c>
      <c r="D1100" s="154" t="s">
        <v>97</v>
      </c>
      <c r="E1100" s="153"/>
      <c r="F1100" s="154"/>
      <c r="G1100" s="152" t="s">
        <v>206</v>
      </c>
      <c r="H1100" s="152" t="s">
        <v>106</v>
      </c>
      <c r="I1100" s="152"/>
    </row>
    <row r="1101" customFormat="false" ht="16.5" hidden="false" customHeight="true" outlineLevel="0" collapsed="false">
      <c r="A1101" s="151" t="n">
        <v>45870</v>
      </c>
      <c r="B1101" s="152" t="s">
        <v>1184</v>
      </c>
      <c r="C1101" s="153" t="n">
        <v>100.69</v>
      </c>
      <c r="D1101" s="154" t="s">
        <v>97</v>
      </c>
      <c r="E1101" s="153"/>
      <c r="F1101" s="154"/>
      <c r="G1101" s="152" t="s">
        <v>206</v>
      </c>
      <c r="H1101" s="152" t="s">
        <v>106</v>
      </c>
      <c r="I1101" s="152"/>
    </row>
    <row r="1102" customFormat="false" ht="16.5" hidden="false" customHeight="true" outlineLevel="0" collapsed="false">
      <c r="A1102" s="151" t="n">
        <v>45871</v>
      </c>
      <c r="B1102" s="152" t="s">
        <v>60</v>
      </c>
      <c r="C1102" s="153" t="n">
        <v>3303.27</v>
      </c>
      <c r="D1102" s="154" t="s">
        <v>97</v>
      </c>
      <c r="E1102" s="153"/>
      <c r="F1102" s="154"/>
      <c r="G1102" s="152" t="s">
        <v>315</v>
      </c>
      <c r="H1102" s="152" t="s">
        <v>106</v>
      </c>
      <c r="I1102" s="152"/>
    </row>
    <row r="1103" customFormat="false" ht="16.5" hidden="false" customHeight="true" outlineLevel="0" collapsed="false">
      <c r="A1103" s="151" t="n">
        <v>45870</v>
      </c>
      <c r="B1103" s="152" t="s">
        <v>692</v>
      </c>
      <c r="C1103" s="153" t="n">
        <v>-0.14</v>
      </c>
      <c r="D1103" s="154" t="s">
        <v>97</v>
      </c>
      <c r="E1103" s="153"/>
      <c r="F1103" s="154"/>
      <c r="G1103" s="152" t="s">
        <v>204</v>
      </c>
      <c r="H1103" s="152" t="s">
        <v>117</v>
      </c>
      <c r="I1103" s="152"/>
    </row>
    <row r="1104" customFormat="false" ht="16.5" hidden="false" customHeight="true" outlineLevel="0" collapsed="false">
      <c r="A1104" s="151" t="n">
        <v>45870</v>
      </c>
      <c r="B1104" s="152" t="s">
        <v>692</v>
      </c>
      <c r="C1104" s="159" t="n">
        <v>-1.11</v>
      </c>
      <c r="D1104" s="154" t="s">
        <v>103</v>
      </c>
      <c r="E1104" s="153"/>
      <c r="F1104" s="154"/>
      <c r="G1104" s="152" t="s">
        <v>204</v>
      </c>
      <c r="H1104" s="152" t="s">
        <v>125</v>
      </c>
      <c r="I1104" s="152"/>
    </row>
    <row r="1105" customFormat="false" ht="16.5" hidden="false" customHeight="true" outlineLevel="0" collapsed="false">
      <c r="A1105" s="151" t="n">
        <v>45870</v>
      </c>
      <c r="B1105" s="152" t="s">
        <v>60</v>
      </c>
      <c r="C1105" s="153" t="n">
        <v>997.5</v>
      </c>
      <c r="D1105" s="154" t="s">
        <v>97</v>
      </c>
      <c r="E1105" s="153"/>
      <c r="F1105" s="154"/>
      <c r="G1105" s="152" t="s">
        <v>315</v>
      </c>
      <c r="H1105" s="152" t="s">
        <v>117</v>
      </c>
      <c r="I1105" s="152"/>
    </row>
    <row r="1106" customFormat="false" ht="16.5" hidden="false" customHeight="true" outlineLevel="0" collapsed="false">
      <c r="A1106" s="151" t="n">
        <v>45871</v>
      </c>
      <c r="B1106" s="152" t="s">
        <v>60</v>
      </c>
      <c r="C1106" s="159" t="n">
        <v>6900.63</v>
      </c>
      <c r="D1106" s="154" t="s">
        <v>103</v>
      </c>
      <c r="E1106" s="153"/>
      <c r="F1106" s="154"/>
      <c r="G1106" s="152" t="s">
        <v>315</v>
      </c>
      <c r="H1106" s="152" t="s">
        <v>125</v>
      </c>
      <c r="I1106" s="152"/>
    </row>
    <row r="1107" customFormat="false" ht="16.5" hidden="false" customHeight="true" outlineLevel="0" collapsed="false">
      <c r="A1107" s="151" t="n">
        <v>45878</v>
      </c>
      <c r="B1107" s="152"/>
      <c r="C1107" s="153" t="n">
        <v>-120.29</v>
      </c>
      <c r="D1107" s="154" t="s">
        <v>97</v>
      </c>
      <c r="E1107" s="153"/>
      <c r="F1107" s="154"/>
      <c r="G1107" s="152" t="s">
        <v>164</v>
      </c>
      <c r="H1107" s="152" t="s">
        <v>108</v>
      </c>
      <c r="I1107" s="152"/>
    </row>
    <row r="1108" customFormat="false" ht="16.5" hidden="false" customHeight="true" outlineLevel="0" collapsed="false">
      <c r="A1108" s="151" t="n">
        <v>45878</v>
      </c>
      <c r="B1108" s="152" t="s">
        <v>60</v>
      </c>
      <c r="C1108" s="153" t="n">
        <v>930.79</v>
      </c>
      <c r="D1108" s="154" t="s">
        <v>97</v>
      </c>
      <c r="E1108" s="153"/>
      <c r="F1108" s="154"/>
      <c r="G1108" s="152" t="s">
        <v>315</v>
      </c>
      <c r="H1108" s="152" t="s">
        <v>108</v>
      </c>
      <c r="I1108" s="152"/>
    </row>
    <row r="1109" customFormat="false" ht="16.5" hidden="false" customHeight="true" outlineLevel="0" collapsed="false">
      <c r="A1109" s="151" t="n">
        <v>45882</v>
      </c>
      <c r="B1109" s="152"/>
      <c r="C1109" s="153" t="n">
        <v>-10.03</v>
      </c>
      <c r="D1109" s="154" t="s">
        <v>97</v>
      </c>
      <c r="E1109" s="153"/>
      <c r="F1109" s="154"/>
      <c r="G1109" s="152" t="s">
        <v>164</v>
      </c>
      <c r="H1109" s="152" t="s">
        <v>108</v>
      </c>
      <c r="I1109" s="152"/>
    </row>
    <row r="1110" customFormat="false" ht="16.5" hidden="false" customHeight="true" outlineLevel="0" collapsed="false">
      <c r="A1110" s="151" t="n">
        <v>45882</v>
      </c>
      <c r="B1110" s="152" t="s">
        <v>60</v>
      </c>
      <c r="C1110" s="153" t="n">
        <v>920.76</v>
      </c>
      <c r="D1110" s="154" t="s">
        <v>97</v>
      </c>
      <c r="E1110" s="153"/>
      <c r="F1110" s="154"/>
      <c r="G1110" s="152" t="s">
        <v>315</v>
      </c>
      <c r="H1110" s="152" t="s">
        <v>108</v>
      </c>
      <c r="I1110" s="152"/>
    </row>
    <row r="1111" customFormat="false" ht="16.5" hidden="false" customHeight="true" outlineLevel="0" collapsed="false">
      <c r="A1111" s="151" t="n">
        <v>45882</v>
      </c>
      <c r="B1111" s="152" t="s">
        <v>1115</v>
      </c>
      <c r="C1111" s="160" t="n">
        <v>0</v>
      </c>
      <c r="D1111" s="154"/>
      <c r="E1111" s="160"/>
      <c r="F1111" s="154"/>
      <c r="G1111" s="152" t="s">
        <v>1116</v>
      </c>
      <c r="H1111" s="152"/>
      <c r="I1111" s="152"/>
    </row>
    <row r="1112" customFormat="false" ht="16.5" hidden="false" customHeight="true" outlineLevel="0" collapsed="false">
      <c r="A1112" s="151" t="n">
        <v>45883</v>
      </c>
      <c r="B1112" s="152" t="s">
        <v>1185</v>
      </c>
      <c r="C1112" s="153" t="n">
        <v>-8.58</v>
      </c>
      <c r="D1112" s="154" t="s">
        <v>97</v>
      </c>
      <c r="E1112" s="153"/>
      <c r="F1112" s="154"/>
      <c r="G1112" s="152" t="s">
        <v>217</v>
      </c>
      <c r="H1112" s="152" t="s">
        <v>106</v>
      </c>
      <c r="I1112" s="152"/>
    </row>
    <row r="1113" customFormat="false" ht="16.5" hidden="false" customHeight="true" outlineLevel="0" collapsed="false">
      <c r="A1113" s="151" t="n">
        <v>45881</v>
      </c>
      <c r="B1113" s="152" t="s">
        <v>1186</v>
      </c>
      <c r="C1113" s="153" t="n">
        <v>214.11</v>
      </c>
      <c r="D1113" s="154" t="s">
        <v>97</v>
      </c>
      <c r="E1113" s="153"/>
      <c r="F1113" s="154"/>
      <c r="G1113" s="152" t="s">
        <v>201</v>
      </c>
      <c r="H1113" s="152" t="s">
        <v>106</v>
      </c>
      <c r="I1113" s="152"/>
    </row>
    <row r="1114" customFormat="false" ht="16.5" hidden="false" customHeight="true" outlineLevel="0" collapsed="false">
      <c r="A1114" s="151" t="n">
        <v>45880</v>
      </c>
      <c r="B1114" s="152" t="s">
        <v>1187</v>
      </c>
      <c r="C1114" s="153" t="n">
        <v>-16.82</v>
      </c>
      <c r="D1114" s="154" t="s">
        <v>97</v>
      </c>
      <c r="E1114" s="153"/>
      <c r="F1114" s="154"/>
      <c r="G1114" s="152" t="s">
        <v>212</v>
      </c>
      <c r="H1114" s="152" t="s">
        <v>106</v>
      </c>
      <c r="I1114" s="152"/>
    </row>
    <row r="1115" customFormat="false" ht="16.5" hidden="false" customHeight="true" outlineLevel="0" collapsed="false">
      <c r="A1115" s="151" t="n">
        <v>45877</v>
      </c>
      <c r="B1115" s="152" t="s">
        <v>1188</v>
      </c>
      <c r="C1115" s="153" t="n">
        <v>242.67</v>
      </c>
      <c r="D1115" s="154" t="s">
        <v>97</v>
      </c>
      <c r="E1115" s="153"/>
      <c r="F1115" s="154"/>
      <c r="G1115" s="152" t="s">
        <v>198</v>
      </c>
      <c r="H1115" s="152" t="s">
        <v>106</v>
      </c>
      <c r="I1115" s="152"/>
    </row>
    <row r="1116" customFormat="false" ht="16.5" hidden="false" customHeight="true" outlineLevel="0" collapsed="false">
      <c r="A1116" s="151" t="n">
        <v>45877</v>
      </c>
      <c r="B1116" s="152" t="s">
        <v>1189</v>
      </c>
      <c r="C1116" s="153" t="n">
        <v>265.88</v>
      </c>
      <c r="D1116" s="154" t="s">
        <v>97</v>
      </c>
      <c r="E1116" s="153"/>
      <c r="F1116" s="154"/>
      <c r="G1116" s="152" t="s">
        <v>215</v>
      </c>
      <c r="H1116" s="152" t="s">
        <v>106</v>
      </c>
      <c r="I1116" s="152"/>
    </row>
    <row r="1117" customFormat="false" ht="16.5" hidden="false" customHeight="true" outlineLevel="0" collapsed="false">
      <c r="A1117" s="151" t="n">
        <v>45876</v>
      </c>
      <c r="B1117" s="152" t="s">
        <v>1190</v>
      </c>
      <c r="C1117" s="153" t="n">
        <v>-10.35</v>
      </c>
      <c r="D1117" s="154" t="s">
        <v>97</v>
      </c>
      <c r="E1117" s="153"/>
      <c r="F1117" s="154"/>
      <c r="G1117" s="152" t="s">
        <v>222</v>
      </c>
      <c r="H1117" s="152" t="s">
        <v>106</v>
      </c>
      <c r="I1117" s="152"/>
    </row>
    <row r="1118" customFormat="false" ht="16.5" hidden="false" customHeight="true" outlineLevel="0" collapsed="false">
      <c r="A1118" s="151" t="n">
        <v>45876</v>
      </c>
      <c r="B1118" s="152" t="s">
        <v>1191</v>
      </c>
      <c r="C1118" s="153" t="n">
        <v>-5.39</v>
      </c>
      <c r="D1118" s="154" t="s">
        <v>97</v>
      </c>
      <c r="E1118" s="153"/>
      <c r="F1118" s="154"/>
      <c r="G1118" s="152" t="s">
        <v>218</v>
      </c>
      <c r="H1118" s="152" t="s">
        <v>106</v>
      </c>
      <c r="I1118" s="152"/>
    </row>
    <row r="1119" customFormat="false" ht="16.5" hidden="false" customHeight="true" outlineLevel="0" collapsed="false">
      <c r="A1119" s="151" t="n">
        <v>45874</v>
      </c>
      <c r="B1119" s="152" t="s">
        <v>1192</v>
      </c>
      <c r="C1119" s="153" t="n">
        <v>-45.63</v>
      </c>
      <c r="D1119" s="154" t="s">
        <v>97</v>
      </c>
      <c r="E1119" s="153"/>
      <c r="F1119" s="154"/>
      <c r="G1119" s="152" t="s">
        <v>197</v>
      </c>
      <c r="H1119" s="152" t="s">
        <v>106</v>
      </c>
      <c r="I1119" s="152"/>
    </row>
    <row r="1120" customFormat="false" ht="16.5" hidden="false" customHeight="true" outlineLevel="0" collapsed="false">
      <c r="A1120" s="151" t="n">
        <v>45874</v>
      </c>
      <c r="B1120" s="152" t="s">
        <v>1193</v>
      </c>
      <c r="C1120" s="153" t="n">
        <v>-42.81</v>
      </c>
      <c r="D1120" s="154" t="s">
        <v>97</v>
      </c>
      <c r="E1120" s="153"/>
      <c r="F1120" s="154"/>
      <c r="G1120" s="152" t="s">
        <v>203</v>
      </c>
      <c r="H1120" s="152" t="s">
        <v>106</v>
      </c>
      <c r="I1120" s="152"/>
    </row>
    <row r="1121" customFormat="false" ht="16.5" hidden="false" customHeight="true" outlineLevel="0" collapsed="false">
      <c r="A1121" s="151" t="n">
        <v>45874</v>
      </c>
      <c r="B1121" s="152" t="s">
        <v>1194</v>
      </c>
      <c r="C1121" s="153" t="n">
        <v>99.97</v>
      </c>
      <c r="D1121" s="154" t="s">
        <v>97</v>
      </c>
      <c r="E1121" s="153"/>
      <c r="F1121" s="154" t="s">
        <v>1195</v>
      </c>
      <c r="G1121" s="152" t="s">
        <v>190</v>
      </c>
      <c r="H1121" s="152" t="s">
        <v>106</v>
      </c>
      <c r="I1121" s="152"/>
    </row>
    <row r="1122" customFormat="false" ht="16.5" hidden="false" customHeight="true" outlineLevel="0" collapsed="false">
      <c r="A1122" s="151" t="n">
        <v>45873</v>
      </c>
      <c r="B1122" s="152" t="s">
        <v>1196</v>
      </c>
      <c r="C1122" s="153" t="n">
        <v>99.97</v>
      </c>
      <c r="D1122" s="154" t="s">
        <v>97</v>
      </c>
      <c r="E1122" s="153"/>
      <c r="F1122" s="154" t="s">
        <v>1197</v>
      </c>
      <c r="G1122" s="152" t="s">
        <v>190</v>
      </c>
      <c r="H1122" s="152" t="s">
        <v>106</v>
      </c>
      <c r="I1122" s="152"/>
    </row>
    <row r="1123" customFormat="false" ht="16.5" hidden="false" customHeight="true" outlineLevel="0" collapsed="false">
      <c r="A1123" s="151" t="n">
        <v>45874</v>
      </c>
      <c r="B1123" s="152"/>
      <c r="C1123" s="153" t="n">
        <v>-99.97</v>
      </c>
      <c r="D1123" s="154" t="s">
        <v>97</v>
      </c>
      <c r="E1123" s="153"/>
      <c r="F1123" s="154" t="s">
        <v>1195</v>
      </c>
      <c r="G1123" s="152" t="s">
        <v>190</v>
      </c>
      <c r="H1123" s="152" t="s">
        <v>132</v>
      </c>
      <c r="I1123" s="152"/>
    </row>
    <row r="1124" customFormat="false" ht="16.5" hidden="false" customHeight="true" outlineLevel="0" collapsed="false">
      <c r="A1124" s="151" t="n">
        <v>45873</v>
      </c>
      <c r="B1124" s="152"/>
      <c r="C1124" s="153" t="n">
        <v>-99.97</v>
      </c>
      <c r="D1124" s="154" t="s">
        <v>97</v>
      </c>
      <c r="E1124" s="153"/>
      <c r="F1124" s="154" t="s">
        <v>1197</v>
      </c>
      <c r="G1124" s="152" t="s">
        <v>190</v>
      </c>
      <c r="H1124" s="152" t="s">
        <v>133</v>
      </c>
      <c r="I1124" s="152"/>
    </row>
    <row r="1125" customFormat="false" ht="16.5" hidden="false" customHeight="true" outlineLevel="0" collapsed="false">
      <c r="A1125" s="151" t="n">
        <v>45874</v>
      </c>
      <c r="B1125" s="152" t="s">
        <v>60</v>
      </c>
      <c r="C1125" s="153" t="n">
        <v>21793.24</v>
      </c>
      <c r="D1125" s="154" t="s">
        <v>97</v>
      </c>
      <c r="E1125" s="153"/>
      <c r="F1125" s="154"/>
      <c r="G1125" s="152" t="s">
        <v>315</v>
      </c>
      <c r="H1125" s="152" t="s">
        <v>132</v>
      </c>
      <c r="I1125" s="152"/>
    </row>
    <row r="1126" customFormat="false" ht="16.5" hidden="false" customHeight="true" outlineLevel="0" collapsed="false">
      <c r="A1126" s="151" t="n">
        <v>45873</v>
      </c>
      <c r="B1126" s="152" t="s">
        <v>60</v>
      </c>
      <c r="C1126" s="153" t="n">
        <v>8500.24</v>
      </c>
      <c r="D1126" s="154" t="s">
        <v>97</v>
      </c>
      <c r="E1126" s="153"/>
      <c r="F1126" s="154"/>
      <c r="G1126" s="152" t="s">
        <v>315</v>
      </c>
      <c r="H1126" s="152" t="s">
        <v>133</v>
      </c>
      <c r="I1126" s="152"/>
    </row>
    <row r="1127" customFormat="false" ht="16.5" hidden="false" customHeight="true" outlineLevel="0" collapsed="false">
      <c r="A1127" s="151" t="n">
        <v>45885</v>
      </c>
      <c r="B1127" s="152" t="s">
        <v>60</v>
      </c>
      <c r="C1127" s="153" t="n">
        <v>4096.29</v>
      </c>
      <c r="D1127" s="154" t="s">
        <v>97</v>
      </c>
      <c r="E1127" s="153"/>
      <c r="F1127" s="154"/>
      <c r="G1127" s="152" t="s">
        <v>315</v>
      </c>
      <c r="H1127" s="152" t="s">
        <v>106</v>
      </c>
      <c r="I1127" s="152"/>
    </row>
    <row r="1128" customFormat="false" ht="16.5" hidden="false" customHeight="true" outlineLevel="0" collapsed="false">
      <c r="A1128" s="151" t="n">
        <v>45901</v>
      </c>
      <c r="B1128" s="152" t="s">
        <v>1198</v>
      </c>
      <c r="C1128" s="153" t="n">
        <v>-49.45</v>
      </c>
      <c r="D1128" s="154" t="s">
        <v>97</v>
      </c>
      <c r="E1128" s="153"/>
      <c r="F1128" s="154"/>
      <c r="G1128" s="152" t="s">
        <v>165</v>
      </c>
      <c r="H1128" s="152" t="s">
        <v>106</v>
      </c>
      <c r="I1128" s="152"/>
    </row>
    <row r="1129" customFormat="false" ht="16.5" hidden="false" customHeight="true" outlineLevel="0" collapsed="false">
      <c r="A1129" s="151" t="n">
        <v>45901</v>
      </c>
      <c r="B1129" s="152" t="s">
        <v>992</v>
      </c>
      <c r="C1129" s="153" t="n">
        <v>-339.37</v>
      </c>
      <c r="D1129" s="154" t="s">
        <v>97</v>
      </c>
      <c r="E1129" s="153"/>
      <c r="F1129" s="154"/>
      <c r="G1129" s="152" t="s">
        <v>162</v>
      </c>
      <c r="H1129" s="152" t="s">
        <v>106</v>
      </c>
      <c r="I1129" s="152"/>
    </row>
    <row r="1130" customFormat="false" ht="16.5" hidden="false" customHeight="true" outlineLevel="0" collapsed="false">
      <c r="A1130" s="151" t="n">
        <v>45901</v>
      </c>
      <c r="B1130" s="152" t="s">
        <v>1199</v>
      </c>
      <c r="C1130" s="153" t="n">
        <v>616.41</v>
      </c>
      <c r="D1130" s="154" t="s">
        <v>97</v>
      </c>
      <c r="E1130" s="153"/>
      <c r="F1130" s="154"/>
      <c r="G1130" s="152" t="s">
        <v>194</v>
      </c>
      <c r="H1130" s="152" t="s">
        <v>106</v>
      </c>
      <c r="I1130" s="152"/>
    </row>
    <row r="1131" customFormat="false" ht="16.5" hidden="false" customHeight="true" outlineLevel="0" collapsed="false">
      <c r="A1131" s="151" t="n">
        <v>45901</v>
      </c>
      <c r="B1131" s="152" t="s">
        <v>1200</v>
      </c>
      <c r="C1131" s="153" t="n">
        <v>275.25</v>
      </c>
      <c r="D1131" s="154" t="s">
        <v>97</v>
      </c>
      <c r="E1131" s="153"/>
      <c r="F1131" s="154"/>
      <c r="G1131" s="152" t="s">
        <v>206</v>
      </c>
      <c r="H1131" s="152" t="s">
        <v>106</v>
      </c>
      <c r="I1131" s="152"/>
    </row>
    <row r="1132" customFormat="false" ht="16.5" hidden="false" customHeight="true" outlineLevel="0" collapsed="false">
      <c r="A1132" s="151" t="n">
        <v>45901</v>
      </c>
      <c r="B1132" s="152" t="s">
        <v>1201</v>
      </c>
      <c r="C1132" s="153" t="n">
        <v>103.44</v>
      </c>
      <c r="D1132" s="154" t="s">
        <v>97</v>
      </c>
      <c r="E1132" s="153"/>
      <c r="F1132" s="154"/>
      <c r="G1132" s="152" t="s">
        <v>206</v>
      </c>
      <c r="H1132" s="152" t="s">
        <v>106</v>
      </c>
      <c r="I1132" s="152"/>
    </row>
    <row r="1133" customFormat="false" ht="16.5" hidden="false" customHeight="true" outlineLevel="0" collapsed="false">
      <c r="A1133" s="151" t="n">
        <v>45901</v>
      </c>
      <c r="B1133" s="152" t="s">
        <v>1202</v>
      </c>
      <c r="C1133" s="153" t="n">
        <v>-129.95</v>
      </c>
      <c r="D1133" s="154" t="s">
        <v>97</v>
      </c>
      <c r="E1133" s="153"/>
      <c r="F1133" s="154"/>
      <c r="G1133" s="152" t="s">
        <v>168</v>
      </c>
      <c r="H1133" s="152" t="s">
        <v>106</v>
      </c>
      <c r="I1133" s="152"/>
    </row>
    <row r="1134" customFormat="false" ht="16.5" hidden="false" customHeight="true" outlineLevel="0" collapsed="false">
      <c r="A1134" s="151" t="n">
        <v>45901</v>
      </c>
      <c r="B1134" s="152" t="s">
        <v>1203</v>
      </c>
      <c r="C1134" s="153" t="n">
        <v>-57.6</v>
      </c>
      <c r="D1134" s="154" t="s">
        <v>97</v>
      </c>
      <c r="E1134" s="153"/>
      <c r="F1134" s="154"/>
      <c r="G1134" s="152" t="s">
        <v>213</v>
      </c>
      <c r="H1134" s="152" t="s">
        <v>106</v>
      </c>
      <c r="I1134" s="152"/>
    </row>
    <row r="1135" customFormat="false" ht="16.5" hidden="false" customHeight="true" outlineLevel="0" collapsed="false">
      <c r="A1135" s="151" t="n">
        <v>45901</v>
      </c>
      <c r="B1135" s="152" t="s">
        <v>1204</v>
      </c>
      <c r="C1135" s="153" t="n">
        <v>-52.67</v>
      </c>
      <c r="D1135" s="154" t="s">
        <v>97</v>
      </c>
      <c r="E1135" s="153"/>
      <c r="F1135" s="154"/>
      <c r="G1135" s="152" t="s">
        <v>213</v>
      </c>
      <c r="H1135" s="152" t="s">
        <v>106</v>
      </c>
      <c r="I1135" s="152"/>
    </row>
    <row r="1136" customFormat="false" ht="16.5" hidden="false" customHeight="true" outlineLevel="0" collapsed="false">
      <c r="A1136" s="151" t="n">
        <v>45901</v>
      </c>
      <c r="B1136" s="152" t="s">
        <v>1205</v>
      </c>
      <c r="C1136" s="153" t="n">
        <v>-43.07</v>
      </c>
      <c r="D1136" s="154" t="s">
        <v>97</v>
      </c>
      <c r="E1136" s="153"/>
      <c r="F1136" s="154"/>
      <c r="G1136" s="152" t="s">
        <v>168</v>
      </c>
      <c r="H1136" s="152" t="s">
        <v>106</v>
      </c>
      <c r="I1136" s="152"/>
    </row>
    <row r="1137" customFormat="false" ht="16.5" hidden="false" customHeight="true" outlineLevel="0" collapsed="false">
      <c r="A1137" s="151" t="n">
        <v>45901</v>
      </c>
      <c r="B1137" s="152" t="s">
        <v>1206</v>
      </c>
      <c r="C1137" s="153" t="n">
        <v>-25.39</v>
      </c>
      <c r="D1137" s="154" t="s">
        <v>97</v>
      </c>
      <c r="E1137" s="153"/>
      <c r="F1137" s="154"/>
      <c r="G1137" s="152" t="s">
        <v>213</v>
      </c>
      <c r="H1137" s="152" t="s">
        <v>106</v>
      </c>
      <c r="I1137" s="152"/>
    </row>
    <row r="1138" customFormat="false" ht="16.5" hidden="false" customHeight="true" outlineLevel="0" collapsed="false">
      <c r="A1138" s="151" t="n">
        <v>45901</v>
      </c>
      <c r="B1138" s="152" t="s">
        <v>1207</v>
      </c>
      <c r="C1138" s="153" t="n">
        <v>-21.07</v>
      </c>
      <c r="D1138" s="154" t="s">
        <v>97</v>
      </c>
      <c r="E1138" s="153"/>
      <c r="F1138" s="154"/>
      <c r="G1138" s="152" t="s">
        <v>213</v>
      </c>
      <c r="H1138" s="152" t="s">
        <v>106</v>
      </c>
      <c r="I1138" s="152"/>
    </row>
    <row r="1139" customFormat="false" ht="16.5" hidden="false" customHeight="true" outlineLevel="0" collapsed="false">
      <c r="A1139" s="151" t="n">
        <v>45901</v>
      </c>
      <c r="B1139" s="152" t="s">
        <v>1208</v>
      </c>
      <c r="C1139" s="153" t="n">
        <v>-15.72</v>
      </c>
      <c r="D1139" s="154" t="s">
        <v>97</v>
      </c>
      <c r="E1139" s="153"/>
      <c r="F1139" s="154"/>
      <c r="G1139" s="152" t="s">
        <v>168</v>
      </c>
      <c r="H1139" s="152" t="s">
        <v>106</v>
      </c>
      <c r="I1139" s="152"/>
    </row>
    <row r="1140" customFormat="false" ht="16.5" hidden="false" customHeight="true" outlineLevel="0" collapsed="false">
      <c r="A1140" s="151" t="n">
        <v>45901</v>
      </c>
      <c r="B1140" s="152" t="s">
        <v>1209</v>
      </c>
      <c r="C1140" s="153" t="n">
        <v>-15.5</v>
      </c>
      <c r="D1140" s="154" t="s">
        <v>97</v>
      </c>
      <c r="E1140" s="153"/>
      <c r="F1140" s="154"/>
      <c r="G1140" s="152" t="s">
        <v>213</v>
      </c>
      <c r="H1140" s="152" t="s">
        <v>106</v>
      </c>
      <c r="I1140" s="152"/>
    </row>
    <row r="1141" customFormat="false" ht="16.5" hidden="false" customHeight="true" outlineLevel="0" collapsed="false">
      <c r="A1141" s="151" t="n">
        <v>45901</v>
      </c>
      <c r="B1141" s="152" t="s">
        <v>1210</v>
      </c>
      <c r="C1141" s="153" t="n">
        <v>-14.6</v>
      </c>
      <c r="D1141" s="154" t="s">
        <v>97</v>
      </c>
      <c r="E1141" s="153"/>
      <c r="F1141" s="154"/>
      <c r="G1141" s="152" t="s">
        <v>213</v>
      </c>
      <c r="H1141" s="152" t="s">
        <v>106</v>
      </c>
      <c r="I1141" s="152"/>
    </row>
    <row r="1142" customFormat="false" ht="16.5" hidden="false" customHeight="true" outlineLevel="0" collapsed="false">
      <c r="A1142" s="151" t="n">
        <v>45901</v>
      </c>
      <c r="B1142" s="152" t="s">
        <v>1211</v>
      </c>
      <c r="C1142" s="153" t="n">
        <v>-13.19</v>
      </c>
      <c r="D1142" s="154" t="s">
        <v>97</v>
      </c>
      <c r="E1142" s="153"/>
      <c r="F1142" s="154"/>
      <c r="G1142" s="152" t="s">
        <v>213</v>
      </c>
      <c r="H1142" s="152" t="s">
        <v>106</v>
      </c>
      <c r="I1142" s="152"/>
    </row>
    <row r="1143" customFormat="false" ht="16.5" hidden="false" customHeight="true" outlineLevel="0" collapsed="false">
      <c r="A1143" s="151" t="n">
        <v>45901</v>
      </c>
      <c r="B1143" s="152" t="s">
        <v>1212</v>
      </c>
      <c r="C1143" s="153" t="n">
        <v>-12.28</v>
      </c>
      <c r="D1143" s="154" t="s">
        <v>97</v>
      </c>
      <c r="E1143" s="153"/>
      <c r="F1143" s="154"/>
      <c r="G1143" s="152" t="s">
        <v>213</v>
      </c>
      <c r="H1143" s="152" t="s">
        <v>106</v>
      </c>
      <c r="I1143" s="152"/>
    </row>
    <row r="1144" customFormat="false" ht="16.5" hidden="false" customHeight="true" outlineLevel="0" collapsed="false">
      <c r="A1144" s="151" t="n">
        <v>45901</v>
      </c>
      <c r="B1144" s="152" t="s">
        <v>1213</v>
      </c>
      <c r="C1144" s="153" t="n">
        <v>-8.02</v>
      </c>
      <c r="D1144" s="154" t="s">
        <v>97</v>
      </c>
      <c r="E1144" s="153"/>
      <c r="F1144" s="154"/>
      <c r="G1144" s="152" t="s">
        <v>164</v>
      </c>
      <c r="H1144" s="152" t="s">
        <v>106</v>
      </c>
      <c r="I1144" s="152"/>
    </row>
    <row r="1145" customFormat="false" ht="16.5" hidden="false" customHeight="true" outlineLevel="0" collapsed="false">
      <c r="A1145" s="151" t="n">
        <v>45901</v>
      </c>
      <c r="B1145" s="152" t="s">
        <v>1214</v>
      </c>
      <c r="C1145" s="153" t="n">
        <v>-7.42</v>
      </c>
      <c r="D1145" s="154" t="s">
        <v>97</v>
      </c>
      <c r="E1145" s="153"/>
      <c r="F1145" s="154"/>
      <c r="G1145" s="152" t="s">
        <v>231</v>
      </c>
      <c r="H1145" s="152" t="s">
        <v>106</v>
      </c>
      <c r="I1145" s="152"/>
    </row>
    <row r="1146" customFormat="false" ht="16.5" hidden="false" customHeight="true" outlineLevel="0" collapsed="false">
      <c r="A1146" s="151" t="n">
        <v>45901</v>
      </c>
      <c r="B1146" s="152" t="s">
        <v>1215</v>
      </c>
      <c r="C1146" s="153" t="n">
        <v>-6.94</v>
      </c>
      <c r="D1146" s="154" t="s">
        <v>97</v>
      </c>
      <c r="E1146" s="153"/>
      <c r="F1146" s="154"/>
      <c r="G1146" s="152" t="s">
        <v>213</v>
      </c>
      <c r="H1146" s="152" t="s">
        <v>106</v>
      </c>
      <c r="I1146" s="152"/>
    </row>
    <row r="1147" customFormat="false" ht="16.5" hidden="false" customHeight="true" outlineLevel="0" collapsed="false">
      <c r="A1147" s="151" t="n">
        <v>45901</v>
      </c>
      <c r="B1147" s="152" t="s">
        <v>1216</v>
      </c>
      <c r="C1147" s="153" t="n">
        <v>-6.45</v>
      </c>
      <c r="D1147" s="154" t="s">
        <v>97</v>
      </c>
      <c r="E1147" s="153"/>
      <c r="F1147" s="154"/>
      <c r="G1147" s="152" t="s">
        <v>213</v>
      </c>
      <c r="H1147" s="152" t="s">
        <v>106</v>
      </c>
      <c r="I1147" s="152"/>
    </row>
    <row r="1148" customFormat="false" ht="16.5" hidden="false" customHeight="true" outlineLevel="0" collapsed="false">
      <c r="A1148" s="151" t="n">
        <v>45901</v>
      </c>
      <c r="B1148" s="152" t="s">
        <v>1217</v>
      </c>
      <c r="C1148" s="153" t="n">
        <v>-4.52</v>
      </c>
      <c r="D1148" s="154" t="s">
        <v>97</v>
      </c>
      <c r="E1148" s="153"/>
      <c r="F1148" s="154"/>
      <c r="G1148" s="152" t="s">
        <v>213</v>
      </c>
      <c r="H1148" s="152" t="s">
        <v>106</v>
      </c>
      <c r="I1148" s="152"/>
    </row>
    <row r="1149" customFormat="false" ht="16.5" hidden="false" customHeight="true" outlineLevel="0" collapsed="false">
      <c r="A1149" s="151" t="n">
        <v>45901</v>
      </c>
      <c r="B1149" s="152" t="s">
        <v>1218</v>
      </c>
      <c r="C1149" s="153" t="n">
        <v>-3.61</v>
      </c>
      <c r="D1149" s="154" t="s">
        <v>97</v>
      </c>
      <c r="E1149" s="153"/>
      <c r="F1149" s="154"/>
      <c r="G1149" s="152" t="s">
        <v>168</v>
      </c>
      <c r="H1149" s="152" t="s">
        <v>106</v>
      </c>
      <c r="I1149" s="152"/>
    </row>
    <row r="1150" customFormat="false" ht="16.5" hidden="false" customHeight="true" outlineLevel="0" collapsed="false">
      <c r="A1150" s="151" t="n">
        <v>45901</v>
      </c>
      <c r="B1150" s="152" t="s">
        <v>1219</v>
      </c>
      <c r="C1150" s="153" t="n">
        <v>-3.57</v>
      </c>
      <c r="D1150" s="154" t="s">
        <v>97</v>
      </c>
      <c r="E1150" s="153"/>
      <c r="F1150" s="154"/>
      <c r="G1150" s="152" t="s">
        <v>231</v>
      </c>
      <c r="H1150" s="152" t="s">
        <v>106</v>
      </c>
      <c r="I1150" s="152"/>
    </row>
    <row r="1151" customFormat="false" ht="16.5" hidden="false" customHeight="true" outlineLevel="0" collapsed="false">
      <c r="A1151" s="151" t="n">
        <v>45901</v>
      </c>
      <c r="B1151" s="152" t="s">
        <v>1220</v>
      </c>
      <c r="C1151" s="153" t="n">
        <v>-3.07</v>
      </c>
      <c r="D1151" s="154" t="s">
        <v>97</v>
      </c>
      <c r="E1151" s="153"/>
      <c r="F1151" s="154"/>
      <c r="G1151" s="152" t="s">
        <v>213</v>
      </c>
      <c r="H1151" s="152" t="s">
        <v>106</v>
      </c>
      <c r="I1151" s="152"/>
    </row>
    <row r="1152" customFormat="false" ht="16.5" hidden="false" customHeight="true" outlineLevel="0" collapsed="false">
      <c r="A1152" s="151" t="n">
        <v>45901</v>
      </c>
      <c r="B1152" s="152" t="s">
        <v>1221</v>
      </c>
      <c r="C1152" s="153" t="n">
        <v>-2.81</v>
      </c>
      <c r="D1152" s="154" t="s">
        <v>97</v>
      </c>
      <c r="E1152" s="153"/>
      <c r="F1152" s="154"/>
      <c r="G1152" s="152" t="s">
        <v>210</v>
      </c>
      <c r="H1152" s="152" t="s">
        <v>106</v>
      </c>
      <c r="I1152" s="152"/>
    </row>
    <row r="1153" customFormat="false" ht="16.5" hidden="false" customHeight="true" outlineLevel="0" collapsed="false">
      <c r="A1153" s="151" t="n">
        <v>45901</v>
      </c>
      <c r="B1153" s="152" t="s">
        <v>1222</v>
      </c>
      <c r="C1153" s="153" t="n">
        <v>-2.41</v>
      </c>
      <c r="D1153" s="154" t="s">
        <v>97</v>
      </c>
      <c r="E1153" s="153"/>
      <c r="F1153" s="154"/>
      <c r="G1153" s="152" t="s">
        <v>168</v>
      </c>
      <c r="H1153" s="152" t="s">
        <v>106</v>
      </c>
      <c r="I1153" s="152"/>
    </row>
    <row r="1154" customFormat="false" ht="16.5" hidden="false" customHeight="true" outlineLevel="0" collapsed="false">
      <c r="A1154" s="151" t="n">
        <v>45901</v>
      </c>
      <c r="B1154" s="152" t="s">
        <v>1223</v>
      </c>
      <c r="C1154" s="153" t="n">
        <v>-2.41</v>
      </c>
      <c r="D1154" s="154" t="s">
        <v>97</v>
      </c>
      <c r="E1154" s="153"/>
      <c r="F1154" s="154"/>
      <c r="G1154" s="152" t="s">
        <v>168</v>
      </c>
      <c r="H1154" s="152" t="s">
        <v>106</v>
      </c>
      <c r="I1154" s="152"/>
    </row>
    <row r="1155" customFormat="false" ht="16.5" hidden="false" customHeight="true" outlineLevel="0" collapsed="false">
      <c r="A1155" s="151" t="n">
        <v>45901</v>
      </c>
      <c r="B1155" s="152" t="s">
        <v>1224</v>
      </c>
      <c r="C1155" s="153" t="n">
        <v>-2.41</v>
      </c>
      <c r="D1155" s="154" t="s">
        <v>97</v>
      </c>
      <c r="E1155" s="153"/>
      <c r="F1155" s="154"/>
      <c r="G1155" s="152" t="s">
        <v>213</v>
      </c>
      <c r="H1155" s="152" t="s">
        <v>106</v>
      </c>
      <c r="I1155" s="152"/>
    </row>
    <row r="1156" customFormat="false" ht="16.5" hidden="false" customHeight="true" outlineLevel="0" collapsed="false">
      <c r="A1156" s="151" t="n">
        <v>45901</v>
      </c>
      <c r="B1156" s="152" t="s">
        <v>1225</v>
      </c>
      <c r="C1156" s="153" t="n">
        <v>-2.34</v>
      </c>
      <c r="D1156" s="154" t="s">
        <v>97</v>
      </c>
      <c r="E1156" s="153"/>
      <c r="F1156" s="154"/>
      <c r="G1156" s="152" t="s">
        <v>211</v>
      </c>
      <c r="H1156" s="152" t="s">
        <v>106</v>
      </c>
      <c r="I1156" s="152"/>
    </row>
    <row r="1157" customFormat="false" ht="16.5" hidden="false" customHeight="true" outlineLevel="0" collapsed="false">
      <c r="A1157" s="151" t="n">
        <v>45901</v>
      </c>
      <c r="B1157" s="152" t="s">
        <v>1226</v>
      </c>
      <c r="C1157" s="153" t="n">
        <v>-2.19</v>
      </c>
      <c r="D1157" s="154" t="s">
        <v>97</v>
      </c>
      <c r="E1157" s="153"/>
      <c r="F1157" s="154"/>
      <c r="G1157" s="152" t="s">
        <v>213</v>
      </c>
      <c r="H1157" s="152" t="s">
        <v>106</v>
      </c>
      <c r="I1157" s="152"/>
    </row>
    <row r="1158" customFormat="false" ht="16.5" hidden="false" customHeight="true" outlineLevel="0" collapsed="false">
      <c r="A1158" s="151" t="n">
        <v>45901</v>
      </c>
      <c r="B1158" s="152" t="s">
        <v>1227</v>
      </c>
      <c r="C1158" s="153" t="n">
        <v>-1.8</v>
      </c>
      <c r="D1158" s="154" t="s">
        <v>97</v>
      </c>
      <c r="E1158" s="153"/>
      <c r="F1158" s="154"/>
      <c r="G1158" s="152" t="s">
        <v>167</v>
      </c>
      <c r="H1158" s="152" t="s">
        <v>106</v>
      </c>
      <c r="I1158" s="152"/>
    </row>
    <row r="1159" customFormat="false" ht="16.5" hidden="false" customHeight="true" outlineLevel="0" collapsed="false">
      <c r="A1159" s="151" t="n">
        <v>45901</v>
      </c>
      <c r="B1159" s="152" t="s">
        <v>1228</v>
      </c>
      <c r="C1159" s="153" t="n">
        <v>-1.8</v>
      </c>
      <c r="D1159" s="154" t="s">
        <v>97</v>
      </c>
      <c r="E1159" s="153"/>
      <c r="F1159" s="154"/>
      <c r="G1159" s="152" t="s">
        <v>168</v>
      </c>
      <c r="H1159" s="152" t="s">
        <v>106</v>
      </c>
      <c r="I1159" s="152"/>
    </row>
    <row r="1160" customFormat="false" ht="16.5" hidden="false" customHeight="true" outlineLevel="0" collapsed="false">
      <c r="A1160" s="151" t="n">
        <v>45901</v>
      </c>
      <c r="B1160" s="152" t="s">
        <v>1229</v>
      </c>
      <c r="C1160" s="153" t="n">
        <v>-1.38</v>
      </c>
      <c r="D1160" s="154" t="s">
        <v>97</v>
      </c>
      <c r="E1160" s="153"/>
      <c r="F1160" s="154"/>
      <c r="G1160" s="152" t="s">
        <v>167</v>
      </c>
      <c r="H1160" s="152" t="s">
        <v>106</v>
      </c>
      <c r="I1160" s="152"/>
    </row>
    <row r="1161" customFormat="false" ht="16.5" hidden="false" customHeight="true" outlineLevel="0" collapsed="false">
      <c r="A1161" s="151" t="n">
        <v>45901</v>
      </c>
      <c r="B1161" s="152" t="s">
        <v>1230</v>
      </c>
      <c r="C1161" s="153" t="n">
        <v>-0.99</v>
      </c>
      <c r="D1161" s="154" t="s">
        <v>97</v>
      </c>
      <c r="E1161" s="153"/>
      <c r="F1161" s="154"/>
      <c r="G1161" s="152" t="s">
        <v>42</v>
      </c>
      <c r="H1161" s="152" t="s">
        <v>106</v>
      </c>
      <c r="I1161" s="152"/>
    </row>
    <row r="1162" customFormat="false" ht="16.5" hidden="false" customHeight="true" outlineLevel="0" collapsed="false">
      <c r="A1162" s="151" t="n">
        <v>45901</v>
      </c>
      <c r="B1162" s="152" t="s">
        <v>1231</v>
      </c>
      <c r="C1162" s="153" t="n">
        <v>-0.99</v>
      </c>
      <c r="D1162" s="154" t="s">
        <v>97</v>
      </c>
      <c r="E1162" s="153"/>
      <c r="F1162" s="154"/>
      <c r="G1162" s="152" t="s">
        <v>42</v>
      </c>
      <c r="H1162" s="152" t="s">
        <v>106</v>
      </c>
      <c r="I1162" s="152"/>
    </row>
    <row r="1163" customFormat="false" ht="16.5" hidden="false" customHeight="true" outlineLevel="0" collapsed="false">
      <c r="A1163" s="151" t="n">
        <v>45901</v>
      </c>
      <c r="B1163" s="152" t="s">
        <v>1232</v>
      </c>
      <c r="C1163" s="153" t="n">
        <v>-0.99</v>
      </c>
      <c r="D1163" s="154" t="s">
        <v>97</v>
      </c>
      <c r="E1163" s="153"/>
      <c r="F1163" s="154"/>
      <c r="G1163" s="152" t="s">
        <v>167</v>
      </c>
      <c r="H1163" s="152" t="s">
        <v>106</v>
      </c>
      <c r="I1163" s="152"/>
    </row>
    <row r="1164" customFormat="false" ht="16.5" hidden="false" customHeight="true" outlineLevel="0" collapsed="false">
      <c r="A1164" s="151" t="n">
        <v>45901</v>
      </c>
      <c r="B1164" s="152" t="s">
        <v>1233</v>
      </c>
      <c r="C1164" s="153" t="n">
        <v>-0.8</v>
      </c>
      <c r="D1164" s="154" t="s">
        <v>97</v>
      </c>
      <c r="E1164" s="153"/>
      <c r="F1164" s="154"/>
      <c r="G1164" s="152" t="s">
        <v>213</v>
      </c>
      <c r="H1164" s="152" t="s">
        <v>106</v>
      </c>
      <c r="I1164" s="152"/>
    </row>
    <row r="1165" customFormat="false" ht="16.5" hidden="false" customHeight="true" outlineLevel="0" collapsed="false">
      <c r="A1165" s="151" t="n">
        <v>45901</v>
      </c>
      <c r="B1165" s="152" t="s">
        <v>1234</v>
      </c>
      <c r="C1165" s="153" t="n">
        <v>-0.6</v>
      </c>
      <c r="D1165" s="154" t="s">
        <v>97</v>
      </c>
      <c r="E1165" s="153"/>
      <c r="F1165" s="154"/>
      <c r="G1165" s="152" t="s">
        <v>210</v>
      </c>
      <c r="H1165" s="152" t="s">
        <v>106</v>
      </c>
      <c r="I1165" s="152"/>
    </row>
    <row r="1166" customFormat="false" ht="16.5" hidden="false" customHeight="true" outlineLevel="0" collapsed="false">
      <c r="A1166" s="151" t="n">
        <v>45901</v>
      </c>
      <c r="B1166" s="152" t="s">
        <v>1235</v>
      </c>
      <c r="C1166" s="153" t="n">
        <v>-0.25</v>
      </c>
      <c r="D1166" s="154" t="s">
        <v>97</v>
      </c>
      <c r="E1166" s="153"/>
      <c r="F1166" s="154"/>
      <c r="G1166" s="152" t="s">
        <v>213</v>
      </c>
      <c r="H1166" s="152" t="s">
        <v>106</v>
      </c>
      <c r="I1166" s="152"/>
    </row>
    <row r="1167" customFormat="false" ht="16.5" hidden="false" customHeight="true" outlineLevel="0" collapsed="false">
      <c r="A1167" s="151" t="n">
        <v>45901</v>
      </c>
      <c r="B1167" s="152" t="s">
        <v>1236</v>
      </c>
      <c r="C1167" s="153" t="n">
        <v>-0.24</v>
      </c>
      <c r="D1167" s="154" t="s">
        <v>97</v>
      </c>
      <c r="E1167" s="153"/>
      <c r="F1167" s="154"/>
      <c r="G1167" s="152" t="s">
        <v>213</v>
      </c>
      <c r="H1167" s="152" t="s">
        <v>106</v>
      </c>
      <c r="I1167" s="152"/>
    </row>
    <row r="1168" customFormat="false" ht="16.5" hidden="false" customHeight="true" outlineLevel="0" collapsed="false">
      <c r="A1168" s="151" t="n">
        <v>45901</v>
      </c>
      <c r="B1168" s="152" t="s">
        <v>1237</v>
      </c>
      <c r="C1168" s="153" t="n">
        <v>-0.24</v>
      </c>
      <c r="D1168" s="154" t="s">
        <v>97</v>
      </c>
      <c r="E1168" s="153"/>
      <c r="F1168" s="154"/>
      <c r="G1168" s="152" t="s">
        <v>213</v>
      </c>
      <c r="H1168" s="152" t="s">
        <v>106</v>
      </c>
      <c r="I1168" s="152"/>
    </row>
    <row r="1169" customFormat="false" ht="16.5" hidden="false" customHeight="true" outlineLevel="0" collapsed="false">
      <c r="A1169" s="151" t="n">
        <v>45898</v>
      </c>
      <c r="B1169" s="152" t="s">
        <v>1238</v>
      </c>
      <c r="C1169" s="153" t="n">
        <v>-1.6</v>
      </c>
      <c r="D1169" s="154" t="s">
        <v>97</v>
      </c>
      <c r="E1169" s="153"/>
      <c r="F1169" s="154"/>
      <c r="G1169" s="152" t="s">
        <v>219</v>
      </c>
      <c r="H1169" s="152" t="s">
        <v>106</v>
      </c>
      <c r="I1169" s="152"/>
    </row>
    <row r="1170" customFormat="false" ht="16.5" hidden="false" customHeight="true" outlineLevel="0" collapsed="false">
      <c r="A1170" s="151" t="n">
        <v>45897</v>
      </c>
      <c r="B1170" s="152" t="s">
        <v>1239</v>
      </c>
      <c r="C1170" s="153" t="n">
        <v>-23.16</v>
      </c>
      <c r="D1170" s="154" t="s">
        <v>97</v>
      </c>
      <c r="E1170" s="153"/>
      <c r="F1170" s="154"/>
      <c r="G1170" s="152" t="s">
        <v>202</v>
      </c>
      <c r="H1170" s="152" t="s">
        <v>106</v>
      </c>
      <c r="I1170" s="152"/>
    </row>
    <row r="1171" customFormat="false" ht="16.5" hidden="false" customHeight="true" outlineLevel="0" collapsed="false">
      <c r="A1171" s="151" t="n">
        <v>45894</v>
      </c>
      <c r="B1171" s="152" t="s">
        <v>1240</v>
      </c>
      <c r="C1171" s="153" t="n">
        <v>-1.4</v>
      </c>
      <c r="D1171" s="154" t="s">
        <v>97</v>
      </c>
      <c r="E1171" s="153"/>
      <c r="F1171" s="154"/>
      <c r="G1171" s="152" t="s">
        <v>226</v>
      </c>
      <c r="H1171" s="152" t="s">
        <v>106</v>
      </c>
      <c r="I1171" s="152"/>
    </row>
    <row r="1172" customFormat="false" ht="16.5" hidden="false" customHeight="true" outlineLevel="0" collapsed="false">
      <c r="A1172" s="151" t="n">
        <v>45890</v>
      </c>
      <c r="B1172" s="152" t="s">
        <v>1241</v>
      </c>
      <c r="C1172" s="153" t="n">
        <v>1.8</v>
      </c>
      <c r="D1172" s="154" t="s">
        <v>97</v>
      </c>
      <c r="E1172" s="153"/>
      <c r="F1172" s="154"/>
      <c r="G1172" s="152" t="s">
        <v>197</v>
      </c>
      <c r="H1172" s="152" t="s">
        <v>106</v>
      </c>
      <c r="I1172" s="152"/>
    </row>
    <row r="1173" customFormat="false" ht="16.5" hidden="false" customHeight="true" outlineLevel="0" collapsed="false">
      <c r="A1173" s="151" t="n">
        <v>45888</v>
      </c>
      <c r="B1173" s="152" t="s">
        <v>1242</v>
      </c>
      <c r="C1173" s="153" t="n">
        <v>-9.57</v>
      </c>
      <c r="D1173" s="154" t="s">
        <v>97</v>
      </c>
      <c r="E1173" s="153"/>
      <c r="F1173" s="154"/>
      <c r="G1173" s="152" t="s">
        <v>207</v>
      </c>
      <c r="H1173" s="152" t="s">
        <v>106</v>
      </c>
      <c r="I1173" s="152"/>
    </row>
    <row r="1174" customFormat="false" ht="16.5" hidden="false" customHeight="true" outlineLevel="0" collapsed="false">
      <c r="A1174" s="151" t="n">
        <v>45888</v>
      </c>
      <c r="B1174" s="152" t="s">
        <v>1243</v>
      </c>
      <c r="C1174" s="153" t="n">
        <v>-8.83</v>
      </c>
      <c r="D1174" s="154" t="s">
        <v>97</v>
      </c>
      <c r="E1174" s="153"/>
      <c r="F1174" s="154"/>
      <c r="G1174" s="152" t="s">
        <v>207</v>
      </c>
      <c r="H1174" s="152" t="s">
        <v>106</v>
      </c>
      <c r="I1174" s="152"/>
    </row>
    <row r="1175" customFormat="false" ht="16.5" hidden="false" customHeight="true" outlineLevel="0" collapsed="false">
      <c r="A1175" s="151" t="n">
        <v>45887</v>
      </c>
      <c r="B1175" s="152" t="s">
        <v>1244</v>
      </c>
      <c r="C1175" s="153" t="n">
        <v>-66.16</v>
      </c>
      <c r="D1175" s="154" t="s">
        <v>97</v>
      </c>
      <c r="E1175" s="153"/>
      <c r="F1175" s="154"/>
      <c r="G1175" s="152" t="s">
        <v>208</v>
      </c>
      <c r="H1175" s="152" t="s">
        <v>106</v>
      </c>
      <c r="I1175" s="152"/>
    </row>
    <row r="1176" customFormat="false" ht="16.5" hidden="false" customHeight="true" outlineLevel="0" collapsed="false">
      <c r="A1176" s="151" t="n">
        <v>45887</v>
      </c>
      <c r="B1176" s="152" t="s">
        <v>1245</v>
      </c>
      <c r="C1176" s="153" t="n">
        <v>-29.78</v>
      </c>
      <c r="D1176" s="154" t="s">
        <v>97</v>
      </c>
      <c r="E1176" s="153"/>
      <c r="F1176" s="154"/>
      <c r="G1176" s="152" t="s">
        <v>197</v>
      </c>
      <c r="H1176" s="152" t="s">
        <v>106</v>
      </c>
      <c r="I1176" s="152"/>
    </row>
    <row r="1177" customFormat="false" ht="16.5" hidden="false" customHeight="true" outlineLevel="0" collapsed="false">
      <c r="A1177" s="151" t="n">
        <v>45887</v>
      </c>
      <c r="B1177" s="152" t="s">
        <v>1246</v>
      </c>
      <c r="C1177" s="153" t="n">
        <v>-20</v>
      </c>
      <c r="D1177" s="154" t="s">
        <v>97</v>
      </c>
      <c r="E1177" s="153"/>
      <c r="F1177" s="154"/>
      <c r="G1177" s="152" t="s">
        <v>171</v>
      </c>
      <c r="H1177" s="152" t="s">
        <v>106</v>
      </c>
      <c r="I1177" s="152"/>
    </row>
    <row r="1178" customFormat="false" ht="16.5" hidden="false" customHeight="true" outlineLevel="0" collapsed="false">
      <c r="A1178" s="151" t="n">
        <v>45887</v>
      </c>
      <c r="B1178" s="152" t="s">
        <v>1247</v>
      </c>
      <c r="C1178" s="153" t="n">
        <v>-4.21</v>
      </c>
      <c r="D1178" s="154" t="s">
        <v>97</v>
      </c>
      <c r="E1178" s="153"/>
      <c r="F1178" s="154"/>
      <c r="G1178" s="152" t="s">
        <v>221</v>
      </c>
      <c r="H1178" s="152" t="s">
        <v>106</v>
      </c>
      <c r="I1178" s="152"/>
    </row>
    <row r="1179" customFormat="false" ht="16.5" hidden="false" customHeight="true" outlineLevel="0" collapsed="false">
      <c r="A1179" s="151" t="n">
        <v>45902</v>
      </c>
      <c r="B1179" s="152" t="s">
        <v>60</v>
      </c>
      <c r="C1179" s="153" t="n">
        <v>4070.28</v>
      </c>
      <c r="D1179" s="154" t="s">
        <v>97</v>
      </c>
      <c r="E1179" s="153"/>
      <c r="F1179" s="154"/>
      <c r="G1179" s="152" t="s">
        <v>315</v>
      </c>
      <c r="H1179" s="152" t="s">
        <v>106</v>
      </c>
      <c r="I1179" s="152"/>
    </row>
    <row r="1180" customFormat="false" ht="16.5" hidden="false" customHeight="true" outlineLevel="0" collapsed="false">
      <c r="A1180" s="151" t="n">
        <v>45902</v>
      </c>
      <c r="B1180" s="152" t="s">
        <v>692</v>
      </c>
      <c r="C1180" s="153" t="n">
        <v>-0.14</v>
      </c>
      <c r="D1180" s="154" t="s">
        <v>97</v>
      </c>
      <c r="E1180" s="153"/>
      <c r="F1180" s="154"/>
      <c r="G1180" s="152" t="s">
        <v>204</v>
      </c>
      <c r="H1180" s="152" t="s">
        <v>117</v>
      </c>
      <c r="I1180" s="152"/>
    </row>
    <row r="1181" customFormat="false" ht="16.5" hidden="false" customHeight="true" outlineLevel="0" collapsed="false">
      <c r="A1181" s="151" t="n">
        <v>45902</v>
      </c>
      <c r="B1181" s="152" t="s">
        <v>692</v>
      </c>
      <c r="C1181" s="159" t="n">
        <v>-1.09</v>
      </c>
      <c r="D1181" s="154" t="s">
        <v>103</v>
      </c>
      <c r="E1181" s="153"/>
      <c r="F1181" s="154"/>
      <c r="G1181" s="152" t="s">
        <v>204</v>
      </c>
      <c r="H1181" s="152" t="s">
        <v>125</v>
      </c>
      <c r="I1181" s="152"/>
    </row>
    <row r="1182" customFormat="false" ht="16.5" hidden="false" customHeight="true" outlineLevel="0" collapsed="false">
      <c r="A1182" s="151" t="n">
        <v>45902</v>
      </c>
      <c r="B1182" s="152" t="s">
        <v>60</v>
      </c>
      <c r="C1182" s="153" t="n">
        <v>997.36</v>
      </c>
      <c r="D1182" s="154" t="s">
        <v>97</v>
      </c>
      <c r="E1182" s="153"/>
      <c r="F1182" s="154"/>
      <c r="G1182" s="152" t="s">
        <v>315</v>
      </c>
      <c r="H1182" s="152" t="s">
        <v>117</v>
      </c>
      <c r="I1182" s="152"/>
    </row>
    <row r="1183" customFormat="false" ht="16.5" hidden="false" customHeight="true" outlineLevel="0" collapsed="false">
      <c r="A1183" s="151" t="n">
        <v>45902</v>
      </c>
      <c r="B1183" s="152" t="s">
        <v>60</v>
      </c>
      <c r="C1183" s="159" t="n">
        <v>6899.54</v>
      </c>
      <c r="D1183" s="154" t="s">
        <v>103</v>
      </c>
      <c r="E1183" s="153"/>
      <c r="F1183" s="154"/>
      <c r="G1183" s="152" t="s">
        <v>315</v>
      </c>
      <c r="H1183" s="152" t="s">
        <v>125</v>
      </c>
      <c r="I1183" s="152"/>
    </row>
    <row r="1184" customFormat="false" ht="16.5" hidden="false" customHeight="true" outlineLevel="0" collapsed="false">
      <c r="A1184" s="151" t="n">
        <v>45902</v>
      </c>
      <c r="B1184" s="152" t="s">
        <v>60</v>
      </c>
      <c r="C1184" s="153" t="n">
        <v>9679.63</v>
      </c>
      <c r="D1184" s="154" t="s">
        <v>97</v>
      </c>
      <c r="E1184" s="153"/>
      <c r="F1184" s="154"/>
      <c r="G1184" s="152" t="s">
        <v>315</v>
      </c>
      <c r="H1184" s="152" t="s">
        <v>100</v>
      </c>
      <c r="I1184" s="152"/>
    </row>
    <row r="1185" customFormat="false" ht="16.5" hidden="false" customHeight="true" outlineLevel="0" collapsed="false">
      <c r="A1185" s="151" t="n">
        <v>45902</v>
      </c>
      <c r="B1185" s="152" t="s">
        <v>1115</v>
      </c>
      <c r="C1185" s="160" t="n">
        <v>0</v>
      </c>
      <c r="D1185" s="154"/>
      <c r="E1185" s="160"/>
      <c r="F1185" s="154"/>
      <c r="G1185" s="152" t="s">
        <v>1116</v>
      </c>
      <c r="H1185" s="152"/>
      <c r="I1185" s="152"/>
    </row>
    <row r="1186" customFormat="false" ht="16.5" hidden="false" customHeight="true" outlineLevel="0" collapsed="false">
      <c r="A1186" s="151" t="n">
        <v>45904</v>
      </c>
      <c r="B1186" s="152"/>
      <c r="C1186" s="153" t="n">
        <v>401.09</v>
      </c>
      <c r="D1186" s="154" t="s">
        <v>97</v>
      </c>
      <c r="E1186" s="153"/>
      <c r="F1186" s="154" t="s">
        <v>1248</v>
      </c>
      <c r="G1186" s="152" t="s">
        <v>190</v>
      </c>
      <c r="H1186" s="152" t="s">
        <v>117</v>
      </c>
      <c r="I1186" s="152"/>
    </row>
    <row r="1187" customFormat="false" ht="16.5" hidden="false" customHeight="true" outlineLevel="0" collapsed="false">
      <c r="A1187" s="151" t="n">
        <v>45904</v>
      </c>
      <c r="B1187" s="152" t="s">
        <v>60</v>
      </c>
      <c r="C1187" s="153" t="n">
        <v>1398.45</v>
      </c>
      <c r="D1187" s="154" t="s">
        <v>97</v>
      </c>
      <c r="E1187" s="153"/>
      <c r="F1187" s="154"/>
      <c r="G1187" s="152" t="s">
        <v>315</v>
      </c>
      <c r="H1187" s="152" t="s">
        <v>117</v>
      </c>
      <c r="I1187" s="152"/>
    </row>
    <row r="1188" customFormat="false" ht="16.5" hidden="false" customHeight="true" outlineLevel="0" collapsed="false">
      <c r="A1188" s="151" t="n">
        <v>45904</v>
      </c>
      <c r="B1188" s="152" t="s">
        <v>60</v>
      </c>
      <c r="C1188" s="153" t="n">
        <v>0</v>
      </c>
      <c r="D1188" s="154" t="s">
        <v>97</v>
      </c>
      <c r="E1188" s="153"/>
      <c r="F1188" s="154"/>
      <c r="G1188" s="152" t="s">
        <v>315</v>
      </c>
      <c r="H1188" s="152" t="s">
        <v>119</v>
      </c>
      <c r="I1188" s="152"/>
    </row>
    <row r="1189" customFormat="false" ht="16.5" hidden="false" customHeight="true" outlineLevel="0" collapsed="false">
      <c r="A1189" s="151" t="n">
        <v>45904</v>
      </c>
      <c r="B1189" s="152"/>
      <c r="C1189" s="156" t="n">
        <v>0.75156</v>
      </c>
      <c r="D1189" s="154" t="s">
        <v>141</v>
      </c>
      <c r="E1189" s="153" t="n">
        <v>180.12</v>
      </c>
      <c r="F1189" s="154" t="s">
        <v>1249</v>
      </c>
      <c r="G1189" s="152" t="s">
        <v>188</v>
      </c>
      <c r="H1189" s="152" t="s">
        <v>142</v>
      </c>
      <c r="I1189" s="152"/>
    </row>
    <row r="1190" customFormat="false" ht="16.5" hidden="false" customHeight="true" outlineLevel="0" collapsed="false">
      <c r="A1190" s="151" t="n">
        <v>45904</v>
      </c>
      <c r="B1190" s="152" t="s">
        <v>60</v>
      </c>
      <c r="C1190" s="156" t="n">
        <v>1.48268</v>
      </c>
      <c r="D1190" s="154" t="s">
        <v>141</v>
      </c>
      <c r="E1190" s="153"/>
      <c r="F1190" s="154"/>
      <c r="G1190" s="152" t="s">
        <v>315</v>
      </c>
      <c r="H1190" s="152" t="s">
        <v>142</v>
      </c>
      <c r="I1190" s="152"/>
    </row>
    <row r="1191" customFormat="false" ht="16.5" hidden="false" customHeight="true" outlineLevel="0" collapsed="false">
      <c r="A1191" s="151" t="n">
        <v>45912</v>
      </c>
      <c r="B1191" s="152" t="s">
        <v>1250</v>
      </c>
      <c r="C1191" s="153" t="n">
        <v>-8.58</v>
      </c>
      <c r="D1191" s="154" t="s">
        <v>97</v>
      </c>
      <c r="E1191" s="153"/>
      <c r="F1191" s="154"/>
      <c r="G1191" s="152" t="s">
        <v>217</v>
      </c>
      <c r="H1191" s="152" t="s">
        <v>106</v>
      </c>
      <c r="I1191" s="152"/>
    </row>
    <row r="1192" customFormat="false" ht="16.5" hidden="false" customHeight="true" outlineLevel="0" collapsed="false">
      <c r="A1192" s="151" t="n">
        <v>45910</v>
      </c>
      <c r="B1192" s="152" t="s">
        <v>1251</v>
      </c>
      <c r="C1192" s="153" t="n">
        <v>-16.82</v>
      </c>
      <c r="D1192" s="154" t="s">
        <v>97</v>
      </c>
      <c r="E1192" s="153"/>
      <c r="F1192" s="154"/>
      <c r="G1192" s="152" t="s">
        <v>212</v>
      </c>
      <c r="H1192" s="152" t="s">
        <v>106</v>
      </c>
      <c r="I1192" s="152"/>
    </row>
    <row r="1193" customFormat="false" ht="16.5" hidden="false" customHeight="true" outlineLevel="0" collapsed="false">
      <c r="A1193" s="151" t="n">
        <v>45909</v>
      </c>
      <c r="B1193" s="152" t="s">
        <v>1252</v>
      </c>
      <c r="C1193" s="153" t="n">
        <v>242.67</v>
      </c>
      <c r="D1193" s="154" t="s">
        <v>97</v>
      </c>
      <c r="E1193" s="153"/>
      <c r="F1193" s="154"/>
      <c r="G1193" s="152" t="s">
        <v>198</v>
      </c>
      <c r="H1193" s="152" t="s">
        <v>106</v>
      </c>
      <c r="I1193" s="152"/>
    </row>
    <row r="1194" customFormat="false" ht="16.5" hidden="false" customHeight="true" outlineLevel="0" collapsed="false">
      <c r="A1194" s="151" t="n">
        <v>45909</v>
      </c>
      <c r="B1194" s="152" t="s">
        <v>1253</v>
      </c>
      <c r="C1194" s="153" t="n">
        <v>273.93</v>
      </c>
      <c r="D1194" s="154" t="s">
        <v>97</v>
      </c>
      <c r="E1194" s="153"/>
      <c r="F1194" s="154"/>
      <c r="G1194" s="152" t="s">
        <v>215</v>
      </c>
      <c r="H1194" s="152" t="s">
        <v>106</v>
      </c>
      <c r="I1194" s="152"/>
    </row>
    <row r="1195" customFormat="false" ht="16.5" hidden="false" customHeight="true" outlineLevel="0" collapsed="false">
      <c r="A1195" s="151" t="n">
        <v>45908</v>
      </c>
      <c r="B1195" s="152" t="s">
        <v>1254</v>
      </c>
      <c r="C1195" s="153" t="n">
        <v>-0.84</v>
      </c>
      <c r="D1195" s="154" t="s">
        <v>97</v>
      </c>
      <c r="E1195" s="153"/>
      <c r="F1195" s="154"/>
      <c r="G1195" s="152" t="s">
        <v>222</v>
      </c>
      <c r="H1195" s="152" t="s">
        <v>106</v>
      </c>
      <c r="I1195" s="152"/>
    </row>
    <row r="1196" customFormat="false" ht="16.5" hidden="false" customHeight="true" outlineLevel="0" collapsed="false">
      <c r="A1196" s="151" t="n">
        <v>45905</v>
      </c>
      <c r="B1196" s="152" t="s">
        <v>1255</v>
      </c>
      <c r="C1196" s="153" t="n">
        <v>-45.63</v>
      </c>
      <c r="D1196" s="154" t="s">
        <v>97</v>
      </c>
      <c r="E1196" s="153"/>
      <c r="F1196" s="154"/>
      <c r="G1196" s="152" t="s">
        <v>197</v>
      </c>
      <c r="H1196" s="152" t="s">
        <v>106</v>
      </c>
      <c r="I1196" s="152"/>
    </row>
    <row r="1197" customFormat="false" ht="16.5" hidden="false" customHeight="true" outlineLevel="0" collapsed="false">
      <c r="A1197" s="151" t="n">
        <v>45905</v>
      </c>
      <c r="B1197" s="152" t="s">
        <v>1256</v>
      </c>
      <c r="C1197" s="153" t="n">
        <v>-42.81</v>
      </c>
      <c r="D1197" s="154" t="s">
        <v>97</v>
      </c>
      <c r="E1197" s="153"/>
      <c r="F1197" s="154"/>
      <c r="G1197" s="152" t="s">
        <v>203</v>
      </c>
      <c r="H1197" s="152" t="s">
        <v>106</v>
      </c>
      <c r="I1197" s="152"/>
    </row>
    <row r="1198" customFormat="false" ht="16.5" hidden="false" customHeight="true" outlineLevel="0" collapsed="false">
      <c r="A1198" s="151" t="n">
        <v>45905</v>
      </c>
      <c r="B1198" s="152" t="s">
        <v>1257</v>
      </c>
      <c r="C1198" s="153" t="n">
        <v>-5.39</v>
      </c>
      <c r="D1198" s="154" t="s">
        <v>97</v>
      </c>
      <c r="E1198" s="153"/>
      <c r="F1198" s="154"/>
      <c r="G1198" s="152" t="s">
        <v>218</v>
      </c>
      <c r="H1198" s="152" t="s">
        <v>106</v>
      </c>
      <c r="I1198" s="152"/>
    </row>
    <row r="1199" customFormat="false" ht="16.5" hidden="false" customHeight="true" outlineLevel="0" collapsed="false">
      <c r="A1199" s="151" t="n">
        <v>45905</v>
      </c>
      <c r="B1199" s="152" t="s">
        <v>1258</v>
      </c>
      <c r="C1199" s="153" t="n">
        <v>99.97</v>
      </c>
      <c r="D1199" s="154" t="s">
        <v>97</v>
      </c>
      <c r="E1199" s="153"/>
      <c r="F1199" s="154" t="s">
        <v>1259</v>
      </c>
      <c r="G1199" s="152" t="s">
        <v>190</v>
      </c>
      <c r="H1199" s="152" t="s">
        <v>106</v>
      </c>
      <c r="I1199" s="152"/>
    </row>
    <row r="1200" customFormat="false" ht="16.5" hidden="false" customHeight="true" outlineLevel="0" collapsed="false">
      <c r="A1200" s="151" t="n">
        <v>45904</v>
      </c>
      <c r="B1200" s="152" t="s">
        <v>1260</v>
      </c>
      <c r="C1200" s="153" t="n">
        <v>-10.03</v>
      </c>
      <c r="D1200" s="154" t="s">
        <v>97</v>
      </c>
      <c r="E1200" s="153"/>
      <c r="F1200" s="154" t="s">
        <v>1261</v>
      </c>
      <c r="G1200" s="152" t="s">
        <v>190</v>
      </c>
      <c r="H1200" s="152" t="s">
        <v>106</v>
      </c>
      <c r="I1200" s="152"/>
    </row>
    <row r="1201" customFormat="false" ht="16.5" hidden="false" customHeight="true" outlineLevel="0" collapsed="false">
      <c r="A1201" s="151" t="n">
        <v>45904</v>
      </c>
      <c r="B1201" s="152" t="s">
        <v>1262</v>
      </c>
      <c r="C1201" s="153" t="n">
        <v>99.97</v>
      </c>
      <c r="D1201" s="154" t="s">
        <v>97</v>
      </c>
      <c r="E1201" s="153"/>
      <c r="F1201" s="154" t="s">
        <v>1263</v>
      </c>
      <c r="G1201" s="152" t="s">
        <v>190</v>
      </c>
      <c r="H1201" s="152" t="s">
        <v>106</v>
      </c>
      <c r="I1201" s="152"/>
    </row>
    <row r="1202" customFormat="false" ht="16.5" hidden="false" customHeight="true" outlineLevel="0" collapsed="false">
      <c r="A1202" s="151" t="n">
        <v>45903</v>
      </c>
      <c r="B1202" s="152" t="s">
        <v>1264</v>
      </c>
      <c r="C1202" s="153" t="n">
        <v>-401.09</v>
      </c>
      <c r="D1202" s="154" t="s">
        <v>97</v>
      </c>
      <c r="E1202" s="153"/>
      <c r="F1202" s="154" t="s">
        <v>1248</v>
      </c>
      <c r="G1202" s="152" t="s">
        <v>190</v>
      </c>
      <c r="H1202" s="152" t="s">
        <v>106</v>
      </c>
      <c r="I1202" s="152"/>
    </row>
    <row r="1203" customFormat="false" ht="16.5" hidden="false" customHeight="true" outlineLevel="0" collapsed="false">
      <c r="A1203" s="151" t="n">
        <v>45903</v>
      </c>
      <c r="B1203" s="152" t="s">
        <v>1265</v>
      </c>
      <c r="C1203" s="153" t="n">
        <v>-180.12</v>
      </c>
      <c r="D1203" s="154" t="s">
        <v>97</v>
      </c>
      <c r="E1203" s="153" t="n">
        <v>-180.12</v>
      </c>
      <c r="F1203" s="154" t="s">
        <v>1249</v>
      </c>
      <c r="G1203" s="152" t="s">
        <v>188</v>
      </c>
      <c r="H1203" s="152" t="s">
        <v>106</v>
      </c>
      <c r="I1203" s="152"/>
    </row>
    <row r="1204" customFormat="false" ht="16.5" hidden="false" customHeight="true" outlineLevel="0" collapsed="false">
      <c r="A1204" s="151" t="n">
        <v>45902</v>
      </c>
      <c r="B1204" s="152" t="s">
        <v>1266</v>
      </c>
      <c r="C1204" s="153" t="n">
        <v>27.32</v>
      </c>
      <c r="D1204" s="154" t="s">
        <v>97</v>
      </c>
      <c r="E1204" s="153"/>
      <c r="F1204" s="154"/>
      <c r="G1204" s="152" t="s">
        <v>224</v>
      </c>
      <c r="H1204" s="152" t="s">
        <v>106</v>
      </c>
      <c r="I1204" s="152"/>
    </row>
    <row r="1205" customFormat="false" ht="16.5" hidden="false" customHeight="true" outlineLevel="0" collapsed="false">
      <c r="A1205" s="151" t="n">
        <v>45914</v>
      </c>
      <c r="B1205" s="152" t="s">
        <v>60</v>
      </c>
      <c r="C1205" s="153" t="n">
        <v>4102.92</v>
      </c>
      <c r="D1205" s="154" t="s">
        <v>97</v>
      </c>
      <c r="E1205" s="153"/>
      <c r="F1205" s="154"/>
      <c r="G1205" s="152" t="s">
        <v>315</v>
      </c>
      <c r="H1205" s="152" t="s">
        <v>106</v>
      </c>
      <c r="I1205" s="152"/>
    </row>
    <row r="1206" customFormat="false" ht="16.5" hidden="false" customHeight="true" outlineLevel="0" collapsed="false">
      <c r="A1206" s="151" t="n">
        <v>45904</v>
      </c>
      <c r="B1206" s="152"/>
      <c r="C1206" s="153" t="n">
        <v>-99.97</v>
      </c>
      <c r="D1206" s="154" t="s">
        <v>97</v>
      </c>
      <c r="E1206" s="153"/>
      <c r="F1206" s="154" t="s">
        <v>1259</v>
      </c>
      <c r="G1206" s="152" t="s">
        <v>190</v>
      </c>
      <c r="H1206" s="152" t="s">
        <v>132</v>
      </c>
      <c r="I1206" s="152"/>
    </row>
    <row r="1207" customFormat="false" ht="16.5" hidden="false" customHeight="true" outlineLevel="0" collapsed="false">
      <c r="A1207" s="151" t="n">
        <v>45905</v>
      </c>
      <c r="B1207" s="152"/>
      <c r="C1207" s="153" t="n">
        <v>-99.97</v>
      </c>
      <c r="D1207" s="154" t="s">
        <v>97</v>
      </c>
      <c r="E1207" s="153"/>
      <c r="F1207" s="154" t="s">
        <v>1263</v>
      </c>
      <c r="G1207" s="152" t="s">
        <v>190</v>
      </c>
      <c r="H1207" s="152" t="s">
        <v>133</v>
      </c>
      <c r="I1207" s="152"/>
    </row>
    <row r="1208" customFormat="false" ht="16.5" hidden="false" customHeight="true" outlineLevel="0" collapsed="false">
      <c r="A1208" s="151" t="n">
        <v>45904</v>
      </c>
      <c r="B1208" s="152" t="s">
        <v>60</v>
      </c>
      <c r="C1208" s="153" t="n">
        <v>21693.27</v>
      </c>
      <c r="D1208" s="154" t="s">
        <v>97</v>
      </c>
      <c r="E1208" s="153"/>
      <c r="F1208" s="154"/>
      <c r="G1208" s="152" t="s">
        <v>315</v>
      </c>
      <c r="H1208" s="152" t="s">
        <v>132</v>
      </c>
      <c r="I1208" s="152"/>
    </row>
    <row r="1209" customFormat="false" ht="16.5" hidden="false" customHeight="true" outlineLevel="0" collapsed="false">
      <c r="A1209" s="151" t="n">
        <v>45905</v>
      </c>
      <c r="B1209" s="152" t="s">
        <v>60</v>
      </c>
      <c r="C1209" s="153" t="n">
        <v>8400.27</v>
      </c>
      <c r="D1209" s="154" t="s">
        <v>97</v>
      </c>
      <c r="E1209" s="153"/>
      <c r="F1209" s="154"/>
      <c r="G1209" s="152" t="s">
        <v>315</v>
      </c>
      <c r="H1209" s="152" t="s">
        <v>133</v>
      </c>
      <c r="I1209" s="152"/>
    </row>
    <row r="1210" customFormat="false" ht="16.5" hidden="false" customHeight="true" outlineLevel="0" collapsed="false">
      <c r="A1210" s="151" t="n">
        <v>45918</v>
      </c>
      <c r="B1210" s="152" t="s">
        <v>1267</v>
      </c>
      <c r="C1210" s="153" t="n">
        <v>10.03</v>
      </c>
      <c r="D1210" s="154" t="s">
        <v>97</v>
      </c>
      <c r="E1210" s="153"/>
      <c r="F1210" s="154" t="s">
        <v>1261</v>
      </c>
      <c r="G1210" s="152" t="s">
        <v>190</v>
      </c>
      <c r="H1210" s="152" t="s">
        <v>119</v>
      </c>
      <c r="I1210" s="152"/>
    </row>
    <row r="1211" customFormat="false" ht="16.5" hidden="false" customHeight="true" outlineLevel="0" collapsed="false">
      <c r="A1211" s="151" t="n">
        <v>45918</v>
      </c>
      <c r="B1211" s="152" t="s">
        <v>60</v>
      </c>
      <c r="C1211" s="153" t="n">
        <v>10.03</v>
      </c>
      <c r="D1211" s="154" t="s">
        <v>97</v>
      </c>
      <c r="E1211" s="153"/>
      <c r="F1211" s="154"/>
      <c r="G1211" s="152" t="s">
        <v>315</v>
      </c>
      <c r="H1211" s="152" t="s">
        <v>119</v>
      </c>
      <c r="I1211" s="152"/>
    </row>
    <row r="1212" customFormat="false" ht="16.5" hidden="false" customHeight="true" outlineLevel="0" collapsed="false">
      <c r="A1212" s="151" t="n">
        <v>45919</v>
      </c>
      <c r="B1212" s="152" t="s">
        <v>1268</v>
      </c>
      <c r="C1212" s="153" t="n">
        <v>-4.58</v>
      </c>
      <c r="D1212" s="154" t="s">
        <v>97</v>
      </c>
      <c r="E1212" s="153"/>
      <c r="F1212" s="154"/>
      <c r="G1212" s="152" t="s">
        <v>221</v>
      </c>
      <c r="H1212" s="152" t="s">
        <v>106</v>
      </c>
      <c r="I1212" s="152"/>
    </row>
    <row r="1213" customFormat="false" ht="16.5" hidden="false" customHeight="true" outlineLevel="0" collapsed="false">
      <c r="A1213" s="151" t="n">
        <v>45919</v>
      </c>
      <c r="B1213" s="152" t="s">
        <v>1269</v>
      </c>
      <c r="C1213" s="153" t="n">
        <v>-10.03</v>
      </c>
      <c r="D1213" s="154" t="s">
        <v>97</v>
      </c>
      <c r="E1213" s="153"/>
      <c r="F1213" s="154"/>
      <c r="G1213" s="152" t="s">
        <v>204</v>
      </c>
      <c r="H1213" s="152" t="s">
        <v>106</v>
      </c>
      <c r="I1213" s="152"/>
    </row>
    <row r="1214" customFormat="false" ht="16.5" hidden="false" customHeight="true" outlineLevel="0" collapsed="false">
      <c r="A1214" s="151" t="n">
        <v>45916</v>
      </c>
      <c r="B1214" s="152" t="s">
        <v>1270</v>
      </c>
      <c r="C1214" s="153" t="n">
        <v>-9.57</v>
      </c>
      <c r="D1214" s="154" t="s">
        <v>97</v>
      </c>
      <c r="E1214" s="153"/>
      <c r="F1214" s="154"/>
      <c r="G1214" s="152" t="s">
        <v>207</v>
      </c>
      <c r="H1214" s="152" t="s">
        <v>106</v>
      </c>
      <c r="I1214" s="152"/>
    </row>
    <row r="1215" customFormat="false" ht="16.5" hidden="false" customHeight="true" outlineLevel="0" collapsed="false">
      <c r="A1215" s="151" t="n">
        <v>45916</v>
      </c>
      <c r="B1215" s="152" t="s">
        <v>1271</v>
      </c>
      <c r="C1215" s="153" t="n">
        <v>-8.83</v>
      </c>
      <c r="D1215" s="154" t="s">
        <v>97</v>
      </c>
      <c r="E1215" s="153"/>
      <c r="F1215" s="154"/>
      <c r="G1215" s="152" t="s">
        <v>207</v>
      </c>
      <c r="H1215" s="152" t="s">
        <v>106</v>
      </c>
      <c r="I1215" s="152"/>
    </row>
    <row r="1216" customFormat="false" ht="16.5" hidden="false" customHeight="true" outlineLevel="0" collapsed="false">
      <c r="A1216" s="151" t="n">
        <v>45915</v>
      </c>
      <c r="B1216" s="152" t="s">
        <v>1272</v>
      </c>
      <c r="C1216" s="153" t="n">
        <v>-66.63</v>
      </c>
      <c r="D1216" s="154" t="s">
        <v>97</v>
      </c>
      <c r="E1216" s="153"/>
      <c r="F1216" s="154"/>
      <c r="G1216" s="152" t="s">
        <v>171</v>
      </c>
      <c r="H1216" s="152" t="s">
        <v>106</v>
      </c>
      <c r="I1216" s="152"/>
    </row>
    <row r="1217" customFormat="false" ht="16.5" hidden="false" customHeight="true" outlineLevel="0" collapsed="false">
      <c r="A1217" s="151" t="n">
        <v>45915</v>
      </c>
      <c r="B1217" s="152" t="s">
        <v>1273</v>
      </c>
      <c r="C1217" s="153" t="n">
        <v>-66.16</v>
      </c>
      <c r="D1217" s="154" t="s">
        <v>97</v>
      </c>
      <c r="E1217" s="153"/>
      <c r="F1217" s="154"/>
      <c r="G1217" s="152" t="s">
        <v>208</v>
      </c>
      <c r="H1217" s="152" t="s">
        <v>106</v>
      </c>
      <c r="I1217" s="152"/>
    </row>
    <row r="1218" customFormat="false" ht="16.5" hidden="false" customHeight="true" outlineLevel="0" collapsed="false">
      <c r="A1218" s="151" t="n">
        <v>45915</v>
      </c>
      <c r="B1218" s="152" t="s">
        <v>1274</v>
      </c>
      <c r="C1218" s="153" t="n">
        <v>-29.78</v>
      </c>
      <c r="D1218" s="154" t="s">
        <v>97</v>
      </c>
      <c r="E1218" s="153"/>
      <c r="F1218" s="154"/>
      <c r="G1218" s="152" t="s">
        <v>197</v>
      </c>
      <c r="H1218" s="152" t="s">
        <v>106</v>
      </c>
      <c r="I1218" s="152"/>
    </row>
    <row r="1219" customFormat="false" ht="16.5" hidden="false" customHeight="true" outlineLevel="0" collapsed="false">
      <c r="A1219" s="151" t="n">
        <v>45920</v>
      </c>
      <c r="B1219" s="152" t="s">
        <v>60</v>
      </c>
      <c r="C1219" s="153" t="n">
        <v>3907.34</v>
      </c>
      <c r="D1219" s="154" t="s">
        <v>97</v>
      </c>
      <c r="E1219" s="153"/>
      <c r="F1219" s="154"/>
      <c r="G1219" s="152" t="s">
        <v>315</v>
      </c>
      <c r="H1219" s="152" t="s">
        <v>106</v>
      </c>
      <c r="I1219" s="152"/>
    </row>
    <row r="1220" customFormat="false" ht="16.5" hidden="false" customHeight="true" outlineLevel="0" collapsed="false">
      <c r="A1220" s="151" t="n">
        <v>45920</v>
      </c>
      <c r="B1220" s="152" t="s">
        <v>1115</v>
      </c>
      <c r="C1220" s="160" t="n">
        <v>0</v>
      </c>
      <c r="D1220" s="154"/>
      <c r="E1220" s="160"/>
      <c r="F1220" s="154"/>
      <c r="G1220" s="152" t="s">
        <v>1116</v>
      </c>
      <c r="H1220" s="152"/>
      <c r="I1220" s="152"/>
    </row>
    <row r="1221" customFormat="false" ht="16.5" hidden="false" customHeight="true" outlineLevel="0" collapsed="false">
      <c r="A1221" s="151" t="n">
        <v>45920</v>
      </c>
      <c r="B1221" s="152" t="s">
        <v>1275</v>
      </c>
      <c r="C1221" s="158" t="n">
        <v>0.23549</v>
      </c>
      <c r="D1221" s="154" t="s">
        <v>150</v>
      </c>
      <c r="E1221" s="153" t="n">
        <v>17.81</v>
      </c>
      <c r="F1221" s="154" t="s">
        <v>1276</v>
      </c>
      <c r="G1221" s="152" t="s">
        <v>189</v>
      </c>
      <c r="H1221" s="152" t="s">
        <v>149</v>
      </c>
      <c r="I1221" s="152"/>
    </row>
    <row r="1222" customFormat="false" ht="16.5" hidden="false" customHeight="true" outlineLevel="0" collapsed="false">
      <c r="A1222" s="151" t="n">
        <v>45920</v>
      </c>
      <c r="B1222" s="152" t="s">
        <v>1277</v>
      </c>
      <c r="C1222" s="158" t="n">
        <v>0.2245</v>
      </c>
      <c r="D1222" s="154" t="s">
        <v>150</v>
      </c>
      <c r="E1222" s="153" t="n">
        <v>17.81</v>
      </c>
      <c r="F1222" s="154" t="s">
        <v>1276</v>
      </c>
      <c r="G1222" s="152" t="s">
        <v>189</v>
      </c>
      <c r="H1222" s="152" t="s">
        <v>149</v>
      </c>
      <c r="I1222" s="152"/>
    </row>
    <row r="1223" customFormat="false" ht="16.5" hidden="false" customHeight="true" outlineLevel="0" collapsed="false">
      <c r="A1223" s="151" t="n">
        <v>45920</v>
      </c>
      <c r="B1223" s="152" t="s">
        <v>1278</v>
      </c>
      <c r="C1223" s="158" t="n">
        <v>0.21082</v>
      </c>
      <c r="D1223" s="154" t="s">
        <v>150</v>
      </c>
      <c r="E1223" s="153" t="n">
        <v>3.79</v>
      </c>
      <c r="F1223" s="154" t="s">
        <v>1276</v>
      </c>
      <c r="G1223" s="152" t="s">
        <v>189</v>
      </c>
      <c r="H1223" s="152" t="s">
        <v>149</v>
      </c>
      <c r="I1223" s="152"/>
    </row>
    <row r="1224" customFormat="false" ht="16.5" hidden="false" customHeight="true" outlineLevel="0" collapsed="false">
      <c r="A1224" s="151" t="n">
        <v>45920</v>
      </c>
      <c r="B1224" s="152" t="s">
        <v>1279</v>
      </c>
      <c r="C1224" s="158" t="n">
        <v>1.44817</v>
      </c>
      <c r="D1224" s="154" t="s">
        <v>150</v>
      </c>
      <c r="E1224" s="153" t="n">
        <v>111.54</v>
      </c>
      <c r="F1224" s="154" t="s">
        <v>1276</v>
      </c>
      <c r="G1224" s="152" t="s">
        <v>189</v>
      </c>
      <c r="H1224" s="152" t="s">
        <v>149</v>
      </c>
      <c r="I1224" s="152"/>
    </row>
    <row r="1225" customFormat="false" ht="16.5" hidden="false" customHeight="true" outlineLevel="0" collapsed="false">
      <c r="A1225" s="151" t="n">
        <v>45920</v>
      </c>
      <c r="B1225" s="152" t="s">
        <v>60</v>
      </c>
      <c r="C1225" s="158" t="n">
        <v>99.94072</v>
      </c>
      <c r="D1225" s="154" t="s">
        <v>150</v>
      </c>
      <c r="E1225" s="153"/>
      <c r="F1225" s="154"/>
      <c r="G1225" s="152" t="s">
        <v>315</v>
      </c>
      <c r="H1225" s="152" t="s">
        <v>149</v>
      </c>
      <c r="I1225" s="152"/>
    </row>
    <row r="1226" customFormat="false" ht="16.5" hidden="false" customHeight="true" outlineLevel="0" collapsed="false">
      <c r="A1226" s="151" t="n">
        <v>45920</v>
      </c>
      <c r="B1226" s="152" t="s">
        <v>60</v>
      </c>
      <c r="C1226" s="153" t="n">
        <v>2033.5</v>
      </c>
      <c r="D1226" s="154" t="s">
        <v>97</v>
      </c>
      <c r="E1226" s="153"/>
      <c r="F1226" s="154"/>
      <c r="G1226" s="152" t="s">
        <v>315</v>
      </c>
      <c r="H1226" s="152" t="s">
        <v>101</v>
      </c>
      <c r="I1226" s="152"/>
    </row>
    <row r="1227" customFormat="false" ht="16.5" hidden="false" customHeight="true" outlineLevel="0" collapsed="false">
      <c r="A1227" s="151" t="n">
        <v>45923</v>
      </c>
      <c r="B1227" s="152" t="s">
        <v>1267</v>
      </c>
      <c r="C1227" s="153" t="n">
        <v>1.99</v>
      </c>
      <c r="D1227" s="154" t="s">
        <v>97</v>
      </c>
      <c r="E1227" s="153"/>
      <c r="F1227" s="154" t="s">
        <v>1280</v>
      </c>
      <c r="G1227" s="152" t="s">
        <v>190</v>
      </c>
      <c r="H1227" s="152" t="s">
        <v>119</v>
      </c>
      <c r="I1227" s="152"/>
    </row>
    <row r="1228" customFormat="false" ht="16.5" hidden="false" customHeight="true" outlineLevel="0" collapsed="false">
      <c r="A1228" s="151" t="n">
        <v>45923</v>
      </c>
      <c r="B1228" s="152" t="s">
        <v>1281</v>
      </c>
      <c r="C1228" s="155" t="n">
        <v>10257.99</v>
      </c>
      <c r="D1228" s="154" t="s">
        <v>136</v>
      </c>
      <c r="E1228" s="153" t="n">
        <v>10.03</v>
      </c>
      <c r="F1228" s="154" t="s">
        <v>1282</v>
      </c>
      <c r="G1228" s="152" t="s">
        <v>188</v>
      </c>
      <c r="H1228" s="152" t="s">
        <v>143</v>
      </c>
      <c r="I1228" s="152"/>
    </row>
    <row r="1229" customFormat="false" ht="16.5" hidden="false" customHeight="true" outlineLevel="0" collapsed="false">
      <c r="A1229" s="151" t="n">
        <v>45923</v>
      </c>
      <c r="B1229" s="152" t="s">
        <v>1281</v>
      </c>
      <c r="C1229" s="153" t="n">
        <v>-10.03</v>
      </c>
      <c r="D1229" s="154" t="s">
        <v>97</v>
      </c>
      <c r="E1229" s="153" t="n">
        <v>-10.03</v>
      </c>
      <c r="F1229" s="154" t="s">
        <v>1282</v>
      </c>
      <c r="G1229" s="152" t="s">
        <v>188</v>
      </c>
      <c r="H1229" s="152" t="s">
        <v>119</v>
      </c>
      <c r="I1229" s="152"/>
    </row>
    <row r="1230" customFormat="false" ht="16.5" hidden="false" customHeight="true" outlineLevel="0" collapsed="false">
      <c r="A1230" s="151" t="n">
        <v>45923</v>
      </c>
      <c r="B1230" s="152" t="s">
        <v>60</v>
      </c>
      <c r="C1230" s="155" t="n">
        <v>10255.4</v>
      </c>
      <c r="D1230" s="154" t="s">
        <v>136</v>
      </c>
      <c r="E1230" s="153"/>
      <c r="F1230" s="154"/>
      <c r="G1230" s="152" t="s">
        <v>315</v>
      </c>
      <c r="H1230" s="152" t="s">
        <v>143</v>
      </c>
      <c r="I1230" s="152"/>
    </row>
    <row r="1231" customFormat="false" ht="16.5" hidden="false" customHeight="true" outlineLevel="0" collapsed="false">
      <c r="A1231" s="151" t="n">
        <v>45923</v>
      </c>
      <c r="B1231" s="152" t="s">
        <v>60</v>
      </c>
      <c r="C1231" s="153" t="n">
        <v>1.99</v>
      </c>
      <c r="D1231" s="154" t="s">
        <v>97</v>
      </c>
      <c r="E1231" s="153"/>
      <c r="F1231" s="154"/>
      <c r="G1231" s="152" t="s">
        <v>315</v>
      </c>
      <c r="H1231" s="152" t="s">
        <v>119</v>
      </c>
      <c r="I1231" s="152"/>
    </row>
    <row r="1232" customFormat="false" ht="16.5" hidden="false" customHeight="true" outlineLevel="0" collapsed="false">
      <c r="A1232" s="151" t="n">
        <v>45924</v>
      </c>
      <c r="B1232" s="152" t="s">
        <v>1283</v>
      </c>
      <c r="C1232" s="153" t="n">
        <v>20</v>
      </c>
      <c r="D1232" s="154" t="s">
        <v>97</v>
      </c>
      <c r="E1232" s="153"/>
      <c r="F1232" s="154" t="s">
        <v>1284</v>
      </c>
      <c r="G1232" s="152" t="s">
        <v>190</v>
      </c>
      <c r="H1232" s="152" t="s">
        <v>116</v>
      </c>
      <c r="I1232" s="152"/>
    </row>
    <row r="1233" customFormat="false" ht="16.5" hidden="false" customHeight="true" outlineLevel="0" collapsed="false">
      <c r="A1233" s="151" t="n">
        <v>45924</v>
      </c>
      <c r="B1233" s="152" t="s">
        <v>1283</v>
      </c>
      <c r="C1233" s="153" t="n">
        <v>159.53</v>
      </c>
      <c r="D1233" s="154" t="s">
        <v>97</v>
      </c>
      <c r="E1233" s="153"/>
      <c r="F1233" s="154" t="s">
        <v>1285</v>
      </c>
      <c r="G1233" s="152" t="s">
        <v>190</v>
      </c>
      <c r="H1233" s="152" t="s">
        <v>116</v>
      </c>
      <c r="I1233" s="152"/>
    </row>
    <row r="1234" customFormat="false" ht="16.5" hidden="false" customHeight="true" outlineLevel="0" collapsed="false">
      <c r="A1234" s="151" t="n">
        <v>45924</v>
      </c>
      <c r="B1234" s="152" t="s">
        <v>722</v>
      </c>
      <c r="C1234" s="153" t="n">
        <v>-180.12</v>
      </c>
      <c r="D1234" s="154" t="s">
        <v>97</v>
      </c>
      <c r="E1234" s="153" t="n">
        <v>-180.12</v>
      </c>
      <c r="F1234" s="154" t="s">
        <v>1286</v>
      </c>
      <c r="G1234" s="152" t="s">
        <v>188</v>
      </c>
      <c r="H1234" s="152" t="s">
        <v>116</v>
      </c>
      <c r="I1234" s="152"/>
    </row>
    <row r="1235" customFormat="false" ht="16.5" hidden="false" customHeight="true" outlineLevel="0" collapsed="false">
      <c r="A1235" s="151" t="n">
        <v>45924</v>
      </c>
      <c r="B1235" s="152" t="s">
        <v>1287</v>
      </c>
      <c r="C1235" s="159" t="n">
        <v>209.58</v>
      </c>
      <c r="D1235" s="154" t="s">
        <v>103</v>
      </c>
      <c r="E1235" s="153" t="n">
        <v>180.12</v>
      </c>
      <c r="F1235" s="154" t="s">
        <v>1286</v>
      </c>
      <c r="G1235" s="152" t="s">
        <v>188</v>
      </c>
      <c r="H1235" s="152" t="s">
        <v>131</v>
      </c>
      <c r="I1235" s="152"/>
    </row>
    <row r="1236" customFormat="false" ht="16.5" hidden="false" customHeight="true" outlineLevel="0" collapsed="false">
      <c r="A1236" s="151" t="n">
        <v>45924</v>
      </c>
      <c r="B1236" s="152" t="s">
        <v>1288</v>
      </c>
      <c r="C1236" s="159" t="n">
        <v>-0.15</v>
      </c>
      <c r="D1236" s="154" t="s">
        <v>103</v>
      </c>
      <c r="E1236" s="153"/>
      <c r="F1236" s="154" t="s">
        <v>1286</v>
      </c>
      <c r="G1236" s="152" t="s">
        <v>195</v>
      </c>
      <c r="H1236" s="152" t="s">
        <v>131</v>
      </c>
      <c r="I1236" s="152"/>
    </row>
    <row r="1237" customFormat="false" ht="16.5" hidden="false" customHeight="true" outlineLevel="0" collapsed="false">
      <c r="A1237" s="151" t="n">
        <v>45924</v>
      </c>
      <c r="B1237" s="152" t="s">
        <v>60</v>
      </c>
      <c r="C1237" s="153" t="n">
        <v>-0.45</v>
      </c>
      <c r="D1237" s="154" t="s">
        <v>97</v>
      </c>
      <c r="E1237" s="153"/>
      <c r="F1237" s="154"/>
      <c r="G1237" s="152" t="s">
        <v>315</v>
      </c>
      <c r="H1237" s="152" t="s">
        <v>116</v>
      </c>
      <c r="I1237" s="152"/>
    </row>
    <row r="1238" customFormat="false" ht="16.5" hidden="false" customHeight="true" outlineLevel="0" collapsed="false">
      <c r="A1238" s="151" t="n">
        <v>45924</v>
      </c>
      <c r="B1238" s="152" t="s">
        <v>1289</v>
      </c>
      <c r="C1238" s="159" t="n">
        <v>-200.15</v>
      </c>
      <c r="D1238" s="154" t="s">
        <v>103</v>
      </c>
      <c r="E1238" s="153" t="n">
        <v>-235.2</v>
      </c>
      <c r="F1238" s="154" t="s">
        <v>1290</v>
      </c>
      <c r="G1238" s="152" t="s">
        <v>191</v>
      </c>
      <c r="H1238" s="152" t="s">
        <v>131</v>
      </c>
      <c r="I1238" s="152"/>
    </row>
    <row r="1239" customFormat="false" ht="16.5" hidden="false" customHeight="true" outlineLevel="0" collapsed="false">
      <c r="A1239" s="151" t="n">
        <v>45924</v>
      </c>
      <c r="B1239" s="152" t="s">
        <v>1291</v>
      </c>
      <c r="C1239" s="159" t="n">
        <v>-1.99</v>
      </c>
      <c r="D1239" s="154" t="s">
        <v>103</v>
      </c>
      <c r="E1239" s="153"/>
      <c r="F1239" s="154" t="s">
        <v>1290</v>
      </c>
      <c r="G1239" s="152" t="s">
        <v>204</v>
      </c>
      <c r="H1239" s="152" t="s">
        <v>131</v>
      </c>
      <c r="I1239" s="152"/>
    </row>
    <row r="1240" customFormat="false" ht="16.5" hidden="false" customHeight="true" outlineLevel="0" collapsed="false">
      <c r="A1240" s="151" t="n">
        <v>45924</v>
      </c>
      <c r="B1240" s="152" t="s">
        <v>1289</v>
      </c>
      <c r="C1240" s="159" t="n">
        <v>200.15</v>
      </c>
      <c r="D1240" s="154" t="s">
        <v>103</v>
      </c>
      <c r="E1240" s="153" t="n">
        <v>235.2</v>
      </c>
      <c r="F1240" s="154" t="s">
        <v>1290</v>
      </c>
      <c r="G1240" s="152" t="s">
        <v>191</v>
      </c>
      <c r="H1240" s="152" t="s">
        <v>102</v>
      </c>
      <c r="I1240" s="152"/>
    </row>
    <row r="1241" customFormat="false" ht="16.5" hidden="false" customHeight="true" outlineLevel="0" collapsed="false">
      <c r="A1241" s="151" t="n">
        <v>45924</v>
      </c>
      <c r="B1241" s="152" t="s">
        <v>60</v>
      </c>
      <c r="C1241" s="159" t="n">
        <v>251.86</v>
      </c>
      <c r="D1241" s="154" t="s">
        <v>103</v>
      </c>
      <c r="E1241" s="153"/>
      <c r="F1241" s="154"/>
      <c r="G1241" s="152" t="s">
        <v>315</v>
      </c>
      <c r="H1241" s="152" t="s">
        <v>102</v>
      </c>
      <c r="I1241" s="152"/>
    </row>
    <row r="1242" customFormat="false" ht="16.5" hidden="false" customHeight="true" outlineLevel="0" collapsed="false">
      <c r="A1242" s="151" t="n">
        <v>45924</v>
      </c>
      <c r="B1242" s="152" t="s">
        <v>60</v>
      </c>
      <c r="C1242" s="159" t="n">
        <v>65.07</v>
      </c>
      <c r="D1242" s="154" t="s">
        <v>103</v>
      </c>
      <c r="E1242" s="153"/>
      <c r="F1242" s="154"/>
      <c r="G1242" s="152" t="s">
        <v>315</v>
      </c>
      <c r="H1242" s="152" t="s">
        <v>131</v>
      </c>
      <c r="I1242" s="152"/>
    </row>
    <row r="1243" customFormat="false" ht="16.5" hidden="false" customHeight="true" outlineLevel="0" collapsed="false">
      <c r="A1243" s="151" t="n">
        <v>45924</v>
      </c>
      <c r="B1243" s="152" t="s">
        <v>60</v>
      </c>
      <c r="C1243" s="153" t="n">
        <v>195.72</v>
      </c>
      <c r="D1243" s="154" t="s">
        <v>97</v>
      </c>
      <c r="E1243" s="153"/>
      <c r="F1243" s="154"/>
      <c r="G1243" s="152" t="s">
        <v>315</v>
      </c>
      <c r="H1243" s="152" t="s">
        <v>122</v>
      </c>
      <c r="I1243" s="152"/>
    </row>
    <row r="1244" customFormat="false" ht="16.5" hidden="false" customHeight="true" outlineLevel="0" collapsed="false">
      <c r="A1244" s="151" t="n">
        <v>45924</v>
      </c>
      <c r="B1244" s="152" t="s">
        <v>60</v>
      </c>
      <c r="C1244" s="153" t="n">
        <v>9618.08</v>
      </c>
      <c r="D1244" s="154" t="s">
        <v>97</v>
      </c>
      <c r="E1244" s="153"/>
      <c r="F1244" s="154"/>
      <c r="G1244" s="152" t="s">
        <v>315</v>
      </c>
      <c r="H1244" s="152" t="s">
        <v>100</v>
      </c>
      <c r="I1244" s="152"/>
    </row>
    <row r="1245" customFormat="false" ht="16.5" hidden="false" customHeight="true" outlineLevel="0" collapsed="false">
      <c r="A1245" s="151" t="n">
        <v>45925</v>
      </c>
      <c r="B1245" s="152" t="s">
        <v>1292</v>
      </c>
      <c r="C1245" s="153" t="n">
        <v>-54.86</v>
      </c>
      <c r="D1245" s="154" t="s">
        <v>97</v>
      </c>
      <c r="E1245" s="153"/>
      <c r="F1245" s="154"/>
      <c r="G1245" s="152" t="s">
        <v>171</v>
      </c>
      <c r="H1245" s="152" t="s">
        <v>106</v>
      </c>
      <c r="I1245" s="152"/>
    </row>
    <row r="1246" customFormat="false" ht="16.5" hidden="false" customHeight="true" outlineLevel="0" collapsed="false">
      <c r="A1246" s="151" t="n">
        <v>45924</v>
      </c>
      <c r="B1246" s="152" t="s">
        <v>1293</v>
      </c>
      <c r="C1246" s="153" t="n">
        <v>-159.53</v>
      </c>
      <c r="D1246" s="154" t="s">
        <v>97</v>
      </c>
      <c r="E1246" s="153"/>
      <c r="F1246" s="154" t="s">
        <v>1285</v>
      </c>
      <c r="G1246" s="152" t="s">
        <v>190</v>
      </c>
      <c r="H1246" s="152" t="s">
        <v>106</v>
      </c>
      <c r="I1246" s="152"/>
    </row>
    <row r="1247" customFormat="false" ht="16.5" hidden="false" customHeight="true" outlineLevel="0" collapsed="false">
      <c r="A1247" s="151" t="n">
        <v>45924</v>
      </c>
      <c r="B1247" s="152" t="s">
        <v>1294</v>
      </c>
      <c r="C1247" s="153" t="n">
        <v>-20</v>
      </c>
      <c r="D1247" s="154" t="s">
        <v>97</v>
      </c>
      <c r="E1247" s="153"/>
      <c r="F1247" s="154" t="s">
        <v>1284</v>
      </c>
      <c r="G1247" s="152" t="s">
        <v>190</v>
      </c>
      <c r="H1247" s="152" t="s">
        <v>106</v>
      </c>
      <c r="I1247" s="152"/>
    </row>
    <row r="1248" customFormat="false" ht="16.5" hidden="false" customHeight="true" outlineLevel="0" collapsed="false">
      <c r="A1248" s="151" t="n">
        <v>45924</v>
      </c>
      <c r="B1248" s="152" t="s">
        <v>1295</v>
      </c>
      <c r="C1248" s="153" t="n">
        <v>179.84</v>
      </c>
      <c r="D1248" s="154" t="s">
        <v>97</v>
      </c>
      <c r="E1248" s="153" t="n">
        <v>179.84</v>
      </c>
      <c r="F1248" s="154" t="s">
        <v>1296</v>
      </c>
      <c r="G1248" s="152" t="s">
        <v>188</v>
      </c>
      <c r="H1248" s="152" t="s">
        <v>106</v>
      </c>
      <c r="I1248" s="152"/>
    </row>
    <row r="1249" customFormat="false" ht="16.5" hidden="false" customHeight="true" outlineLevel="0" collapsed="false">
      <c r="A1249" s="151" t="n">
        <v>45924</v>
      </c>
      <c r="B1249" s="152" t="s">
        <v>1297</v>
      </c>
      <c r="C1249" s="153"/>
      <c r="D1249" s="154" t="s">
        <v>97</v>
      </c>
      <c r="E1249" s="153" t="n">
        <v>0.28</v>
      </c>
      <c r="F1249" s="154" t="s">
        <v>1296</v>
      </c>
      <c r="G1249" s="152" t="s">
        <v>188</v>
      </c>
      <c r="H1249" s="152" t="s">
        <v>106</v>
      </c>
      <c r="I1249" s="152"/>
    </row>
    <row r="1250" customFormat="false" ht="16.5" hidden="false" customHeight="true" outlineLevel="0" collapsed="false">
      <c r="A1250" s="151" t="n">
        <v>45922</v>
      </c>
      <c r="B1250" s="152" t="s">
        <v>1298</v>
      </c>
      <c r="C1250" s="153" t="n">
        <v>-180.12</v>
      </c>
      <c r="D1250" s="154" t="s">
        <v>97</v>
      </c>
      <c r="E1250" s="153" t="n">
        <v>-180.12</v>
      </c>
      <c r="F1250" s="154" t="s">
        <v>1296</v>
      </c>
      <c r="G1250" s="152" t="s">
        <v>188</v>
      </c>
      <c r="H1250" s="152" t="s">
        <v>106</v>
      </c>
      <c r="I1250" s="152"/>
    </row>
    <row r="1251" customFormat="false" ht="16.5" hidden="false" customHeight="true" outlineLevel="0" collapsed="false">
      <c r="A1251" s="151" t="n">
        <v>45922</v>
      </c>
      <c r="B1251" s="152" t="s">
        <v>1299</v>
      </c>
      <c r="C1251" s="153" t="n">
        <v>-1.99</v>
      </c>
      <c r="D1251" s="154" t="s">
        <v>97</v>
      </c>
      <c r="E1251" s="153"/>
      <c r="F1251" s="154" t="s">
        <v>1280</v>
      </c>
      <c r="G1251" s="152" t="s">
        <v>190</v>
      </c>
      <c r="H1251" s="152" t="s">
        <v>106</v>
      </c>
      <c r="I1251" s="152"/>
    </row>
    <row r="1252" customFormat="false" ht="16.5" hidden="false" customHeight="true" outlineLevel="0" collapsed="false">
      <c r="A1252" s="151" t="n">
        <v>45925</v>
      </c>
      <c r="B1252" s="152" t="s">
        <v>60</v>
      </c>
      <c r="C1252" s="153" t="n">
        <v>3670.68</v>
      </c>
      <c r="D1252" s="154" t="s">
        <v>97</v>
      </c>
      <c r="E1252" s="153"/>
      <c r="F1252" s="154"/>
      <c r="G1252" s="152" t="s">
        <v>315</v>
      </c>
      <c r="H1252" s="152" t="s">
        <v>106</v>
      </c>
      <c r="I1252" s="152"/>
    </row>
    <row r="1253" customFormat="false" ht="16.5" hidden="false" customHeight="true" outlineLevel="0" collapsed="false">
      <c r="A1253" s="151" t="n">
        <v>45931</v>
      </c>
      <c r="B1253" s="152" t="s">
        <v>1300</v>
      </c>
      <c r="C1253" s="153" t="n">
        <v>27.32</v>
      </c>
      <c r="D1253" s="154" t="s">
        <v>97</v>
      </c>
      <c r="E1253" s="153"/>
      <c r="F1253" s="154"/>
      <c r="G1253" s="152" t="s">
        <v>224</v>
      </c>
      <c r="H1253" s="152" t="s">
        <v>106</v>
      </c>
      <c r="I1253" s="152"/>
    </row>
    <row r="1254" customFormat="false" ht="16.5" hidden="false" customHeight="true" outlineLevel="0" collapsed="false">
      <c r="A1254" s="151" t="n">
        <v>45931</v>
      </c>
      <c r="B1254" s="152" t="s">
        <v>1301</v>
      </c>
      <c r="C1254" s="153" t="n">
        <v>-150.95</v>
      </c>
      <c r="D1254" s="154" t="s">
        <v>97</v>
      </c>
      <c r="E1254" s="153" t="n">
        <v>-150.95</v>
      </c>
      <c r="F1254" s="154" t="s">
        <v>1276</v>
      </c>
      <c r="G1254" s="152" t="s">
        <v>189</v>
      </c>
      <c r="H1254" s="152" t="s">
        <v>106</v>
      </c>
      <c r="I1254" s="152"/>
    </row>
    <row r="1255" customFormat="false" ht="16.5" hidden="false" customHeight="true" outlineLevel="0" collapsed="false">
      <c r="A1255" s="151" t="n">
        <v>45931</v>
      </c>
      <c r="B1255" s="152" t="s">
        <v>1302</v>
      </c>
      <c r="C1255" s="153" t="n">
        <v>-99.97</v>
      </c>
      <c r="D1255" s="154" t="s">
        <v>97</v>
      </c>
      <c r="E1255" s="153"/>
      <c r="F1255" s="154"/>
      <c r="G1255" s="152" t="s">
        <v>168</v>
      </c>
      <c r="H1255" s="152" t="s">
        <v>106</v>
      </c>
      <c r="I1255" s="152"/>
    </row>
    <row r="1256" customFormat="false" ht="16.5" hidden="false" customHeight="true" outlineLevel="0" collapsed="false">
      <c r="A1256" s="151" t="n">
        <v>45931</v>
      </c>
      <c r="B1256" s="152" t="s">
        <v>1303</v>
      </c>
      <c r="C1256" s="153" t="n">
        <v>-38.87</v>
      </c>
      <c r="D1256" s="154" t="s">
        <v>97</v>
      </c>
      <c r="E1256" s="153"/>
      <c r="F1256" s="154"/>
      <c r="G1256" s="152" t="s">
        <v>41</v>
      </c>
      <c r="H1256" s="152" t="s">
        <v>106</v>
      </c>
      <c r="I1256" s="152"/>
    </row>
    <row r="1257" customFormat="false" ht="16.5" hidden="false" customHeight="true" outlineLevel="0" collapsed="false">
      <c r="A1257" s="151" t="n">
        <v>45931</v>
      </c>
      <c r="B1257" s="152" t="s">
        <v>1304</v>
      </c>
      <c r="C1257" s="153" t="n">
        <v>-35.77</v>
      </c>
      <c r="D1257" s="154" t="s">
        <v>97</v>
      </c>
      <c r="E1257" s="153"/>
      <c r="F1257" s="154"/>
      <c r="G1257" s="152" t="s">
        <v>168</v>
      </c>
      <c r="H1257" s="152" t="s">
        <v>106</v>
      </c>
      <c r="I1257" s="152"/>
    </row>
    <row r="1258" customFormat="false" ht="16.5" hidden="false" customHeight="true" outlineLevel="0" collapsed="false">
      <c r="A1258" s="151" t="n">
        <v>45931</v>
      </c>
      <c r="B1258" s="152" t="s">
        <v>1305</v>
      </c>
      <c r="C1258" s="153" t="n">
        <v>-34.65</v>
      </c>
      <c r="D1258" s="154" t="s">
        <v>97</v>
      </c>
      <c r="E1258" s="153"/>
      <c r="F1258" s="154"/>
      <c r="G1258" s="152" t="s">
        <v>213</v>
      </c>
      <c r="H1258" s="152" t="s">
        <v>106</v>
      </c>
      <c r="I1258" s="152"/>
    </row>
    <row r="1259" customFormat="false" ht="16.5" hidden="false" customHeight="true" outlineLevel="0" collapsed="false">
      <c r="A1259" s="151" t="n">
        <v>45931</v>
      </c>
      <c r="B1259" s="152" t="s">
        <v>1306</v>
      </c>
      <c r="C1259" s="153" t="n">
        <v>-27.65</v>
      </c>
      <c r="D1259" s="154" t="s">
        <v>97</v>
      </c>
      <c r="E1259" s="153"/>
      <c r="F1259" s="154"/>
      <c r="G1259" s="152" t="s">
        <v>213</v>
      </c>
      <c r="H1259" s="152" t="s">
        <v>106</v>
      </c>
      <c r="I1259" s="152"/>
    </row>
    <row r="1260" customFormat="false" ht="16.5" hidden="false" customHeight="true" outlineLevel="0" collapsed="false">
      <c r="A1260" s="151" t="n">
        <v>45931</v>
      </c>
      <c r="B1260" s="152" t="s">
        <v>1307</v>
      </c>
      <c r="C1260" s="153" t="n">
        <v>-25.9</v>
      </c>
      <c r="D1260" s="154" t="s">
        <v>97</v>
      </c>
      <c r="E1260" s="153"/>
      <c r="F1260" s="154"/>
      <c r="G1260" s="152" t="s">
        <v>213</v>
      </c>
      <c r="H1260" s="152" t="s">
        <v>106</v>
      </c>
      <c r="I1260" s="152"/>
    </row>
    <row r="1261" customFormat="false" ht="16.5" hidden="false" customHeight="true" outlineLevel="0" collapsed="false">
      <c r="A1261" s="151" t="n">
        <v>45931</v>
      </c>
      <c r="B1261" s="152" t="s">
        <v>1308</v>
      </c>
      <c r="C1261" s="153" t="n">
        <v>-24.64</v>
      </c>
      <c r="D1261" s="154" t="s">
        <v>97</v>
      </c>
      <c r="E1261" s="153"/>
      <c r="F1261" s="154"/>
      <c r="G1261" s="152" t="s">
        <v>213</v>
      </c>
      <c r="H1261" s="152" t="s">
        <v>106</v>
      </c>
      <c r="I1261" s="152"/>
    </row>
    <row r="1262" customFormat="false" ht="16.5" hidden="false" customHeight="true" outlineLevel="0" collapsed="false">
      <c r="A1262" s="151" t="n">
        <v>45931</v>
      </c>
      <c r="B1262" s="152" t="s">
        <v>1309</v>
      </c>
      <c r="C1262" s="153" t="n">
        <v>-24.33</v>
      </c>
      <c r="D1262" s="154" t="s">
        <v>97</v>
      </c>
      <c r="E1262" s="153"/>
      <c r="F1262" s="154"/>
      <c r="G1262" s="152" t="s">
        <v>213</v>
      </c>
      <c r="H1262" s="152" t="s">
        <v>106</v>
      </c>
      <c r="I1262" s="152"/>
    </row>
    <row r="1263" customFormat="false" ht="16.5" hidden="false" customHeight="true" outlineLevel="0" collapsed="false">
      <c r="A1263" s="151" t="n">
        <v>45931</v>
      </c>
      <c r="B1263" s="152" t="s">
        <v>1310</v>
      </c>
      <c r="C1263" s="153" t="n">
        <v>-17.61</v>
      </c>
      <c r="D1263" s="154" t="s">
        <v>97</v>
      </c>
      <c r="E1263" s="153"/>
      <c r="F1263" s="154"/>
      <c r="G1263" s="152" t="s">
        <v>213</v>
      </c>
      <c r="H1263" s="152" t="s">
        <v>106</v>
      </c>
      <c r="I1263" s="152"/>
    </row>
    <row r="1264" customFormat="false" ht="16.5" hidden="false" customHeight="true" outlineLevel="0" collapsed="false">
      <c r="A1264" s="151" t="n">
        <v>45931</v>
      </c>
      <c r="B1264" s="152" t="s">
        <v>1311</v>
      </c>
      <c r="C1264" s="153" t="n">
        <v>-8.02</v>
      </c>
      <c r="D1264" s="154" t="s">
        <v>97</v>
      </c>
      <c r="E1264" s="153"/>
      <c r="F1264" s="154"/>
      <c r="G1264" s="152" t="s">
        <v>164</v>
      </c>
      <c r="H1264" s="152" t="s">
        <v>106</v>
      </c>
      <c r="I1264" s="152"/>
    </row>
    <row r="1265" customFormat="false" ht="16.5" hidden="false" customHeight="true" outlineLevel="0" collapsed="false">
      <c r="A1265" s="151" t="n">
        <v>45931</v>
      </c>
      <c r="B1265" s="152" t="s">
        <v>1312</v>
      </c>
      <c r="C1265" s="153" t="n">
        <v>-6.42</v>
      </c>
      <c r="D1265" s="154" t="s">
        <v>97</v>
      </c>
      <c r="E1265" s="153"/>
      <c r="F1265" s="154"/>
      <c r="G1265" s="152" t="s">
        <v>213</v>
      </c>
      <c r="H1265" s="152" t="s">
        <v>106</v>
      </c>
      <c r="I1265" s="152"/>
    </row>
    <row r="1266" customFormat="false" ht="16.5" hidden="false" customHeight="true" outlineLevel="0" collapsed="false">
      <c r="A1266" s="151" t="n">
        <v>45931</v>
      </c>
      <c r="B1266" s="152" t="s">
        <v>1313</v>
      </c>
      <c r="C1266" s="153" t="n">
        <v>-4.8</v>
      </c>
      <c r="D1266" s="154" t="s">
        <v>97</v>
      </c>
      <c r="E1266" s="153"/>
      <c r="F1266" s="154"/>
      <c r="G1266" s="152" t="s">
        <v>213</v>
      </c>
      <c r="H1266" s="152" t="s">
        <v>106</v>
      </c>
      <c r="I1266" s="152"/>
    </row>
    <row r="1267" customFormat="false" ht="16.5" hidden="false" customHeight="true" outlineLevel="0" collapsed="false">
      <c r="A1267" s="151" t="n">
        <v>45931</v>
      </c>
      <c r="B1267" s="152" t="s">
        <v>1314</v>
      </c>
      <c r="C1267" s="153" t="n">
        <v>-4.53</v>
      </c>
      <c r="D1267" s="154" t="s">
        <v>97</v>
      </c>
      <c r="E1267" s="153"/>
      <c r="F1267" s="154"/>
      <c r="G1267" s="152" t="s">
        <v>213</v>
      </c>
      <c r="H1267" s="152" t="s">
        <v>106</v>
      </c>
      <c r="I1267" s="152"/>
    </row>
    <row r="1268" customFormat="false" ht="16.5" hidden="false" customHeight="true" outlineLevel="0" collapsed="false">
      <c r="A1268" s="151" t="n">
        <v>45931</v>
      </c>
      <c r="B1268" s="152" t="s">
        <v>1315</v>
      </c>
      <c r="C1268" s="153" t="n">
        <v>-4.38</v>
      </c>
      <c r="D1268" s="154" t="s">
        <v>97</v>
      </c>
      <c r="E1268" s="153"/>
      <c r="F1268" s="154"/>
      <c r="G1268" s="152" t="s">
        <v>213</v>
      </c>
      <c r="H1268" s="152" t="s">
        <v>106</v>
      </c>
      <c r="I1268" s="152"/>
    </row>
    <row r="1269" customFormat="false" ht="16.5" hidden="false" customHeight="true" outlineLevel="0" collapsed="false">
      <c r="A1269" s="151" t="n">
        <v>45931</v>
      </c>
      <c r="B1269" s="152" t="s">
        <v>1316</v>
      </c>
      <c r="C1269" s="153" t="n">
        <v>-4.38</v>
      </c>
      <c r="D1269" s="154" t="s">
        <v>97</v>
      </c>
      <c r="E1269" s="153"/>
      <c r="F1269" s="154"/>
      <c r="G1269" s="152" t="s">
        <v>168</v>
      </c>
      <c r="H1269" s="152" t="s">
        <v>106</v>
      </c>
      <c r="I1269" s="152"/>
    </row>
    <row r="1270" customFormat="false" ht="16.5" hidden="false" customHeight="true" outlineLevel="0" collapsed="false">
      <c r="A1270" s="151" t="n">
        <v>45931</v>
      </c>
      <c r="B1270" s="152" t="s">
        <v>1317</v>
      </c>
      <c r="C1270" s="153" t="n">
        <v>-4.1</v>
      </c>
      <c r="D1270" s="154" t="s">
        <v>97</v>
      </c>
      <c r="E1270" s="153"/>
      <c r="F1270" s="154"/>
      <c r="G1270" s="152" t="s">
        <v>213</v>
      </c>
      <c r="H1270" s="152" t="s">
        <v>106</v>
      </c>
      <c r="I1270" s="152"/>
    </row>
    <row r="1271" customFormat="false" ht="16.5" hidden="false" customHeight="true" outlineLevel="0" collapsed="false">
      <c r="A1271" s="151" t="n">
        <v>45931</v>
      </c>
      <c r="B1271" s="152" t="s">
        <v>1318</v>
      </c>
      <c r="C1271" s="153" t="n">
        <v>-3.57</v>
      </c>
      <c r="D1271" s="154" t="s">
        <v>97</v>
      </c>
      <c r="E1271" s="153"/>
      <c r="F1271" s="154"/>
      <c r="G1271" s="152" t="s">
        <v>231</v>
      </c>
      <c r="H1271" s="152" t="s">
        <v>106</v>
      </c>
      <c r="I1271" s="152"/>
    </row>
    <row r="1272" customFormat="false" ht="16.5" hidden="false" customHeight="true" outlineLevel="0" collapsed="false">
      <c r="A1272" s="151" t="n">
        <v>45931</v>
      </c>
      <c r="B1272" s="152" t="s">
        <v>1319</v>
      </c>
      <c r="C1272" s="153" t="n">
        <v>-2.66</v>
      </c>
      <c r="D1272" s="154" t="s">
        <v>97</v>
      </c>
      <c r="E1272" s="153"/>
      <c r="F1272" s="154"/>
      <c r="G1272" s="152" t="s">
        <v>213</v>
      </c>
      <c r="H1272" s="152" t="s">
        <v>106</v>
      </c>
      <c r="I1272" s="152"/>
    </row>
    <row r="1273" customFormat="false" ht="16.5" hidden="false" customHeight="true" outlineLevel="0" collapsed="false">
      <c r="A1273" s="151" t="n">
        <v>45931</v>
      </c>
      <c r="B1273" s="152" t="s">
        <v>1320</v>
      </c>
      <c r="C1273" s="153" t="n">
        <v>-2.61</v>
      </c>
      <c r="D1273" s="154" t="s">
        <v>97</v>
      </c>
      <c r="E1273" s="153"/>
      <c r="F1273" s="154"/>
      <c r="G1273" s="152" t="s">
        <v>211</v>
      </c>
      <c r="H1273" s="152" t="s">
        <v>106</v>
      </c>
      <c r="I1273" s="152"/>
    </row>
    <row r="1274" customFormat="false" ht="16.5" hidden="false" customHeight="true" outlineLevel="0" collapsed="false">
      <c r="A1274" s="151" t="n">
        <v>45931</v>
      </c>
      <c r="B1274" s="152" t="s">
        <v>1321</v>
      </c>
      <c r="C1274" s="153" t="n">
        <v>-2.61</v>
      </c>
      <c r="D1274" s="154" t="s">
        <v>97</v>
      </c>
      <c r="E1274" s="153"/>
      <c r="F1274" s="154"/>
      <c r="G1274" s="152" t="s">
        <v>211</v>
      </c>
      <c r="H1274" s="152" t="s">
        <v>106</v>
      </c>
      <c r="I1274" s="152"/>
    </row>
    <row r="1275" customFormat="false" ht="16.5" hidden="false" customHeight="true" outlineLevel="0" collapsed="false">
      <c r="A1275" s="151" t="n">
        <v>45931</v>
      </c>
      <c r="B1275" s="152" t="s">
        <v>1322</v>
      </c>
      <c r="C1275" s="153" t="n">
        <v>-2.5</v>
      </c>
      <c r="D1275" s="154" t="s">
        <v>97</v>
      </c>
      <c r="E1275" s="153"/>
      <c r="F1275" s="154"/>
      <c r="G1275" s="152" t="s">
        <v>231</v>
      </c>
      <c r="H1275" s="152" t="s">
        <v>106</v>
      </c>
      <c r="I1275" s="152"/>
    </row>
    <row r="1276" customFormat="false" ht="16.5" hidden="false" customHeight="true" outlineLevel="0" collapsed="false">
      <c r="A1276" s="151" t="n">
        <v>45931</v>
      </c>
      <c r="B1276" s="152" t="s">
        <v>1323</v>
      </c>
      <c r="C1276" s="153" t="n">
        <v>-2.41</v>
      </c>
      <c r="D1276" s="154" t="s">
        <v>97</v>
      </c>
      <c r="E1276" s="153"/>
      <c r="F1276" s="154"/>
      <c r="G1276" s="152" t="s">
        <v>211</v>
      </c>
      <c r="H1276" s="152" t="s">
        <v>106</v>
      </c>
      <c r="I1276" s="152"/>
    </row>
    <row r="1277" customFormat="false" ht="16.5" hidden="false" customHeight="true" outlineLevel="0" collapsed="false">
      <c r="A1277" s="151" t="n">
        <v>45931</v>
      </c>
      <c r="B1277" s="152" t="s">
        <v>1324</v>
      </c>
      <c r="C1277" s="153" t="n">
        <v>-2.41</v>
      </c>
      <c r="D1277" s="154" t="s">
        <v>97</v>
      </c>
      <c r="E1277" s="153"/>
      <c r="F1277" s="154"/>
      <c r="G1277" s="152" t="s">
        <v>211</v>
      </c>
      <c r="H1277" s="152" t="s">
        <v>106</v>
      </c>
      <c r="I1277" s="152"/>
    </row>
    <row r="1278" customFormat="false" ht="16.5" hidden="false" customHeight="true" outlineLevel="0" collapsed="false">
      <c r="A1278" s="151" t="n">
        <v>45931</v>
      </c>
      <c r="B1278" s="152" t="s">
        <v>1325</v>
      </c>
      <c r="C1278" s="153" t="n">
        <v>-2.39</v>
      </c>
      <c r="D1278" s="154" t="s">
        <v>97</v>
      </c>
      <c r="E1278" s="153"/>
      <c r="F1278" s="154"/>
      <c r="G1278" s="152" t="s">
        <v>168</v>
      </c>
      <c r="H1278" s="152" t="s">
        <v>106</v>
      </c>
      <c r="I1278" s="152"/>
    </row>
    <row r="1279" customFormat="false" ht="16.5" hidden="false" customHeight="true" outlineLevel="0" collapsed="false">
      <c r="A1279" s="151" t="n">
        <v>45931</v>
      </c>
      <c r="B1279" s="152" t="s">
        <v>1326</v>
      </c>
      <c r="C1279" s="153" t="n">
        <v>-2.26</v>
      </c>
      <c r="D1279" s="154" t="s">
        <v>97</v>
      </c>
      <c r="E1279" s="153"/>
      <c r="F1279" s="154"/>
      <c r="G1279" s="152" t="s">
        <v>213</v>
      </c>
      <c r="H1279" s="152" t="s">
        <v>106</v>
      </c>
      <c r="I1279" s="152"/>
    </row>
    <row r="1280" customFormat="false" ht="16.5" hidden="false" customHeight="true" outlineLevel="0" collapsed="false">
      <c r="A1280" s="151" t="n">
        <v>45931</v>
      </c>
      <c r="B1280" s="152" t="s">
        <v>1327</v>
      </c>
      <c r="C1280" s="153" t="n">
        <v>-2.19</v>
      </c>
      <c r="D1280" s="154" t="s">
        <v>97</v>
      </c>
      <c r="E1280" s="153"/>
      <c r="F1280" s="154"/>
      <c r="G1280" s="152" t="s">
        <v>167</v>
      </c>
      <c r="H1280" s="152" t="s">
        <v>106</v>
      </c>
      <c r="I1280" s="152"/>
    </row>
    <row r="1281" customFormat="false" ht="16.5" hidden="false" customHeight="true" outlineLevel="0" collapsed="false">
      <c r="A1281" s="151" t="n">
        <v>45931</v>
      </c>
      <c r="B1281" s="152" t="s">
        <v>1328</v>
      </c>
      <c r="C1281" s="153" t="n">
        <v>-2.08</v>
      </c>
      <c r="D1281" s="154" t="s">
        <v>97</v>
      </c>
      <c r="E1281" s="153"/>
      <c r="F1281" s="154"/>
      <c r="G1281" s="152" t="s">
        <v>213</v>
      </c>
      <c r="H1281" s="152" t="s">
        <v>106</v>
      </c>
      <c r="I1281" s="152"/>
    </row>
    <row r="1282" customFormat="false" ht="16.5" hidden="false" customHeight="true" outlineLevel="0" collapsed="false">
      <c r="A1282" s="151" t="n">
        <v>45931</v>
      </c>
      <c r="B1282" s="152" t="s">
        <v>1329</v>
      </c>
      <c r="C1282" s="153" t="n">
        <v>-1.16</v>
      </c>
      <c r="D1282" s="154" t="s">
        <v>97</v>
      </c>
      <c r="E1282" s="153"/>
      <c r="F1282" s="154"/>
      <c r="G1282" s="152" t="s">
        <v>211</v>
      </c>
      <c r="H1282" s="152" t="s">
        <v>106</v>
      </c>
      <c r="I1282" s="152"/>
    </row>
    <row r="1283" customFormat="false" ht="16.5" hidden="false" customHeight="true" outlineLevel="0" collapsed="false">
      <c r="A1283" s="151" t="n">
        <v>45931</v>
      </c>
      <c r="B1283" s="152" t="s">
        <v>1330</v>
      </c>
      <c r="C1283" s="153" t="n">
        <v>-1.16</v>
      </c>
      <c r="D1283" s="154" t="s">
        <v>97</v>
      </c>
      <c r="E1283" s="153"/>
      <c r="F1283" s="154"/>
      <c r="G1283" s="152" t="s">
        <v>211</v>
      </c>
      <c r="H1283" s="152" t="s">
        <v>106</v>
      </c>
      <c r="I1283" s="152"/>
    </row>
    <row r="1284" customFormat="false" ht="16.5" hidden="false" customHeight="true" outlineLevel="0" collapsed="false">
      <c r="A1284" s="151" t="n">
        <v>45931</v>
      </c>
      <c r="B1284" s="152" t="s">
        <v>1331</v>
      </c>
      <c r="C1284" s="153" t="n">
        <v>-1.12</v>
      </c>
      <c r="D1284" s="154" t="s">
        <v>97</v>
      </c>
      <c r="E1284" s="153"/>
      <c r="F1284" s="154"/>
      <c r="G1284" s="152" t="s">
        <v>213</v>
      </c>
      <c r="H1284" s="152" t="s">
        <v>106</v>
      </c>
      <c r="I1284" s="152"/>
    </row>
    <row r="1285" customFormat="false" ht="16.5" hidden="false" customHeight="true" outlineLevel="0" collapsed="false">
      <c r="A1285" s="151" t="n">
        <v>45931</v>
      </c>
      <c r="B1285" s="152" t="s">
        <v>1332</v>
      </c>
      <c r="C1285" s="153" t="n">
        <v>-1.1</v>
      </c>
      <c r="D1285" s="154" t="s">
        <v>97</v>
      </c>
      <c r="E1285" s="153"/>
      <c r="F1285" s="154"/>
      <c r="G1285" s="152" t="s">
        <v>213</v>
      </c>
      <c r="H1285" s="152" t="s">
        <v>106</v>
      </c>
      <c r="I1285" s="152"/>
    </row>
    <row r="1286" customFormat="false" ht="16.5" hidden="false" customHeight="true" outlineLevel="0" collapsed="false">
      <c r="A1286" s="151" t="n">
        <v>45931</v>
      </c>
      <c r="B1286" s="152" t="s">
        <v>1333</v>
      </c>
      <c r="C1286" s="153" t="n">
        <v>-0.98</v>
      </c>
      <c r="D1286" s="154" t="s">
        <v>97</v>
      </c>
      <c r="E1286" s="153"/>
      <c r="F1286" s="154"/>
      <c r="G1286" s="152" t="s">
        <v>213</v>
      </c>
      <c r="H1286" s="152" t="s">
        <v>106</v>
      </c>
      <c r="I1286" s="152"/>
    </row>
    <row r="1287" customFormat="false" ht="16.5" hidden="false" customHeight="true" outlineLevel="0" collapsed="false">
      <c r="A1287" s="151" t="n">
        <v>45931</v>
      </c>
      <c r="B1287" s="152" t="s">
        <v>1334</v>
      </c>
      <c r="C1287" s="153" t="n">
        <v>-0.74</v>
      </c>
      <c r="D1287" s="154" t="s">
        <v>97</v>
      </c>
      <c r="E1287" s="153"/>
      <c r="F1287" s="154"/>
      <c r="G1287" s="152" t="s">
        <v>213</v>
      </c>
      <c r="H1287" s="152" t="s">
        <v>106</v>
      </c>
      <c r="I1287" s="152"/>
    </row>
    <row r="1288" customFormat="false" ht="16.5" hidden="false" customHeight="true" outlineLevel="0" collapsed="false">
      <c r="A1288" s="151" t="n">
        <v>45931</v>
      </c>
      <c r="B1288" s="152" t="s">
        <v>1335</v>
      </c>
      <c r="C1288" s="153" t="n">
        <v>-0.52</v>
      </c>
      <c r="D1288" s="154" t="s">
        <v>97</v>
      </c>
      <c r="E1288" s="153"/>
      <c r="F1288" s="154"/>
      <c r="G1288" s="152" t="s">
        <v>231</v>
      </c>
      <c r="H1288" s="152" t="s">
        <v>106</v>
      </c>
      <c r="I1288" s="152"/>
    </row>
    <row r="1289" customFormat="false" ht="16.5" hidden="false" customHeight="true" outlineLevel="0" collapsed="false">
      <c r="A1289" s="151" t="n">
        <v>45931</v>
      </c>
      <c r="B1289" s="152" t="s">
        <v>1336</v>
      </c>
      <c r="C1289" s="153" t="n">
        <v>-0.5</v>
      </c>
      <c r="D1289" s="154" t="s">
        <v>97</v>
      </c>
      <c r="E1289" s="153"/>
      <c r="F1289" s="154"/>
      <c r="G1289" s="152" t="s">
        <v>213</v>
      </c>
      <c r="H1289" s="152" t="s">
        <v>106</v>
      </c>
      <c r="I1289" s="152"/>
    </row>
    <row r="1290" customFormat="false" ht="16.5" hidden="false" customHeight="true" outlineLevel="0" collapsed="false">
      <c r="A1290" s="151" t="n">
        <v>45931</v>
      </c>
      <c r="B1290" s="152" t="s">
        <v>1337</v>
      </c>
      <c r="C1290" s="153" t="n">
        <v>-0.26</v>
      </c>
      <c r="D1290" s="154" t="s">
        <v>97</v>
      </c>
      <c r="E1290" s="153"/>
      <c r="F1290" s="154"/>
      <c r="G1290" s="152" t="s">
        <v>213</v>
      </c>
      <c r="H1290" s="152" t="s">
        <v>106</v>
      </c>
      <c r="I1290" s="152"/>
    </row>
    <row r="1291" customFormat="false" ht="16.5" hidden="false" customHeight="true" outlineLevel="0" collapsed="false">
      <c r="A1291" s="151" t="n">
        <v>45931</v>
      </c>
      <c r="B1291" s="152" t="s">
        <v>1338</v>
      </c>
      <c r="C1291" s="153" t="n">
        <v>-0.24</v>
      </c>
      <c r="D1291" s="154" t="s">
        <v>97</v>
      </c>
      <c r="E1291" s="153"/>
      <c r="F1291" s="154"/>
      <c r="G1291" s="152" t="s">
        <v>222</v>
      </c>
      <c r="H1291" s="152" t="s">
        <v>106</v>
      </c>
      <c r="I1291" s="152"/>
    </row>
    <row r="1292" customFormat="false" ht="16.5" hidden="false" customHeight="true" outlineLevel="0" collapsed="false">
      <c r="A1292" s="151" t="n">
        <v>45931</v>
      </c>
      <c r="B1292" s="152" t="s">
        <v>606</v>
      </c>
      <c r="C1292" s="153" t="n">
        <v>-339.37</v>
      </c>
      <c r="D1292" s="154" t="s">
        <v>97</v>
      </c>
      <c r="E1292" s="153"/>
      <c r="F1292" s="154"/>
      <c r="G1292" s="152" t="s">
        <v>162</v>
      </c>
      <c r="H1292" s="152" t="s">
        <v>106</v>
      </c>
      <c r="I1292" s="152"/>
    </row>
    <row r="1293" customFormat="false" ht="16.5" hidden="false" customHeight="true" outlineLevel="0" collapsed="false">
      <c r="A1293" s="151" t="n">
        <v>45931</v>
      </c>
      <c r="B1293" s="152" t="s">
        <v>1339</v>
      </c>
      <c r="C1293" s="153" t="n">
        <v>616.41</v>
      </c>
      <c r="D1293" s="154" t="s">
        <v>97</v>
      </c>
      <c r="E1293" s="153"/>
      <c r="F1293" s="154"/>
      <c r="G1293" s="152" t="s">
        <v>194</v>
      </c>
      <c r="H1293" s="152" t="s">
        <v>106</v>
      </c>
      <c r="I1293" s="152"/>
    </row>
    <row r="1294" customFormat="false" ht="16.5" hidden="false" customHeight="true" outlineLevel="0" collapsed="false">
      <c r="A1294" s="151" t="n">
        <v>45931</v>
      </c>
      <c r="B1294" s="152" t="s">
        <v>1340</v>
      </c>
      <c r="C1294" s="153" t="n">
        <v>275.25</v>
      </c>
      <c r="D1294" s="154" t="s">
        <v>97</v>
      </c>
      <c r="E1294" s="153"/>
      <c r="F1294" s="154"/>
      <c r="G1294" s="152" t="s">
        <v>206</v>
      </c>
      <c r="H1294" s="152" t="s">
        <v>106</v>
      </c>
      <c r="I1294" s="152"/>
    </row>
    <row r="1295" customFormat="false" ht="16.5" hidden="false" customHeight="true" outlineLevel="0" collapsed="false">
      <c r="A1295" s="151" t="n">
        <v>45931</v>
      </c>
      <c r="B1295" s="152" t="s">
        <v>1341</v>
      </c>
      <c r="C1295" s="153" t="n">
        <v>103.44</v>
      </c>
      <c r="D1295" s="154" t="s">
        <v>97</v>
      </c>
      <c r="E1295" s="153"/>
      <c r="F1295" s="154"/>
      <c r="G1295" s="152" t="s">
        <v>206</v>
      </c>
      <c r="H1295" s="152" t="s">
        <v>106</v>
      </c>
      <c r="I1295" s="152"/>
    </row>
    <row r="1296" customFormat="false" ht="16.5" hidden="false" customHeight="true" outlineLevel="0" collapsed="false">
      <c r="A1296" s="151" t="n">
        <v>45929</v>
      </c>
      <c r="B1296" s="152" t="s">
        <v>1342</v>
      </c>
      <c r="C1296" s="153" t="n">
        <v>-23.16</v>
      </c>
      <c r="D1296" s="154" t="s">
        <v>97</v>
      </c>
      <c r="E1296" s="153"/>
      <c r="F1296" s="154"/>
      <c r="G1296" s="152" t="s">
        <v>202</v>
      </c>
      <c r="H1296" s="152" t="s">
        <v>106</v>
      </c>
      <c r="I1296" s="152"/>
    </row>
    <row r="1297" customFormat="false" ht="16.5" hidden="false" customHeight="true" outlineLevel="0" collapsed="false">
      <c r="A1297" s="151" t="n">
        <v>45929</v>
      </c>
      <c r="B1297" s="152" t="s">
        <v>1343</v>
      </c>
      <c r="C1297" s="153" t="n">
        <v>-1.6</v>
      </c>
      <c r="D1297" s="154" t="s">
        <v>97</v>
      </c>
      <c r="E1297" s="153"/>
      <c r="F1297" s="154"/>
      <c r="G1297" s="152" t="s">
        <v>219</v>
      </c>
      <c r="H1297" s="152" t="s">
        <v>106</v>
      </c>
      <c r="I1297" s="152"/>
    </row>
    <row r="1298" customFormat="false" ht="16.5" hidden="false" customHeight="true" outlineLevel="0" collapsed="false">
      <c r="A1298" s="151" t="n">
        <v>45929</v>
      </c>
      <c r="B1298" s="152" t="s">
        <v>1172</v>
      </c>
      <c r="C1298" s="153" t="n">
        <v>10.03</v>
      </c>
      <c r="D1298" s="154" t="s">
        <v>97</v>
      </c>
      <c r="E1298" s="153"/>
      <c r="F1298" s="154"/>
      <c r="G1298" s="152" t="s">
        <v>204</v>
      </c>
      <c r="H1298" s="152" t="s">
        <v>106</v>
      </c>
      <c r="I1298" s="152"/>
    </row>
    <row r="1299" customFormat="false" ht="16.5" hidden="false" customHeight="true" outlineLevel="0" collapsed="false">
      <c r="A1299" s="151" t="n">
        <v>45926</v>
      </c>
      <c r="B1299" s="152" t="s">
        <v>1344</v>
      </c>
      <c r="C1299" s="153" t="n">
        <v>-1.4</v>
      </c>
      <c r="D1299" s="154" t="s">
        <v>97</v>
      </c>
      <c r="E1299" s="153"/>
      <c r="F1299" s="154"/>
      <c r="G1299" s="152" t="s">
        <v>226</v>
      </c>
      <c r="H1299" s="152" t="s">
        <v>106</v>
      </c>
      <c r="I1299" s="152"/>
    </row>
    <row r="1300" customFormat="false" ht="16.5" hidden="false" customHeight="true" outlineLevel="0" collapsed="false">
      <c r="A1300" s="151" t="n">
        <v>45934</v>
      </c>
      <c r="B1300" s="152" t="s">
        <v>60</v>
      </c>
      <c r="C1300" s="153" t="n">
        <v>3785.16</v>
      </c>
      <c r="D1300" s="154" t="s">
        <v>97</v>
      </c>
      <c r="E1300" s="153"/>
      <c r="F1300" s="154"/>
      <c r="G1300" s="152" t="s">
        <v>315</v>
      </c>
      <c r="H1300" s="152" t="s">
        <v>106</v>
      </c>
      <c r="I1300" s="152"/>
    </row>
    <row r="1301" customFormat="false" ht="16.5" hidden="false" customHeight="true" outlineLevel="0" collapsed="false">
      <c r="A1301" s="151" t="n">
        <v>45859</v>
      </c>
      <c r="B1301" s="152" t="s">
        <v>594</v>
      </c>
      <c r="C1301" s="153" t="n">
        <v>1.01</v>
      </c>
      <c r="D1301" s="154" t="s">
        <v>97</v>
      </c>
      <c r="E1301" s="153"/>
      <c r="F1301" s="154"/>
      <c r="G1301" s="152" t="s">
        <v>199</v>
      </c>
      <c r="H1301" s="152" t="s">
        <v>122</v>
      </c>
      <c r="I1301" s="152"/>
    </row>
    <row r="1302" customFormat="false" ht="16.5" hidden="false" customHeight="true" outlineLevel="0" collapsed="false">
      <c r="A1302" s="151" t="n">
        <v>45931</v>
      </c>
      <c r="B1302" s="152" t="s">
        <v>628</v>
      </c>
      <c r="C1302" s="153" t="n">
        <v>22.32</v>
      </c>
      <c r="D1302" s="154" t="s">
        <v>97</v>
      </c>
      <c r="E1302" s="153"/>
      <c r="F1302" s="154"/>
      <c r="G1302" s="152" t="s">
        <v>199</v>
      </c>
      <c r="H1302" s="152" t="s">
        <v>122</v>
      </c>
      <c r="I1302" s="152"/>
    </row>
    <row r="1303" customFormat="false" ht="16.5" hidden="false" customHeight="true" outlineLevel="0" collapsed="false">
      <c r="A1303" s="151" t="n">
        <v>45934</v>
      </c>
      <c r="B1303" s="152" t="s">
        <v>60</v>
      </c>
      <c r="C1303" s="153" t="n">
        <v>219.05</v>
      </c>
      <c r="D1303" s="154" t="s">
        <v>97</v>
      </c>
      <c r="E1303" s="153"/>
      <c r="F1303" s="154"/>
      <c r="G1303" s="152" t="s">
        <v>315</v>
      </c>
      <c r="H1303" s="152" t="s">
        <v>122</v>
      </c>
      <c r="I1303" s="152"/>
    </row>
    <row r="1304" customFormat="false" ht="16.5" hidden="false" customHeight="true" outlineLevel="0" collapsed="false">
      <c r="A1304" s="151" t="n">
        <v>45934</v>
      </c>
      <c r="B1304" s="152" t="s">
        <v>60</v>
      </c>
      <c r="C1304" s="153" t="n">
        <v>9755.39</v>
      </c>
      <c r="D1304" s="154" t="s">
        <v>97</v>
      </c>
      <c r="E1304" s="153"/>
      <c r="F1304" s="154"/>
      <c r="G1304" s="152" t="s">
        <v>315</v>
      </c>
      <c r="H1304" s="152" t="s">
        <v>100</v>
      </c>
      <c r="I1304" s="152"/>
    </row>
    <row r="1305" customFormat="false" ht="16.5" hidden="false" customHeight="true" outlineLevel="0" collapsed="false">
      <c r="A1305" s="151" t="n">
        <v>45934</v>
      </c>
      <c r="B1305" s="152" t="s">
        <v>60</v>
      </c>
      <c r="C1305" s="153" t="n">
        <v>1017.12</v>
      </c>
      <c r="D1305" s="154" t="s">
        <v>97</v>
      </c>
      <c r="E1305" s="153"/>
      <c r="F1305" s="154"/>
      <c r="G1305" s="152" t="s">
        <v>315</v>
      </c>
      <c r="H1305" s="152" t="s">
        <v>109</v>
      </c>
      <c r="I1305" s="152"/>
    </row>
    <row r="1306" customFormat="false" ht="16.5" hidden="false" customHeight="true" outlineLevel="0" collapsed="false">
      <c r="A1306" s="151" t="n">
        <v>45934</v>
      </c>
      <c r="B1306" s="152" t="s">
        <v>1115</v>
      </c>
      <c r="C1306" s="160" t="n">
        <v>0</v>
      </c>
      <c r="D1306" s="154"/>
      <c r="E1306" s="160"/>
      <c r="F1306" s="154"/>
      <c r="G1306" s="152" t="s">
        <v>1116</v>
      </c>
      <c r="H1306" s="152"/>
      <c r="I1306" s="152"/>
    </row>
    <row r="1307" customFormat="false" ht="16.5" hidden="false" customHeight="true" outlineLevel="0" collapsed="false">
      <c r="A1307" s="151" t="n">
        <v>45932</v>
      </c>
      <c r="B1307" s="152" t="s">
        <v>692</v>
      </c>
      <c r="C1307" s="153" t="n">
        <v>-0.18</v>
      </c>
      <c r="D1307" s="154" t="s">
        <v>97</v>
      </c>
      <c r="E1307" s="153"/>
      <c r="F1307" s="154"/>
      <c r="G1307" s="152" t="s">
        <v>204</v>
      </c>
      <c r="H1307" s="152" t="s">
        <v>117</v>
      </c>
      <c r="I1307" s="152"/>
    </row>
    <row r="1308" customFormat="false" ht="16.5" hidden="false" customHeight="true" outlineLevel="0" collapsed="false">
      <c r="A1308" s="151" t="n">
        <v>45932</v>
      </c>
      <c r="B1308" s="152" t="s">
        <v>692</v>
      </c>
      <c r="C1308" s="159" t="n">
        <v>-1.05</v>
      </c>
      <c r="D1308" s="154" t="s">
        <v>103</v>
      </c>
      <c r="E1308" s="153"/>
      <c r="F1308" s="154"/>
      <c r="G1308" s="152" t="s">
        <v>204</v>
      </c>
      <c r="H1308" s="152" t="s">
        <v>125</v>
      </c>
      <c r="I1308" s="152"/>
    </row>
    <row r="1309" customFormat="false" ht="16.5" hidden="false" customHeight="true" outlineLevel="0" collapsed="false">
      <c r="A1309" s="151" t="n">
        <v>45934</v>
      </c>
      <c r="B1309" s="152" t="s">
        <v>60</v>
      </c>
      <c r="C1309" s="153" t="n">
        <v>1398.27</v>
      </c>
      <c r="D1309" s="154" t="s">
        <v>97</v>
      </c>
      <c r="E1309" s="153"/>
      <c r="F1309" s="154"/>
      <c r="G1309" s="152" t="s">
        <v>315</v>
      </c>
      <c r="H1309" s="152" t="s">
        <v>117</v>
      </c>
      <c r="I1309" s="152"/>
    </row>
    <row r="1310" customFormat="false" ht="16.5" hidden="false" customHeight="true" outlineLevel="0" collapsed="false">
      <c r="A1310" s="151" t="n">
        <v>45934</v>
      </c>
      <c r="B1310" s="152" t="s">
        <v>60</v>
      </c>
      <c r="C1310" s="159" t="n">
        <v>6898.49</v>
      </c>
      <c r="D1310" s="154" t="s">
        <v>103</v>
      </c>
      <c r="E1310" s="153"/>
      <c r="F1310" s="154"/>
      <c r="G1310" s="152" t="s">
        <v>315</v>
      </c>
      <c r="H1310" s="152" t="s">
        <v>125</v>
      </c>
      <c r="I1310" s="152"/>
    </row>
    <row r="1311" customFormat="false" ht="16.5" hidden="false" customHeight="true" outlineLevel="0" collapsed="false">
      <c r="A1311" s="151" t="n">
        <v>45933</v>
      </c>
      <c r="B1311" s="152" t="s">
        <v>1345</v>
      </c>
      <c r="C1311" s="153" t="n">
        <v>-24.05</v>
      </c>
      <c r="D1311" s="154" t="s">
        <v>97</v>
      </c>
      <c r="E1311" s="153"/>
      <c r="F1311" s="154"/>
      <c r="G1311" s="152" t="s">
        <v>211</v>
      </c>
      <c r="H1311" s="152" t="s">
        <v>108</v>
      </c>
      <c r="I1311" s="152"/>
    </row>
    <row r="1312" customFormat="false" ht="16.5" hidden="false" customHeight="true" outlineLevel="0" collapsed="false">
      <c r="A1312" s="151" t="n">
        <v>45939</v>
      </c>
      <c r="B1312" s="152" t="s">
        <v>1346</v>
      </c>
      <c r="C1312" s="153" t="n">
        <v>-194.44</v>
      </c>
      <c r="D1312" s="154" t="s">
        <v>97</v>
      </c>
      <c r="E1312" s="153"/>
      <c r="F1312" s="154"/>
      <c r="G1312" s="152" t="s">
        <v>164</v>
      </c>
      <c r="H1312" s="152" t="s">
        <v>108</v>
      </c>
      <c r="I1312" s="152"/>
    </row>
    <row r="1313" customFormat="false" ht="16.5" hidden="false" customHeight="true" outlineLevel="0" collapsed="false">
      <c r="A1313" s="151" t="n">
        <v>45939</v>
      </c>
      <c r="B1313" s="152" t="s">
        <v>195</v>
      </c>
      <c r="C1313" s="153" t="n">
        <v>-561.62</v>
      </c>
      <c r="D1313" s="154" t="s">
        <v>97</v>
      </c>
      <c r="E1313" s="153"/>
      <c r="F1313" s="154"/>
      <c r="G1313" s="152" t="s">
        <v>195</v>
      </c>
      <c r="H1313" s="152" t="s">
        <v>108</v>
      </c>
      <c r="I1313" s="152"/>
    </row>
    <row r="1314" customFormat="false" ht="16.5" hidden="false" customHeight="true" outlineLevel="0" collapsed="false">
      <c r="A1314" s="151" t="n">
        <v>45937</v>
      </c>
      <c r="B1314" s="152" t="s">
        <v>1347</v>
      </c>
      <c r="C1314" s="153" t="n">
        <v>59.99</v>
      </c>
      <c r="D1314" s="154" t="s">
        <v>97</v>
      </c>
      <c r="E1314" s="153"/>
      <c r="F1314" s="154" t="s">
        <v>1348</v>
      </c>
      <c r="G1314" s="152" t="s">
        <v>190</v>
      </c>
      <c r="H1314" s="152" t="s">
        <v>108</v>
      </c>
      <c r="I1314" s="152"/>
    </row>
    <row r="1315" customFormat="false" ht="16.5" hidden="false" customHeight="true" outlineLevel="0" collapsed="false">
      <c r="A1315" s="151" t="n">
        <v>45939</v>
      </c>
      <c r="B1315" s="152" t="s">
        <v>60</v>
      </c>
      <c r="C1315" s="153" t="n">
        <v>200.64</v>
      </c>
      <c r="D1315" s="154" t="s">
        <v>97</v>
      </c>
      <c r="E1315" s="153"/>
      <c r="F1315" s="154"/>
      <c r="G1315" s="152" t="s">
        <v>315</v>
      </c>
      <c r="H1315" s="152" t="s">
        <v>108</v>
      </c>
      <c r="I1315" s="152"/>
    </row>
    <row r="1316" customFormat="false" ht="16.5" hidden="false" customHeight="true" outlineLevel="0" collapsed="false">
      <c r="A1316" s="151" t="n">
        <v>45939</v>
      </c>
      <c r="B1316" s="152" t="s">
        <v>1115</v>
      </c>
      <c r="C1316" s="160" t="n">
        <v>0</v>
      </c>
      <c r="D1316" s="154"/>
      <c r="E1316" s="160"/>
      <c r="F1316" s="154"/>
      <c r="G1316" s="152" t="s">
        <v>1116</v>
      </c>
      <c r="H1316" s="152"/>
      <c r="I1316" s="152"/>
    </row>
    <row r="1317" customFormat="false" ht="16.5" hidden="false" customHeight="true" outlineLevel="0" collapsed="false">
      <c r="A1317" s="151" t="n">
        <v>45939</v>
      </c>
      <c r="B1317" s="152" t="s">
        <v>1349</v>
      </c>
      <c r="C1317" s="153" t="n">
        <v>242.67</v>
      </c>
      <c r="D1317" s="154" t="s">
        <v>97</v>
      </c>
      <c r="E1317" s="153"/>
      <c r="F1317" s="154"/>
      <c r="G1317" s="152" t="s">
        <v>198</v>
      </c>
      <c r="H1317" s="152" t="s">
        <v>106</v>
      </c>
      <c r="I1317" s="152"/>
    </row>
    <row r="1318" customFormat="false" ht="16.5" hidden="false" customHeight="true" outlineLevel="0" collapsed="false">
      <c r="A1318" s="151" t="n">
        <v>45939</v>
      </c>
      <c r="B1318" s="152" t="s">
        <v>1350</v>
      </c>
      <c r="C1318" s="153" t="n">
        <v>273.93</v>
      </c>
      <c r="D1318" s="154" t="s">
        <v>97</v>
      </c>
      <c r="E1318" s="153"/>
      <c r="F1318" s="154"/>
      <c r="G1318" s="152" t="s">
        <v>215</v>
      </c>
      <c r="H1318" s="152" t="s">
        <v>106</v>
      </c>
      <c r="I1318" s="152"/>
    </row>
    <row r="1319" customFormat="false" ht="16.5" hidden="false" customHeight="true" outlineLevel="0" collapsed="false">
      <c r="A1319" s="151" t="n">
        <v>45939</v>
      </c>
      <c r="B1319" s="152" t="s">
        <v>1351</v>
      </c>
      <c r="C1319" s="153" t="n">
        <v>-13.44</v>
      </c>
      <c r="D1319" s="154" t="s">
        <v>97</v>
      </c>
      <c r="E1319" s="153"/>
      <c r="F1319" s="154"/>
      <c r="G1319" s="152" t="s">
        <v>204</v>
      </c>
      <c r="H1319" s="152" t="s">
        <v>106</v>
      </c>
      <c r="I1319" s="152"/>
    </row>
    <row r="1320" customFormat="false" ht="16.5" hidden="false" customHeight="true" outlineLevel="0" collapsed="false">
      <c r="A1320" s="151" t="n">
        <v>45937</v>
      </c>
      <c r="B1320" s="152" t="s">
        <v>1352</v>
      </c>
      <c r="C1320" s="153" t="n">
        <v>-59.99</v>
      </c>
      <c r="D1320" s="154" t="s">
        <v>97</v>
      </c>
      <c r="E1320" s="153"/>
      <c r="F1320" s="154" t="s">
        <v>1348</v>
      </c>
      <c r="G1320" s="152" t="s">
        <v>190</v>
      </c>
      <c r="H1320" s="152" t="s">
        <v>106</v>
      </c>
      <c r="I1320" s="152"/>
    </row>
    <row r="1321" customFormat="false" ht="16.5" hidden="false" customHeight="true" outlineLevel="0" collapsed="false">
      <c r="A1321" s="151" t="n">
        <v>45936</v>
      </c>
      <c r="B1321" s="152" t="s">
        <v>1353</v>
      </c>
      <c r="C1321" s="153" t="n">
        <v>-45.63</v>
      </c>
      <c r="D1321" s="154" t="s">
        <v>97</v>
      </c>
      <c r="E1321" s="153"/>
      <c r="F1321" s="154"/>
      <c r="G1321" s="152" t="s">
        <v>197</v>
      </c>
      <c r="H1321" s="152" t="s">
        <v>106</v>
      </c>
      <c r="I1321" s="152"/>
    </row>
    <row r="1322" customFormat="false" ht="16.5" hidden="false" customHeight="true" outlineLevel="0" collapsed="false">
      <c r="A1322" s="151" t="n">
        <v>45936</v>
      </c>
      <c r="B1322" s="152" t="s">
        <v>1354</v>
      </c>
      <c r="C1322" s="153" t="n">
        <v>-42.81</v>
      </c>
      <c r="D1322" s="154" t="s">
        <v>97</v>
      </c>
      <c r="E1322" s="153"/>
      <c r="F1322" s="154"/>
      <c r="G1322" s="152" t="s">
        <v>203</v>
      </c>
      <c r="H1322" s="152" t="s">
        <v>106</v>
      </c>
      <c r="I1322" s="152"/>
    </row>
    <row r="1323" customFormat="false" ht="16.5" hidden="false" customHeight="true" outlineLevel="0" collapsed="false">
      <c r="A1323" s="151" t="n">
        <v>45936</v>
      </c>
      <c r="B1323" s="152" t="s">
        <v>1355</v>
      </c>
      <c r="C1323" s="153" t="n">
        <v>-5.39</v>
      </c>
      <c r="D1323" s="154" t="s">
        <v>97</v>
      </c>
      <c r="E1323" s="153"/>
      <c r="F1323" s="154"/>
      <c r="G1323" s="152" t="s">
        <v>218</v>
      </c>
      <c r="H1323" s="152" t="s">
        <v>106</v>
      </c>
      <c r="I1323" s="152"/>
    </row>
    <row r="1324" customFormat="false" ht="16.5" hidden="false" customHeight="true" outlineLevel="0" collapsed="false">
      <c r="A1324" s="151" t="n">
        <v>45936</v>
      </c>
      <c r="B1324" s="152" t="s">
        <v>1356</v>
      </c>
      <c r="C1324" s="153" t="n">
        <v>-0.84</v>
      </c>
      <c r="D1324" s="154" t="s">
        <v>97</v>
      </c>
      <c r="E1324" s="153"/>
      <c r="F1324" s="154"/>
      <c r="G1324" s="152" t="s">
        <v>222</v>
      </c>
      <c r="H1324" s="152" t="s">
        <v>106</v>
      </c>
      <c r="I1324" s="152"/>
    </row>
    <row r="1325" customFormat="false" ht="16.5" hidden="false" customHeight="true" outlineLevel="0" collapsed="false">
      <c r="A1325" s="151" t="n">
        <v>45936</v>
      </c>
      <c r="B1325" s="152" t="s">
        <v>1357</v>
      </c>
      <c r="C1325" s="153" t="n">
        <v>99.97</v>
      </c>
      <c r="D1325" s="154" t="s">
        <v>97</v>
      </c>
      <c r="E1325" s="153"/>
      <c r="F1325" s="154" t="s">
        <v>1358</v>
      </c>
      <c r="G1325" s="152" t="s">
        <v>190</v>
      </c>
      <c r="H1325" s="152" t="s">
        <v>106</v>
      </c>
      <c r="I1325" s="152"/>
    </row>
    <row r="1326" customFormat="false" ht="16.5" hidden="false" customHeight="true" outlineLevel="0" collapsed="false">
      <c r="A1326" s="151" t="n">
        <v>45936</v>
      </c>
      <c r="B1326" s="152" t="s">
        <v>1359</v>
      </c>
      <c r="C1326" s="153" t="n">
        <v>99.97</v>
      </c>
      <c r="D1326" s="154" t="s">
        <v>97</v>
      </c>
      <c r="E1326" s="153"/>
      <c r="F1326" s="154" t="s">
        <v>1360</v>
      </c>
      <c r="G1326" s="152" t="s">
        <v>190</v>
      </c>
      <c r="H1326" s="152" t="s">
        <v>106</v>
      </c>
      <c r="I1326" s="152"/>
    </row>
    <row r="1327" customFormat="false" ht="16.5" hidden="false" customHeight="true" outlineLevel="0" collapsed="false">
      <c r="A1327" s="151" t="n">
        <v>45940</v>
      </c>
      <c r="B1327" s="152" t="s">
        <v>60</v>
      </c>
      <c r="C1327" s="153" t="n">
        <v>4733.56</v>
      </c>
      <c r="D1327" s="154" t="s">
        <v>97</v>
      </c>
      <c r="E1327" s="153"/>
      <c r="F1327" s="154"/>
      <c r="G1327" s="152" t="s">
        <v>315</v>
      </c>
      <c r="H1327" s="152" t="s">
        <v>106</v>
      </c>
      <c r="I1327" s="152"/>
    </row>
    <row r="1328" customFormat="false" ht="16.5" hidden="false" customHeight="true" outlineLevel="0" collapsed="false">
      <c r="A1328" s="151" t="n">
        <v>45940</v>
      </c>
      <c r="B1328" s="152" t="s">
        <v>1361</v>
      </c>
      <c r="C1328" s="153" t="n">
        <v>-99.97</v>
      </c>
      <c r="D1328" s="154" t="s">
        <v>97</v>
      </c>
      <c r="E1328" s="153"/>
      <c r="F1328" s="154" t="s">
        <v>1358</v>
      </c>
      <c r="G1328" s="152" t="s">
        <v>190</v>
      </c>
      <c r="H1328" s="152" t="s">
        <v>132</v>
      </c>
      <c r="I1328" s="152"/>
    </row>
    <row r="1329" customFormat="false" ht="16.5" hidden="false" customHeight="true" outlineLevel="0" collapsed="false">
      <c r="A1329" s="151" t="n">
        <v>45940</v>
      </c>
      <c r="B1329" s="152" t="s">
        <v>1361</v>
      </c>
      <c r="C1329" s="153" t="n">
        <v>-99.97</v>
      </c>
      <c r="D1329" s="154" t="s">
        <v>97</v>
      </c>
      <c r="E1329" s="153"/>
      <c r="F1329" s="154" t="s">
        <v>1360</v>
      </c>
      <c r="G1329" s="152" t="s">
        <v>190</v>
      </c>
      <c r="H1329" s="152" t="s">
        <v>133</v>
      </c>
      <c r="I1329" s="152"/>
    </row>
    <row r="1330" customFormat="false" ht="16.5" hidden="false" customHeight="true" outlineLevel="0" collapsed="false">
      <c r="A1330" s="151" t="n">
        <v>45940</v>
      </c>
      <c r="B1330" s="152" t="s">
        <v>60</v>
      </c>
      <c r="C1330" s="153" t="n">
        <v>21593.3</v>
      </c>
      <c r="D1330" s="154" t="s">
        <v>97</v>
      </c>
      <c r="E1330" s="153"/>
      <c r="F1330" s="154"/>
      <c r="G1330" s="152" t="s">
        <v>315</v>
      </c>
      <c r="H1330" s="152" t="s">
        <v>132</v>
      </c>
      <c r="I1330" s="152"/>
    </row>
    <row r="1331" customFormat="false" ht="16.5" hidden="false" customHeight="true" outlineLevel="0" collapsed="false">
      <c r="A1331" s="151" t="n">
        <v>45940</v>
      </c>
      <c r="B1331" s="152" t="s">
        <v>60</v>
      </c>
      <c r="C1331" s="153" t="n">
        <v>8300.3</v>
      </c>
      <c r="D1331" s="154" t="s">
        <v>97</v>
      </c>
      <c r="E1331" s="153"/>
      <c r="F1331" s="154"/>
      <c r="G1331" s="152" t="s">
        <v>315</v>
      </c>
      <c r="H1331" s="152" t="s">
        <v>133</v>
      </c>
      <c r="I1331" s="152"/>
    </row>
    <row r="1332" customFormat="false" ht="16.5" hidden="false" customHeight="true" outlineLevel="0" collapsed="false">
      <c r="A1332" s="151" t="n">
        <v>45940</v>
      </c>
      <c r="B1332" s="152" t="s">
        <v>60</v>
      </c>
      <c r="C1332" s="153" t="n">
        <v>22262.97</v>
      </c>
      <c r="D1332" s="154" t="s">
        <v>97</v>
      </c>
      <c r="E1332" s="153"/>
      <c r="F1332" s="154"/>
      <c r="G1332" s="152" t="s">
        <v>315</v>
      </c>
      <c r="H1332" s="152" t="s">
        <v>96</v>
      </c>
      <c r="I1332" s="152"/>
    </row>
    <row r="1333" customFormat="false" ht="16.5" hidden="false" customHeight="true" outlineLevel="0" collapsed="false">
      <c r="A1333" s="151" t="n">
        <v>45940</v>
      </c>
      <c r="B1333" s="152" t="s">
        <v>60</v>
      </c>
      <c r="C1333" s="153" t="n">
        <v>18070.32</v>
      </c>
      <c r="D1333" s="154" t="s">
        <v>97</v>
      </c>
      <c r="E1333" s="153"/>
      <c r="F1333" s="154"/>
      <c r="G1333" s="152" t="s">
        <v>315</v>
      </c>
      <c r="H1333" s="152" t="s">
        <v>98</v>
      </c>
      <c r="I1333" s="152"/>
    </row>
    <row r="1334" customFormat="false" ht="16.5" hidden="false" customHeight="true" outlineLevel="0" collapsed="false">
      <c r="A1334" s="151" t="n">
        <v>45940</v>
      </c>
      <c r="B1334" s="152" t="s">
        <v>1115</v>
      </c>
      <c r="C1334" s="160" t="n">
        <v>0</v>
      </c>
      <c r="D1334" s="154"/>
      <c r="E1334" s="160"/>
      <c r="F1334" s="154"/>
      <c r="G1334" s="152" t="s">
        <v>1116</v>
      </c>
      <c r="H1334" s="152"/>
      <c r="I1334" s="152"/>
    </row>
    <row r="1335" customFormat="false" ht="16.5" hidden="false" customHeight="true" outlineLevel="0" collapsed="false">
      <c r="A1335" s="151" t="n">
        <v>45940</v>
      </c>
      <c r="B1335" s="152" t="s">
        <v>60</v>
      </c>
      <c r="C1335" s="162" t="n">
        <v>0</v>
      </c>
      <c r="D1335" s="154" t="s">
        <v>148</v>
      </c>
      <c r="E1335" s="153"/>
      <c r="F1335" s="154"/>
      <c r="G1335" s="152" t="s">
        <v>315</v>
      </c>
      <c r="H1335" s="152" t="s">
        <v>147</v>
      </c>
      <c r="I1335" s="152"/>
    </row>
    <row r="1336" customFormat="false" ht="16.5" hidden="false" customHeight="true" outlineLevel="0" collapsed="false">
      <c r="A1336" s="151" t="n">
        <v>45941</v>
      </c>
      <c r="B1336" s="152" t="s">
        <v>1362</v>
      </c>
      <c r="C1336" s="162" t="n">
        <v>3.78612</v>
      </c>
      <c r="D1336" s="154" t="s">
        <v>148</v>
      </c>
      <c r="E1336" s="153" t="n">
        <v>4.99</v>
      </c>
      <c r="F1336" s="154" t="s">
        <v>1363</v>
      </c>
      <c r="G1336" s="152" t="s">
        <v>189</v>
      </c>
      <c r="H1336" s="152" t="s">
        <v>147</v>
      </c>
      <c r="I1336" s="152"/>
    </row>
    <row r="1337" customFormat="false" ht="16.5" hidden="false" customHeight="true" outlineLevel="0" collapsed="false">
      <c r="A1337" s="151" t="n">
        <v>45941</v>
      </c>
      <c r="B1337" s="152" t="s">
        <v>1364</v>
      </c>
      <c r="C1337" s="158" t="n">
        <v>0.62598</v>
      </c>
      <c r="D1337" s="154" t="s">
        <v>150</v>
      </c>
      <c r="E1337" s="153" t="n">
        <v>52.54</v>
      </c>
      <c r="F1337" s="154" t="s">
        <v>1365</v>
      </c>
      <c r="G1337" s="152" t="s">
        <v>189</v>
      </c>
      <c r="H1337" s="152" t="s">
        <v>149</v>
      </c>
      <c r="I1337" s="152"/>
    </row>
    <row r="1338" customFormat="false" ht="16.5" hidden="false" customHeight="true" outlineLevel="0" collapsed="false">
      <c r="A1338" s="151" t="n">
        <v>45941</v>
      </c>
      <c r="B1338" s="152" t="s">
        <v>60</v>
      </c>
      <c r="C1338" s="162" t="n">
        <v>3.78612</v>
      </c>
      <c r="D1338" s="154" t="s">
        <v>148</v>
      </c>
      <c r="E1338" s="153"/>
      <c r="F1338" s="154"/>
      <c r="G1338" s="152" t="s">
        <v>315</v>
      </c>
      <c r="H1338" s="152" t="s">
        <v>147</v>
      </c>
      <c r="I1338" s="152"/>
    </row>
    <row r="1339" customFormat="false" ht="16.5" hidden="false" customHeight="true" outlineLevel="0" collapsed="false">
      <c r="A1339" s="151" t="n">
        <v>45941</v>
      </c>
      <c r="B1339" s="152" t="s">
        <v>60</v>
      </c>
      <c r="C1339" s="158" t="n">
        <v>100.5667</v>
      </c>
      <c r="D1339" s="154" t="s">
        <v>150</v>
      </c>
      <c r="E1339" s="153"/>
      <c r="F1339" s="154"/>
      <c r="G1339" s="152" t="s">
        <v>315</v>
      </c>
      <c r="H1339" s="152" t="s">
        <v>149</v>
      </c>
      <c r="I1339" s="152"/>
    </row>
    <row r="1340" customFormat="false" ht="16.5" hidden="false" customHeight="true" outlineLevel="0" collapsed="false">
      <c r="A1340" s="151" t="n">
        <v>45944</v>
      </c>
      <c r="B1340" s="152" t="s">
        <v>1366</v>
      </c>
      <c r="C1340" s="158" t="n">
        <v>1.12941</v>
      </c>
      <c r="D1340" s="154" t="s">
        <v>150</v>
      </c>
      <c r="E1340" s="153" t="n">
        <v>88.44</v>
      </c>
      <c r="F1340" s="154" t="s">
        <v>1367</v>
      </c>
      <c r="G1340" s="152" t="s">
        <v>189</v>
      </c>
      <c r="H1340" s="152" t="s">
        <v>149</v>
      </c>
      <c r="I1340" s="152"/>
    </row>
    <row r="1341" customFormat="false" ht="16.5" hidden="false" customHeight="true" outlineLevel="0" collapsed="false">
      <c r="A1341" s="151" t="n">
        <v>45945</v>
      </c>
      <c r="B1341" s="152" t="s">
        <v>60</v>
      </c>
      <c r="C1341" s="158" t="n">
        <v>101.69611</v>
      </c>
      <c r="D1341" s="154" t="s">
        <v>150</v>
      </c>
      <c r="E1341" s="153"/>
      <c r="F1341" s="154"/>
      <c r="G1341" s="152" t="s">
        <v>315</v>
      </c>
      <c r="H1341" s="152" t="s">
        <v>149</v>
      </c>
      <c r="I1341" s="152"/>
    </row>
    <row r="1342" customFormat="false" ht="16.5" hidden="false" customHeight="true" outlineLevel="0" collapsed="false">
      <c r="A1342" s="151" t="n">
        <v>45946</v>
      </c>
      <c r="B1342" s="152" t="s">
        <v>1368</v>
      </c>
      <c r="C1342" s="156" t="n">
        <v>0.67261</v>
      </c>
      <c r="D1342" s="154" t="s">
        <v>141</v>
      </c>
      <c r="E1342" s="153" t="n">
        <v>190.02</v>
      </c>
      <c r="F1342" s="154" t="s">
        <v>1369</v>
      </c>
      <c r="G1342" s="152" t="s">
        <v>188</v>
      </c>
      <c r="H1342" s="152" t="s">
        <v>142</v>
      </c>
      <c r="I1342" s="152"/>
    </row>
    <row r="1343" customFormat="false" ht="16.5" hidden="false" customHeight="true" outlineLevel="0" collapsed="false">
      <c r="A1343" s="151" t="n">
        <v>45946</v>
      </c>
      <c r="B1343" s="152" t="s">
        <v>60</v>
      </c>
      <c r="C1343" s="156" t="n">
        <v>2.15529</v>
      </c>
      <c r="D1343" s="154" t="s">
        <v>141</v>
      </c>
      <c r="E1343" s="153"/>
      <c r="F1343" s="154"/>
      <c r="G1343" s="152" t="s">
        <v>315</v>
      </c>
      <c r="H1343" s="152" t="s">
        <v>142</v>
      </c>
      <c r="I1343" s="152"/>
    </row>
    <row r="1344" customFormat="false" ht="16.5" hidden="false" customHeight="true" outlineLevel="0" collapsed="false">
      <c r="A1344" s="151" t="n">
        <v>45945</v>
      </c>
      <c r="B1344" s="152" t="s">
        <v>1370</v>
      </c>
      <c r="C1344" s="153" t="n">
        <v>-190.02</v>
      </c>
      <c r="D1344" s="154" t="s">
        <v>97</v>
      </c>
      <c r="E1344" s="153" t="n">
        <v>-190.02</v>
      </c>
      <c r="F1344" s="154" t="s">
        <v>1369</v>
      </c>
      <c r="G1344" s="152" t="s">
        <v>188</v>
      </c>
      <c r="H1344" s="152" t="s">
        <v>106</v>
      </c>
      <c r="I1344" s="152"/>
    </row>
    <row r="1345" customFormat="false" ht="16.5" hidden="false" customHeight="true" outlineLevel="0" collapsed="false">
      <c r="A1345" s="151" t="n">
        <v>45945</v>
      </c>
      <c r="B1345" s="152" t="s">
        <v>1371</v>
      </c>
      <c r="C1345" s="153" t="n">
        <v>-66.63</v>
      </c>
      <c r="D1345" s="154" t="s">
        <v>97</v>
      </c>
      <c r="E1345" s="153"/>
      <c r="F1345" s="154"/>
      <c r="G1345" s="152" t="s">
        <v>171</v>
      </c>
      <c r="H1345" s="152" t="s">
        <v>106</v>
      </c>
      <c r="I1345" s="152"/>
    </row>
    <row r="1346" customFormat="false" ht="16.5" hidden="false" customHeight="true" outlineLevel="0" collapsed="false">
      <c r="A1346" s="151" t="n">
        <v>45945</v>
      </c>
      <c r="B1346" s="152" t="s">
        <v>1372</v>
      </c>
      <c r="C1346" s="153" t="n">
        <v>-66.16</v>
      </c>
      <c r="D1346" s="154" t="s">
        <v>97</v>
      </c>
      <c r="E1346" s="153"/>
      <c r="F1346" s="154"/>
      <c r="G1346" s="152" t="s">
        <v>208</v>
      </c>
      <c r="H1346" s="152" t="s">
        <v>106</v>
      </c>
      <c r="I1346" s="152"/>
    </row>
    <row r="1347" customFormat="false" ht="16.5" hidden="false" customHeight="true" outlineLevel="0" collapsed="false">
      <c r="A1347" s="151" t="n">
        <v>45945</v>
      </c>
      <c r="B1347" s="152" t="s">
        <v>1373</v>
      </c>
      <c r="C1347" s="153" t="n">
        <v>-20.36</v>
      </c>
      <c r="D1347" s="154" t="s">
        <v>97</v>
      </c>
      <c r="E1347" s="153"/>
      <c r="F1347" s="154"/>
      <c r="G1347" s="152" t="s">
        <v>197</v>
      </c>
      <c r="H1347" s="152" t="s">
        <v>106</v>
      </c>
      <c r="I1347" s="152"/>
    </row>
    <row r="1348" customFormat="false" ht="16.5" hidden="false" customHeight="true" outlineLevel="0" collapsed="false">
      <c r="A1348" s="151" t="n">
        <v>45945</v>
      </c>
      <c r="B1348" s="152" t="s">
        <v>1374</v>
      </c>
      <c r="C1348" s="153" t="n">
        <v>-59.99</v>
      </c>
      <c r="D1348" s="154" t="s">
        <v>97</v>
      </c>
      <c r="E1348" s="153"/>
      <c r="F1348" s="154" t="s">
        <v>1375</v>
      </c>
      <c r="G1348" s="152" t="s">
        <v>190</v>
      </c>
      <c r="H1348" s="152" t="s">
        <v>106</v>
      </c>
      <c r="I1348" s="152"/>
    </row>
    <row r="1349" customFormat="false" ht="16.5" hidden="false" customHeight="true" outlineLevel="0" collapsed="false">
      <c r="A1349" s="151" t="n">
        <v>45943</v>
      </c>
      <c r="B1349" s="152" t="s">
        <v>1376</v>
      </c>
      <c r="C1349" s="153" t="n">
        <v>-8.58</v>
      </c>
      <c r="D1349" s="154" t="s">
        <v>97</v>
      </c>
      <c r="E1349" s="153"/>
      <c r="F1349" s="154"/>
      <c r="G1349" s="152" t="s">
        <v>217</v>
      </c>
      <c r="H1349" s="152" t="s">
        <v>106</v>
      </c>
      <c r="I1349" s="152"/>
    </row>
    <row r="1350" customFormat="false" ht="16.5" hidden="false" customHeight="true" outlineLevel="0" collapsed="false">
      <c r="A1350" s="151" t="n">
        <v>45940</v>
      </c>
      <c r="B1350" s="152" t="s">
        <v>1377</v>
      </c>
      <c r="C1350" s="153" t="n">
        <v>-16.82</v>
      </c>
      <c r="D1350" s="154" t="s">
        <v>97</v>
      </c>
      <c r="E1350" s="153"/>
      <c r="F1350" s="154"/>
      <c r="G1350" s="152" t="s">
        <v>212</v>
      </c>
      <c r="H1350" s="152" t="s">
        <v>106</v>
      </c>
      <c r="I1350" s="152"/>
    </row>
    <row r="1351" customFormat="false" ht="16.5" hidden="false" customHeight="true" outlineLevel="0" collapsed="false">
      <c r="A1351" s="151" t="n">
        <v>45946</v>
      </c>
      <c r="B1351" s="152" t="s">
        <v>60</v>
      </c>
      <c r="C1351" s="153" t="n">
        <v>3746.17</v>
      </c>
      <c r="D1351" s="154" t="s">
        <v>97</v>
      </c>
      <c r="E1351" s="153"/>
      <c r="F1351" s="154"/>
      <c r="G1351" s="152" t="s">
        <v>315</v>
      </c>
      <c r="H1351" s="152" t="s">
        <v>106</v>
      </c>
      <c r="I1351" s="152"/>
    </row>
    <row r="1352" customFormat="false" ht="16.5" hidden="false" customHeight="true" outlineLevel="0" collapsed="false">
      <c r="A1352" s="151" t="n">
        <v>45945</v>
      </c>
      <c r="B1352" s="152" t="s">
        <v>1347</v>
      </c>
      <c r="C1352" s="153" t="n">
        <v>59.99</v>
      </c>
      <c r="D1352" s="154" t="s">
        <v>97</v>
      </c>
      <c r="E1352" s="153"/>
      <c r="F1352" s="154" t="s">
        <v>1375</v>
      </c>
      <c r="G1352" s="152" t="s">
        <v>190</v>
      </c>
      <c r="H1352" s="152" t="s">
        <v>108</v>
      </c>
      <c r="I1352" s="152"/>
    </row>
    <row r="1353" customFormat="false" ht="16.5" hidden="false" customHeight="true" outlineLevel="0" collapsed="false">
      <c r="A1353" s="151" t="n">
        <v>45945</v>
      </c>
      <c r="B1353" s="152" t="s">
        <v>60</v>
      </c>
      <c r="C1353" s="153" t="n">
        <v>260.63</v>
      </c>
      <c r="D1353" s="154" t="s">
        <v>97</v>
      </c>
      <c r="E1353" s="153"/>
      <c r="F1353" s="154"/>
      <c r="G1353" s="152" t="s">
        <v>315</v>
      </c>
      <c r="H1353" s="152" t="s">
        <v>108</v>
      </c>
      <c r="I1353" s="152"/>
    </row>
    <row r="1354" customFormat="false" ht="16.5" hidden="false" customHeight="true" outlineLevel="0" collapsed="false">
      <c r="A1354" s="151" t="n">
        <v>45947</v>
      </c>
      <c r="B1354" s="152" t="s">
        <v>1267</v>
      </c>
      <c r="C1354" s="153" t="n">
        <v>200.15</v>
      </c>
      <c r="D1354" s="154" t="s">
        <v>97</v>
      </c>
      <c r="E1354" s="153"/>
      <c r="F1354" s="154" t="s">
        <v>1378</v>
      </c>
      <c r="G1354" s="152" t="s">
        <v>190</v>
      </c>
      <c r="H1354" s="152" t="s">
        <v>119</v>
      </c>
      <c r="I1354" s="152"/>
    </row>
    <row r="1355" customFormat="false" ht="16.5" hidden="false" customHeight="true" outlineLevel="0" collapsed="false">
      <c r="A1355" s="151" t="n">
        <v>45951</v>
      </c>
      <c r="B1355" s="152" t="s">
        <v>1281</v>
      </c>
      <c r="C1355" s="153" t="n">
        <v>-200.15</v>
      </c>
      <c r="D1355" s="154" t="s">
        <v>97</v>
      </c>
      <c r="E1355" s="153" t="n">
        <v>-200.15</v>
      </c>
      <c r="F1355" s="154" t="s">
        <v>1379</v>
      </c>
      <c r="G1355" s="152" t="s">
        <v>188</v>
      </c>
      <c r="H1355" s="152" t="s">
        <v>119</v>
      </c>
      <c r="I1355" s="152"/>
    </row>
    <row r="1356" customFormat="false" ht="16.5" hidden="false" customHeight="true" outlineLevel="0" collapsed="false">
      <c r="A1356" s="151" t="n">
        <v>45951</v>
      </c>
      <c r="B1356" s="152"/>
      <c r="C1356" s="153" t="n">
        <v>1.99</v>
      </c>
      <c r="D1356" s="154" t="s">
        <v>97</v>
      </c>
      <c r="E1356" s="153"/>
      <c r="F1356" s="154"/>
      <c r="G1356" s="152" t="s">
        <v>315</v>
      </c>
      <c r="H1356" s="152" t="s">
        <v>119</v>
      </c>
      <c r="I1356" s="152"/>
    </row>
    <row r="1357" customFormat="false" ht="16.5" hidden="false" customHeight="true" outlineLevel="0" collapsed="false">
      <c r="A1357" s="151" t="n">
        <v>45951</v>
      </c>
      <c r="B1357" s="152" t="s">
        <v>1281</v>
      </c>
      <c r="C1357" s="155" t="n">
        <v>207975.64</v>
      </c>
      <c r="D1357" s="154" t="s">
        <v>136</v>
      </c>
      <c r="E1357" s="153" t="n">
        <v>200.15</v>
      </c>
      <c r="F1357" s="154" t="s">
        <v>1379</v>
      </c>
      <c r="G1357" s="152" t="s">
        <v>188</v>
      </c>
      <c r="H1357" s="152" t="s">
        <v>143</v>
      </c>
      <c r="I1357" s="152"/>
    </row>
    <row r="1358" customFormat="false" ht="16.5" hidden="false" customHeight="true" outlineLevel="0" collapsed="false">
      <c r="A1358" s="151" t="n">
        <v>45951</v>
      </c>
      <c r="B1358" s="152"/>
      <c r="C1358" s="155" t="n">
        <v>218231.04</v>
      </c>
      <c r="D1358" s="154" t="s">
        <v>136</v>
      </c>
      <c r="E1358" s="153"/>
      <c r="F1358" s="154"/>
      <c r="G1358" s="152" t="s">
        <v>315</v>
      </c>
      <c r="H1358" s="152" t="s">
        <v>143</v>
      </c>
      <c r="I1358" s="152"/>
    </row>
    <row r="1359" customFormat="false" ht="16.5" hidden="false" customHeight="true" outlineLevel="0" collapsed="false">
      <c r="A1359" s="151" t="n">
        <v>45951</v>
      </c>
      <c r="B1359" s="152" t="s">
        <v>1380</v>
      </c>
      <c r="C1359" s="153" t="n">
        <v>-140.55</v>
      </c>
      <c r="D1359" s="154" t="s">
        <v>97</v>
      </c>
      <c r="E1359" s="153"/>
      <c r="F1359" s="154"/>
      <c r="G1359" s="152" t="s">
        <v>165</v>
      </c>
      <c r="H1359" s="152" t="s">
        <v>108</v>
      </c>
      <c r="I1359" s="152"/>
    </row>
    <row r="1360" customFormat="false" ht="16.5" hidden="false" customHeight="true" outlineLevel="0" collapsed="false">
      <c r="A1360" s="151" t="n">
        <v>45951</v>
      </c>
      <c r="B1360" s="152"/>
      <c r="C1360" s="153" t="n">
        <v>120.08</v>
      </c>
      <c r="D1360" s="154" t="s">
        <v>97</v>
      </c>
      <c r="E1360" s="153"/>
      <c r="F1360" s="154"/>
      <c r="G1360" s="152" t="s">
        <v>315</v>
      </c>
      <c r="H1360" s="152" t="s">
        <v>108</v>
      </c>
      <c r="I1360" s="152"/>
    </row>
    <row r="1361" customFormat="false" ht="16.5" hidden="false" customHeight="true" outlineLevel="0" collapsed="false">
      <c r="A1361" s="151" t="n">
        <v>45953</v>
      </c>
      <c r="B1361" s="152" t="s">
        <v>1381</v>
      </c>
      <c r="C1361" s="153" t="n">
        <v>-898.38</v>
      </c>
      <c r="D1361" s="154" t="s">
        <v>97</v>
      </c>
      <c r="E1361" s="153"/>
      <c r="F1361" s="154" t="s">
        <v>1382</v>
      </c>
      <c r="G1361" s="152" t="s">
        <v>190</v>
      </c>
      <c r="H1361" s="152" t="s">
        <v>109</v>
      </c>
      <c r="I1361" s="152"/>
    </row>
    <row r="1362" customFormat="false" ht="16.5" hidden="false" customHeight="true" outlineLevel="0" collapsed="false">
      <c r="A1362" s="151" t="n">
        <v>45952</v>
      </c>
      <c r="B1362" s="152" t="s">
        <v>60</v>
      </c>
      <c r="C1362" s="153" t="n">
        <v>100.08</v>
      </c>
      <c r="D1362" s="154" t="s">
        <v>97</v>
      </c>
      <c r="E1362" s="153"/>
      <c r="F1362" s="154"/>
      <c r="G1362" s="152" t="s">
        <v>315</v>
      </c>
      <c r="H1362" s="152" t="s">
        <v>109</v>
      </c>
      <c r="I1362" s="152"/>
    </row>
    <row r="1363" customFormat="false" ht="16.5" hidden="false" customHeight="true" outlineLevel="0" collapsed="false">
      <c r="A1363" s="151" t="n">
        <v>45953</v>
      </c>
      <c r="B1363" s="152" t="s">
        <v>1381</v>
      </c>
      <c r="C1363" s="153" t="n">
        <v>898.38</v>
      </c>
      <c r="D1363" s="154" t="s">
        <v>97</v>
      </c>
      <c r="E1363" s="153"/>
      <c r="F1363" s="154" t="s">
        <v>1382</v>
      </c>
      <c r="G1363" s="152" t="s">
        <v>190</v>
      </c>
      <c r="H1363" s="152" t="s">
        <v>105</v>
      </c>
      <c r="I1363" s="152"/>
    </row>
    <row r="1364" customFormat="false" ht="16.5" hidden="false" customHeight="true" outlineLevel="0" collapsed="false">
      <c r="A1364" s="151" t="n">
        <v>45953</v>
      </c>
      <c r="B1364" s="152" t="s">
        <v>1383</v>
      </c>
      <c r="C1364" s="153" t="n">
        <v>-898.38</v>
      </c>
      <c r="D1364" s="154" t="s">
        <v>97</v>
      </c>
      <c r="E1364" s="153"/>
      <c r="F1364" s="154" t="s">
        <v>1384</v>
      </c>
      <c r="G1364" s="152" t="s">
        <v>190</v>
      </c>
      <c r="H1364" s="152" t="s">
        <v>105</v>
      </c>
      <c r="I1364" s="152"/>
    </row>
    <row r="1365" customFormat="false" ht="16.5" hidden="false" customHeight="true" outlineLevel="0" collapsed="false">
      <c r="A1365" s="151" t="n">
        <v>45953</v>
      </c>
      <c r="B1365" s="152" t="s">
        <v>1383</v>
      </c>
      <c r="C1365" s="153" t="n">
        <v>898.38</v>
      </c>
      <c r="D1365" s="154" t="s">
        <v>97</v>
      </c>
      <c r="E1365" s="153"/>
      <c r="F1365" s="154" t="s">
        <v>1384</v>
      </c>
      <c r="G1365" s="152" t="s">
        <v>190</v>
      </c>
      <c r="H1365" s="152" t="s">
        <v>122</v>
      </c>
      <c r="I1365" s="152"/>
    </row>
    <row r="1366" customFormat="false" ht="16.5" hidden="false" customHeight="true" outlineLevel="0" collapsed="false">
      <c r="A1366" s="151" t="n">
        <v>45953</v>
      </c>
      <c r="B1366" s="152" t="s">
        <v>1385</v>
      </c>
      <c r="C1366" s="153" t="n">
        <v>-359.72</v>
      </c>
      <c r="D1366" s="154" t="s">
        <v>97</v>
      </c>
      <c r="E1366" s="153"/>
      <c r="F1366" s="154" t="s">
        <v>1386</v>
      </c>
      <c r="G1366" s="152" t="s">
        <v>191</v>
      </c>
      <c r="H1366" s="152" t="s">
        <v>122</v>
      </c>
      <c r="I1366" s="152"/>
    </row>
    <row r="1367" customFormat="false" ht="16.5" hidden="false" customHeight="true" outlineLevel="0" collapsed="false">
      <c r="A1367" s="151" t="n">
        <v>45953</v>
      </c>
      <c r="B1367" s="152" t="s">
        <v>1387</v>
      </c>
      <c r="C1367" s="153" t="n">
        <v>-394.92</v>
      </c>
      <c r="D1367" s="154" t="s">
        <v>97</v>
      </c>
      <c r="E1367" s="153"/>
      <c r="F1367" s="154" t="s">
        <v>1388</v>
      </c>
      <c r="G1367" s="152" t="s">
        <v>191</v>
      </c>
      <c r="H1367" s="152" t="s">
        <v>122</v>
      </c>
      <c r="I1367" s="152"/>
    </row>
    <row r="1368" customFormat="false" ht="16.5" hidden="false" customHeight="true" outlineLevel="0" collapsed="false">
      <c r="A1368" s="151" t="n">
        <v>45953</v>
      </c>
      <c r="B1368" s="152" t="s">
        <v>1389</v>
      </c>
      <c r="C1368" s="153" t="n">
        <v>-308.86</v>
      </c>
      <c r="D1368" s="154" t="s">
        <v>97</v>
      </c>
      <c r="E1368" s="153"/>
      <c r="F1368" s="154" t="s">
        <v>1390</v>
      </c>
      <c r="G1368" s="152" t="s">
        <v>191</v>
      </c>
      <c r="H1368" s="152" t="s">
        <v>122</v>
      </c>
      <c r="I1368" s="152"/>
    </row>
    <row r="1369" customFormat="false" ht="16.5" hidden="false" customHeight="true" outlineLevel="0" collapsed="false">
      <c r="A1369" s="151" t="n">
        <v>45953</v>
      </c>
      <c r="B1369" s="152" t="s">
        <v>1385</v>
      </c>
      <c r="C1369" s="153" t="n">
        <v>359.72</v>
      </c>
      <c r="D1369" s="154" t="s">
        <v>97</v>
      </c>
      <c r="E1369" s="153"/>
      <c r="F1369" s="154" t="s">
        <v>1386</v>
      </c>
      <c r="G1369" s="152" t="s">
        <v>191</v>
      </c>
      <c r="H1369" s="152" t="s">
        <v>100</v>
      </c>
      <c r="I1369" s="152"/>
    </row>
    <row r="1370" customFormat="false" ht="16.5" hidden="false" customHeight="true" outlineLevel="0" collapsed="false">
      <c r="A1370" s="151" t="n">
        <v>45953</v>
      </c>
      <c r="B1370" s="152" t="s">
        <v>1387</v>
      </c>
      <c r="C1370" s="153" t="n">
        <v>394.92</v>
      </c>
      <c r="D1370" s="154" t="s">
        <v>97</v>
      </c>
      <c r="E1370" s="153"/>
      <c r="F1370" s="154" t="s">
        <v>1388</v>
      </c>
      <c r="G1370" s="152" t="s">
        <v>191</v>
      </c>
      <c r="H1370" s="152" t="s">
        <v>100</v>
      </c>
      <c r="I1370" s="152"/>
    </row>
    <row r="1371" customFormat="false" ht="16.5" hidden="false" customHeight="true" outlineLevel="0" collapsed="false">
      <c r="A1371" s="151" t="n">
        <v>45953</v>
      </c>
      <c r="B1371" s="152" t="s">
        <v>1389</v>
      </c>
      <c r="C1371" s="153" t="n">
        <v>308.86</v>
      </c>
      <c r="D1371" s="154" t="s">
        <v>97</v>
      </c>
      <c r="E1371" s="153"/>
      <c r="F1371" s="154" t="s">
        <v>1390</v>
      </c>
      <c r="G1371" s="152" t="s">
        <v>191</v>
      </c>
      <c r="H1371" s="152" t="s">
        <v>100</v>
      </c>
      <c r="I1371" s="152"/>
    </row>
    <row r="1372" customFormat="false" ht="16.5" hidden="false" customHeight="true" outlineLevel="0" collapsed="false">
      <c r="A1372" s="151" t="n">
        <v>45895</v>
      </c>
      <c r="B1372" s="152" t="s">
        <v>549</v>
      </c>
      <c r="C1372" s="153" t="n">
        <v>0.31</v>
      </c>
      <c r="D1372" s="154" t="s">
        <v>97</v>
      </c>
      <c r="E1372" s="153"/>
      <c r="F1372" s="154"/>
      <c r="G1372" s="152" t="s">
        <v>199</v>
      </c>
      <c r="H1372" s="152" t="s">
        <v>122</v>
      </c>
      <c r="I1372" s="152"/>
    </row>
    <row r="1373" customFormat="false" ht="16.5" hidden="false" customHeight="true" outlineLevel="0" collapsed="false">
      <c r="A1373" s="151" t="n">
        <v>45953</v>
      </c>
      <c r="B1373" s="152" t="s">
        <v>60</v>
      </c>
      <c r="C1373" s="153" t="n">
        <v>54.25</v>
      </c>
      <c r="D1373" s="154" t="s">
        <v>97</v>
      </c>
      <c r="E1373" s="153"/>
      <c r="F1373" s="154"/>
      <c r="G1373" s="152" t="s">
        <v>315</v>
      </c>
      <c r="H1373" s="152" t="s">
        <v>122</v>
      </c>
      <c r="I1373" s="152"/>
    </row>
    <row r="1374" customFormat="false" ht="16.5" hidden="false" customHeight="true" outlineLevel="0" collapsed="false">
      <c r="A1374" s="151" t="n">
        <v>45953</v>
      </c>
      <c r="B1374" s="152" t="s">
        <v>60</v>
      </c>
      <c r="C1374" s="153" t="n">
        <v>11082.44</v>
      </c>
      <c r="D1374" s="154" t="s">
        <v>97</v>
      </c>
      <c r="E1374" s="153"/>
      <c r="F1374" s="154"/>
      <c r="G1374" s="152" t="s">
        <v>315</v>
      </c>
      <c r="H1374" s="152" t="s">
        <v>100</v>
      </c>
      <c r="I1374" s="152"/>
    </row>
    <row r="1375" customFormat="false" ht="16.5" hidden="false" customHeight="true" outlineLevel="0" collapsed="false">
      <c r="A1375" s="151" t="n">
        <v>45955</v>
      </c>
      <c r="B1375" s="152" t="s">
        <v>60</v>
      </c>
      <c r="C1375" s="163" t="n">
        <v>0</v>
      </c>
      <c r="D1375" s="154" t="s">
        <v>130</v>
      </c>
      <c r="E1375" s="153"/>
      <c r="F1375" s="154"/>
      <c r="G1375" s="152" t="s">
        <v>315</v>
      </c>
      <c r="H1375" s="152" t="s">
        <v>129</v>
      </c>
      <c r="I1375" s="152"/>
    </row>
    <row r="1376" customFormat="false" ht="16.5" hidden="false" customHeight="true" outlineLevel="0" collapsed="false">
      <c r="A1376" s="151" t="n">
        <v>45956</v>
      </c>
      <c r="B1376" s="152" t="s">
        <v>1391</v>
      </c>
      <c r="C1376" s="153" t="n">
        <v>-200.15</v>
      </c>
      <c r="D1376" s="154" t="s">
        <v>97</v>
      </c>
      <c r="E1376" s="153" t="n">
        <v>-200.15</v>
      </c>
      <c r="F1376" s="154" t="s">
        <v>1392</v>
      </c>
      <c r="G1376" s="152" t="s">
        <v>188</v>
      </c>
      <c r="H1376" s="152" t="s">
        <v>117</v>
      </c>
      <c r="I1376" s="152"/>
    </row>
    <row r="1377" customFormat="false" ht="16.5" hidden="false" customHeight="true" outlineLevel="0" collapsed="false">
      <c r="A1377" s="151" t="n">
        <v>45956</v>
      </c>
      <c r="B1377" s="152" t="s">
        <v>1391</v>
      </c>
      <c r="C1377" s="163" t="n">
        <v>2179.79</v>
      </c>
      <c r="D1377" s="154" t="s">
        <v>130</v>
      </c>
      <c r="E1377" s="153" t="n">
        <v>200.15</v>
      </c>
      <c r="F1377" s="154" t="s">
        <v>1392</v>
      </c>
      <c r="G1377" s="152" t="s">
        <v>188</v>
      </c>
      <c r="H1377" s="152" t="s">
        <v>129</v>
      </c>
      <c r="I1377" s="152"/>
    </row>
    <row r="1378" customFormat="false" ht="16.5" hidden="false" customHeight="true" outlineLevel="0" collapsed="false">
      <c r="A1378" s="151" t="n">
        <v>45956</v>
      </c>
      <c r="B1378" s="152" t="s">
        <v>60</v>
      </c>
      <c r="C1378" s="153" t="n">
        <v>1198.12</v>
      </c>
      <c r="D1378" s="154" t="s">
        <v>97</v>
      </c>
      <c r="E1378" s="153"/>
      <c r="F1378" s="154"/>
      <c r="G1378" s="152" t="s">
        <v>315</v>
      </c>
      <c r="H1378" s="152" t="s">
        <v>117</v>
      </c>
      <c r="I1378" s="152"/>
    </row>
    <row r="1379" customFormat="false" ht="16.5" hidden="false" customHeight="true" outlineLevel="0" collapsed="false">
      <c r="A1379" s="151" t="n">
        <v>45956</v>
      </c>
      <c r="B1379" s="152" t="s">
        <v>1393</v>
      </c>
      <c r="C1379" s="163" t="n">
        <v>2179.79</v>
      </c>
      <c r="D1379" s="154" t="s">
        <v>130</v>
      </c>
      <c r="E1379" s="153"/>
      <c r="F1379" s="154"/>
      <c r="G1379" s="152" t="s">
        <v>315</v>
      </c>
      <c r="H1379" s="152" t="s">
        <v>129</v>
      </c>
      <c r="I1379" s="152"/>
    </row>
    <row r="1380" customFormat="false" ht="16.5" hidden="false" customHeight="true" outlineLevel="0" collapsed="false">
      <c r="A1380" s="151" t="n">
        <v>45958</v>
      </c>
      <c r="B1380" s="152" t="s">
        <v>60</v>
      </c>
      <c r="C1380" s="153" t="n">
        <v>1197.03</v>
      </c>
      <c r="D1380" s="154" t="s">
        <v>97</v>
      </c>
      <c r="E1380" s="153"/>
      <c r="F1380" s="154"/>
      <c r="G1380" s="152" t="s">
        <v>315</v>
      </c>
      <c r="H1380" s="152" t="s">
        <v>117</v>
      </c>
      <c r="I1380" s="152"/>
    </row>
    <row r="1381" customFormat="false" ht="16.5" hidden="false" customHeight="true" outlineLevel="0" collapsed="false">
      <c r="A1381" s="151" t="n">
        <v>45957</v>
      </c>
      <c r="B1381" s="152" t="s">
        <v>60</v>
      </c>
      <c r="C1381" s="153" t="n">
        <v>0</v>
      </c>
      <c r="D1381" s="154" t="s">
        <v>97</v>
      </c>
      <c r="E1381" s="153"/>
      <c r="F1381" s="154"/>
      <c r="G1381" s="152" t="s">
        <v>315</v>
      </c>
      <c r="H1381" s="152" t="s">
        <v>107</v>
      </c>
      <c r="I1381" s="152"/>
    </row>
    <row r="1382" customFormat="false" ht="16.5" hidden="false" customHeight="true" outlineLevel="0" collapsed="false">
      <c r="A1382" s="151" t="n">
        <v>45958</v>
      </c>
      <c r="B1382" s="152"/>
      <c r="C1382" s="153" t="n">
        <v>1.99</v>
      </c>
      <c r="D1382" s="154" t="s">
        <v>97</v>
      </c>
      <c r="E1382" s="153"/>
      <c r="F1382" s="154" t="s">
        <v>1394</v>
      </c>
      <c r="G1382" s="152" t="s">
        <v>190</v>
      </c>
      <c r="H1382" s="152" t="s">
        <v>107</v>
      </c>
      <c r="I1382" s="152"/>
    </row>
    <row r="1383" customFormat="false" ht="16.5" hidden="false" customHeight="true" outlineLevel="0" collapsed="false">
      <c r="A1383" s="151" t="n">
        <v>45957</v>
      </c>
      <c r="B1383" s="152" t="s">
        <v>1395</v>
      </c>
      <c r="C1383" s="153" t="n">
        <v>-401.09</v>
      </c>
      <c r="D1383" s="154" t="s">
        <v>97</v>
      </c>
      <c r="E1383" s="153"/>
      <c r="F1383" s="154" t="s">
        <v>1396</v>
      </c>
      <c r="G1383" s="152" t="s">
        <v>190</v>
      </c>
      <c r="H1383" s="152" t="s">
        <v>117</v>
      </c>
      <c r="I1383" s="152"/>
    </row>
    <row r="1384" customFormat="false" ht="16.5" hidden="false" customHeight="true" outlineLevel="0" collapsed="false">
      <c r="A1384" s="151" t="n">
        <v>45958</v>
      </c>
      <c r="B1384" s="152"/>
      <c r="C1384" s="153" t="n">
        <v>401.09</v>
      </c>
      <c r="D1384" s="154" t="s">
        <v>97</v>
      </c>
      <c r="E1384" s="153"/>
      <c r="F1384" s="154" t="s">
        <v>1396</v>
      </c>
      <c r="G1384" s="152" t="s">
        <v>190</v>
      </c>
      <c r="H1384" s="152" t="s">
        <v>107</v>
      </c>
      <c r="I1384" s="152"/>
    </row>
    <row r="1385" customFormat="false" ht="16.5" hidden="false" customHeight="true" outlineLevel="0" collapsed="false">
      <c r="A1385" s="151" t="n">
        <v>45959</v>
      </c>
      <c r="B1385" s="152"/>
      <c r="C1385" s="153" t="n">
        <v>401.09</v>
      </c>
      <c r="D1385" s="154" t="s">
        <v>97</v>
      </c>
      <c r="E1385" s="153"/>
      <c r="F1385" s="154" t="s">
        <v>1397</v>
      </c>
      <c r="G1385" s="152" t="s">
        <v>190</v>
      </c>
      <c r="H1385" s="152" t="s">
        <v>107</v>
      </c>
      <c r="I1385" s="152"/>
    </row>
    <row r="1386" customFormat="false" ht="16.5" hidden="false" customHeight="true" outlineLevel="0" collapsed="false">
      <c r="A1386" s="151" t="n">
        <v>45959</v>
      </c>
      <c r="B1386" s="152" t="s">
        <v>60</v>
      </c>
      <c r="C1386" s="153" t="n">
        <v>797.03</v>
      </c>
      <c r="D1386" s="154" t="s">
        <v>97</v>
      </c>
      <c r="E1386" s="153"/>
      <c r="F1386" s="154"/>
      <c r="G1386" s="152" t="s">
        <v>315</v>
      </c>
      <c r="H1386" s="152" t="s">
        <v>117</v>
      </c>
      <c r="I1386" s="152"/>
    </row>
    <row r="1387" customFormat="false" ht="16.5" hidden="false" customHeight="true" outlineLevel="0" collapsed="false">
      <c r="A1387" s="151" t="n">
        <v>45958</v>
      </c>
      <c r="B1387" s="152" t="s">
        <v>60</v>
      </c>
      <c r="C1387" s="155" t="n">
        <v>0</v>
      </c>
      <c r="D1387" s="154" t="s">
        <v>136</v>
      </c>
      <c r="E1387" s="153"/>
      <c r="F1387" s="154"/>
      <c r="G1387" s="152" t="s">
        <v>315</v>
      </c>
      <c r="H1387" s="152" t="s">
        <v>144</v>
      </c>
      <c r="I1387" s="152"/>
    </row>
    <row r="1388" customFormat="false" ht="16.5" hidden="false" customHeight="true" outlineLevel="0" collapsed="false">
      <c r="A1388" s="151" t="n">
        <v>45959</v>
      </c>
      <c r="B1388" s="152"/>
      <c r="C1388" s="153" t="n">
        <v>-202.83</v>
      </c>
      <c r="D1388" s="154" t="s">
        <v>97</v>
      </c>
      <c r="E1388" s="153" t="n">
        <v>-202.83</v>
      </c>
      <c r="F1388" s="154" t="s">
        <v>1398</v>
      </c>
      <c r="G1388" s="152" t="s">
        <v>188</v>
      </c>
      <c r="H1388" s="152" t="s">
        <v>107</v>
      </c>
      <c r="I1388" s="152"/>
    </row>
    <row r="1389" customFormat="false" ht="16.5" hidden="false" customHeight="true" outlineLevel="0" collapsed="false">
      <c r="A1389" s="151" t="n">
        <v>45959</v>
      </c>
      <c r="B1389" s="152" t="s">
        <v>1399</v>
      </c>
      <c r="C1389" s="155" t="n">
        <v>202182.39</v>
      </c>
      <c r="D1389" s="154" t="s">
        <v>136</v>
      </c>
      <c r="E1389" s="153" t="n">
        <v>202.83</v>
      </c>
      <c r="F1389" s="154" t="s">
        <v>1398</v>
      </c>
      <c r="G1389" s="152" t="s">
        <v>188</v>
      </c>
      <c r="H1389" s="152" t="s">
        <v>144</v>
      </c>
      <c r="I1389" s="152"/>
    </row>
    <row r="1390" customFormat="false" ht="16.5" hidden="false" customHeight="true" outlineLevel="0" collapsed="false">
      <c r="A1390" s="151" t="n">
        <v>45959</v>
      </c>
      <c r="B1390" s="152" t="s">
        <v>60</v>
      </c>
      <c r="C1390" s="155" t="n">
        <v>202182.39</v>
      </c>
      <c r="D1390" s="154" t="s">
        <v>136</v>
      </c>
      <c r="E1390" s="153"/>
      <c r="F1390" s="154"/>
      <c r="G1390" s="152" t="s">
        <v>315</v>
      </c>
      <c r="H1390" s="152" t="s">
        <v>144</v>
      </c>
      <c r="I1390" s="152"/>
    </row>
    <row r="1391" customFormat="false" ht="16.5" hidden="false" customHeight="true" outlineLevel="0" collapsed="false">
      <c r="A1391" s="151" t="n">
        <v>45959</v>
      </c>
      <c r="B1391" s="152"/>
      <c r="C1391" s="153" t="n">
        <v>-398.33</v>
      </c>
      <c r="D1391" s="154" t="s">
        <v>97</v>
      </c>
      <c r="E1391" s="153"/>
      <c r="F1391" s="154" t="s">
        <v>1400</v>
      </c>
      <c r="G1391" s="152" t="s">
        <v>190</v>
      </c>
      <c r="H1391" s="152" t="s">
        <v>107</v>
      </c>
      <c r="I1391" s="152"/>
    </row>
    <row r="1392" customFormat="false" ht="16.5" hidden="false" customHeight="true" outlineLevel="0" collapsed="false">
      <c r="A1392" s="151" t="n">
        <v>45959</v>
      </c>
      <c r="B1392" s="152" t="s">
        <v>60</v>
      </c>
      <c r="C1392" s="153" t="n">
        <v>203.01</v>
      </c>
      <c r="D1392" s="154" t="s">
        <v>97</v>
      </c>
      <c r="E1392" s="153"/>
      <c r="F1392" s="154"/>
      <c r="G1392" s="152" t="s">
        <v>315</v>
      </c>
      <c r="H1392" s="152" t="s">
        <v>107</v>
      </c>
      <c r="I1392" s="152"/>
    </row>
    <row r="1393" customFormat="false" ht="16.5" hidden="false" customHeight="true" outlineLevel="0" collapsed="false">
      <c r="A1393" s="151" t="n">
        <v>45960</v>
      </c>
      <c r="B1393" s="152" t="s">
        <v>1395</v>
      </c>
      <c r="C1393" s="153" t="n">
        <v>-200.15</v>
      </c>
      <c r="D1393" s="154" t="s">
        <v>97</v>
      </c>
      <c r="E1393" s="153"/>
      <c r="F1393" s="154" t="s">
        <v>1401</v>
      </c>
      <c r="G1393" s="152" t="s">
        <v>190</v>
      </c>
      <c r="H1393" s="152" t="s">
        <v>117</v>
      </c>
      <c r="I1393" s="152"/>
    </row>
    <row r="1394" customFormat="false" ht="16.5" hidden="false" customHeight="true" outlineLevel="0" collapsed="false">
      <c r="A1394" s="151" t="n">
        <v>45960</v>
      </c>
      <c r="B1394" s="152" t="s">
        <v>1395</v>
      </c>
      <c r="C1394" s="153" t="n">
        <v>-200.15</v>
      </c>
      <c r="D1394" s="154" t="s">
        <v>97</v>
      </c>
      <c r="E1394" s="153"/>
      <c r="F1394" s="154" t="s">
        <v>1402</v>
      </c>
      <c r="G1394" s="152" t="s">
        <v>190</v>
      </c>
      <c r="H1394" s="152" t="s">
        <v>117</v>
      </c>
      <c r="I1394" s="152"/>
    </row>
    <row r="1395" customFormat="false" ht="16.5" hidden="false" customHeight="true" outlineLevel="0" collapsed="false">
      <c r="A1395" s="151" t="n">
        <v>45960</v>
      </c>
      <c r="B1395" s="152" t="s">
        <v>60</v>
      </c>
      <c r="C1395" s="153" t="n">
        <v>396.73</v>
      </c>
      <c r="D1395" s="154" t="s">
        <v>97</v>
      </c>
      <c r="E1395" s="153"/>
      <c r="F1395" s="154"/>
      <c r="G1395" s="152" t="s">
        <v>315</v>
      </c>
      <c r="H1395" s="152" t="s">
        <v>117</v>
      </c>
      <c r="I1395" s="152"/>
    </row>
    <row r="1396" customFormat="false" ht="16.5" hidden="false" customHeight="true" outlineLevel="0" collapsed="false">
      <c r="A1396" s="151" t="n">
        <v>45960</v>
      </c>
      <c r="B1396" s="152" t="s">
        <v>1267</v>
      </c>
      <c r="C1396" s="153" t="n">
        <v>200.15</v>
      </c>
      <c r="D1396" s="154" t="s">
        <v>97</v>
      </c>
      <c r="E1396" s="153"/>
      <c r="F1396" s="154" t="s">
        <v>1401</v>
      </c>
      <c r="G1396" s="152" t="s">
        <v>190</v>
      </c>
      <c r="H1396" s="152" t="s">
        <v>119</v>
      </c>
      <c r="I1396" s="152"/>
    </row>
    <row r="1397" customFormat="false" ht="16.5" hidden="false" customHeight="true" outlineLevel="0" collapsed="false">
      <c r="A1397" s="151" t="n">
        <v>45960</v>
      </c>
      <c r="B1397" s="152" t="s">
        <v>1267</v>
      </c>
      <c r="C1397" s="153" t="n">
        <v>200.15</v>
      </c>
      <c r="D1397" s="154" t="s">
        <v>97</v>
      </c>
      <c r="E1397" s="153"/>
      <c r="F1397" s="154" t="s">
        <v>1402</v>
      </c>
      <c r="G1397" s="152" t="s">
        <v>190</v>
      </c>
      <c r="H1397" s="152" t="s">
        <v>119</v>
      </c>
      <c r="I1397" s="152"/>
    </row>
    <row r="1398" customFormat="false" ht="16.5" hidden="false" customHeight="true" outlineLevel="0" collapsed="false">
      <c r="A1398" s="151" t="n">
        <v>45960</v>
      </c>
      <c r="B1398" s="152" t="s">
        <v>1281</v>
      </c>
      <c r="C1398" s="153" t="n">
        <v>-401.09</v>
      </c>
      <c r="D1398" s="154" t="s">
        <v>97</v>
      </c>
      <c r="E1398" s="153" t="n">
        <v>-401.09</v>
      </c>
      <c r="F1398" s="154" t="s">
        <v>1403</v>
      </c>
      <c r="G1398" s="152" t="s">
        <v>188</v>
      </c>
      <c r="H1398" s="152" t="s">
        <v>119</v>
      </c>
      <c r="I1398" s="152"/>
    </row>
    <row r="1399" customFormat="false" ht="16.5" hidden="false" customHeight="true" outlineLevel="0" collapsed="false">
      <c r="A1399" s="151" t="n">
        <v>45960</v>
      </c>
      <c r="B1399" s="152" t="s">
        <v>60</v>
      </c>
      <c r="C1399" s="153" t="n">
        <v>1.2</v>
      </c>
      <c r="D1399" s="154" t="s">
        <v>97</v>
      </c>
      <c r="E1399" s="153"/>
      <c r="F1399" s="154"/>
      <c r="G1399" s="152" t="s">
        <v>315</v>
      </c>
      <c r="H1399" s="152" t="s">
        <v>119</v>
      </c>
      <c r="I1399" s="152"/>
    </row>
    <row r="1400" customFormat="false" ht="16.5" hidden="false" customHeight="true" outlineLevel="0" collapsed="false">
      <c r="A1400" s="151" t="n">
        <v>45960</v>
      </c>
      <c r="B1400" s="152" t="s">
        <v>1281</v>
      </c>
      <c r="C1400" s="155" t="n">
        <v>419534.53</v>
      </c>
      <c r="D1400" s="154" t="s">
        <v>136</v>
      </c>
      <c r="E1400" s="153" t="n">
        <v>401.09</v>
      </c>
      <c r="F1400" s="154" t="s">
        <v>1403</v>
      </c>
      <c r="G1400" s="152" t="s">
        <v>188</v>
      </c>
      <c r="H1400" s="152" t="s">
        <v>143</v>
      </c>
      <c r="I1400" s="152"/>
    </row>
    <row r="1401" customFormat="false" ht="16.5" hidden="false" customHeight="true" outlineLevel="0" collapsed="false">
      <c r="A1401" s="151" t="n">
        <v>45960</v>
      </c>
      <c r="B1401" s="152" t="s">
        <v>60</v>
      </c>
      <c r="C1401" s="155" t="n">
        <v>637765.57</v>
      </c>
      <c r="D1401" s="154" t="s">
        <v>136</v>
      </c>
      <c r="E1401" s="153"/>
      <c r="F1401" s="154"/>
      <c r="G1401" s="152" t="s">
        <v>315</v>
      </c>
      <c r="H1401" s="152" t="s">
        <v>143</v>
      </c>
      <c r="I1401" s="152"/>
    </row>
    <row r="1402" customFormat="false" ht="16.5" hidden="false" customHeight="true" outlineLevel="0" collapsed="false">
      <c r="A1402" s="151" t="n">
        <v>45961</v>
      </c>
      <c r="B1402" s="152" t="s">
        <v>1404</v>
      </c>
      <c r="C1402" s="153" t="n">
        <v>-200.15</v>
      </c>
      <c r="D1402" s="154" t="s">
        <v>97</v>
      </c>
      <c r="E1402" s="153"/>
      <c r="F1402" s="154" t="s">
        <v>1405</v>
      </c>
      <c r="G1402" s="152" t="s">
        <v>190</v>
      </c>
      <c r="H1402" s="152" t="s">
        <v>106</v>
      </c>
      <c r="I1402" s="152"/>
    </row>
    <row r="1403" customFormat="false" ht="16.5" hidden="false" customHeight="true" outlineLevel="0" collapsed="false">
      <c r="A1403" s="151" t="n">
        <v>45961</v>
      </c>
      <c r="B1403" s="152" t="s">
        <v>1406</v>
      </c>
      <c r="C1403" s="153" t="n">
        <v>-88.44</v>
      </c>
      <c r="D1403" s="154" t="s">
        <v>97</v>
      </c>
      <c r="E1403" s="153" t="n">
        <v>-88.44</v>
      </c>
      <c r="F1403" s="154" t="s">
        <v>1367</v>
      </c>
      <c r="G1403" s="152" t="s">
        <v>189</v>
      </c>
      <c r="H1403" s="152" t="s">
        <v>106</v>
      </c>
      <c r="I1403" s="152"/>
    </row>
    <row r="1404" customFormat="false" ht="16.5" hidden="false" customHeight="true" outlineLevel="0" collapsed="false">
      <c r="A1404" s="151" t="n">
        <v>45961</v>
      </c>
      <c r="B1404" s="152" t="s">
        <v>1407</v>
      </c>
      <c r="C1404" s="153" t="n">
        <v>-57.55</v>
      </c>
      <c r="D1404" s="154" t="s">
        <v>97</v>
      </c>
      <c r="E1404" s="153"/>
      <c r="F1404" s="154"/>
      <c r="G1404" s="152" t="s">
        <v>1408</v>
      </c>
      <c r="H1404" s="152" t="s">
        <v>106</v>
      </c>
      <c r="I1404" s="152"/>
    </row>
    <row r="1405" customFormat="false" ht="16.5" hidden="false" customHeight="true" outlineLevel="0" collapsed="false">
      <c r="A1405" s="151" t="n">
        <v>45961</v>
      </c>
      <c r="B1405" s="152" t="s">
        <v>1409</v>
      </c>
      <c r="C1405" s="153" t="n">
        <v>-4.99</v>
      </c>
      <c r="D1405" s="154" t="s">
        <v>97</v>
      </c>
      <c r="E1405" s="153" t="n">
        <v>-4.99</v>
      </c>
      <c r="F1405" s="154" t="s">
        <v>1363</v>
      </c>
      <c r="G1405" s="152" t="s">
        <v>189</v>
      </c>
      <c r="H1405" s="152" t="s">
        <v>106</v>
      </c>
      <c r="I1405" s="152"/>
    </row>
    <row r="1406" customFormat="false" ht="16.5" hidden="false" customHeight="true" outlineLevel="0" collapsed="false">
      <c r="A1406" s="151" t="n">
        <v>45961</v>
      </c>
      <c r="B1406" s="152" t="s">
        <v>1409</v>
      </c>
      <c r="C1406" s="153" t="n">
        <v>-52.54</v>
      </c>
      <c r="D1406" s="154" t="s">
        <v>97</v>
      </c>
      <c r="E1406" s="153" t="n">
        <v>-52.54</v>
      </c>
      <c r="F1406" s="154" t="s">
        <v>1365</v>
      </c>
      <c r="G1406" s="152" t="s">
        <v>189</v>
      </c>
      <c r="H1406" s="152" t="s">
        <v>106</v>
      </c>
      <c r="I1406" s="152"/>
    </row>
    <row r="1407" customFormat="false" ht="16.5" hidden="false" customHeight="true" outlineLevel="0" collapsed="false">
      <c r="A1407" s="151" t="n">
        <v>45961</v>
      </c>
      <c r="B1407" s="152" t="s">
        <v>1410</v>
      </c>
      <c r="C1407" s="153" t="n">
        <v>-46.5</v>
      </c>
      <c r="D1407" s="154" t="s">
        <v>97</v>
      </c>
      <c r="E1407" s="153"/>
      <c r="F1407" s="154"/>
      <c r="G1407" s="152" t="s">
        <v>213</v>
      </c>
      <c r="H1407" s="152" t="s">
        <v>106</v>
      </c>
      <c r="I1407" s="152"/>
    </row>
    <row r="1408" customFormat="false" ht="16.5" hidden="false" customHeight="true" outlineLevel="0" collapsed="false">
      <c r="A1408" s="151" t="n">
        <v>45961</v>
      </c>
      <c r="B1408" s="152" t="s">
        <v>1411</v>
      </c>
      <c r="C1408" s="153" t="n">
        <v>-27.43</v>
      </c>
      <c r="D1408" s="154" t="s">
        <v>97</v>
      </c>
      <c r="E1408" s="153"/>
      <c r="F1408" s="154"/>
      <c r="G1408" s="152" t="s">
        <v>213</v>
      </c>
      <c r="H1408" s="152" t="s">
        <v>106</v>
      </c>
      <c r="I1408" s="152"/>
    </row>
    <row r="1409" customFormat="false" ht="16.5" hidden="false" customHeight="true" outlineLevel="0" collapsed="false">
      <c r="A1409" s="151" t="n">
        <v>45961</v>
      </c>
      <c r="B1409" s="152" t="s">
        <v>1412</v>
      </c>
      <c r="C1409" s="153" t="n">
        <v>-18.14</v>
      </c>
      <c r="D1409" s="154" t="s">
        <v>97</v>
      </c>
      <c r="E1409" s="153"/>
      <c r="F1409" s="154"/>
      <c r="G1409" s="152" t="s">
        <v>213</v>
      </c>
      <c r="H1409" s="152" t="s">
        <v>106</v>
      </c>
      <c r="I1409" s="152"/>
    </row>
    <row r="1410" customFormat="false" ht="16.5" hidden="false" customHeight="true" outlineLevel="0" collapsed="false">
      <c r="A1410" s="151" t="n">
        <v>45961</v>
      </c>
      <c r="B1410" s="152" t="s">
        <v>1413</v>
      </c>
      <c r="C1410" s="153" t="n">
        <v>-18.04</v>
      </c>
      <c r="D1410" s="154" t="s">
        <v>97</v>
      </c>
      <c r="E1410" s="153"/>
      <c r="F1410" s="154"/>
      <c r="G1410" s="152" t="s">
        <v>168</v>
      </c>
      <c r="H1410" s="152" t="s">
        <v>106</v>
      </c>
      <c r="I1410" s="152"/>
    </row>
    <row r="1411" customFormat="false" ht="16.5" hidden="false" customHeight="true" outlineLevel="0" collapsed="false">
      <c r="A1411" s="151" t="n">
        <v>45961</v>
      </c>
      <c r="B1411" s="152" t="s">
        <v>1414</v>
      </c>
      <c r="C1411" s="153" t="n">
        <v>-14.47</v>
      </c>
      <c r="D1411" s="154" t="s">
        <v>97</v>
      </c>
      <c r="E1411" s="153"/>
      <c r="F1411" s="154"/>
      <c r="G1411" s="152" t="s">
        <v>231</v>
      </c>
      <c r="H1411" s="152" t="s">
        <v>106</v>
      </c>
      <c r="I1411" s="152"/>
    </row>
    <row r="1412" customFormat="false" ht="16.5" hidden="false" customHeight="true" outlineLevel="0" collapsed="false">
      <c r="A1412" s="151" t="n">
        <v>45961</v>
      </c>
      <c r="B1412" s="152" t="s">
        <v>1415</v>
      </c>
      <c r="C1412" s="153" t="n">
        <v>-12.36</v>
      </c>
      <c r="D1412" s="154" t="s">
        <v>97</v>
      </c>
      <c r="E1412" s="153"/>
      <c r="F1412" s="154"/>
      <c r="G1412" s="152" t="s">
        <v>213</v>
      </c>
      <c r="H1412" s="152" t="s">
        <v>106</v>
      </c>
      <c r="I1412" s="152"/>
    </row>
    <row r="1413" customFormat="false" ht="16.5" hidden="false" customHeight="true" outlineLevel="0" collapsed="false">
      <c r="A1413" s="151" t="n">
        <v>45961</v>
      </c>
      <c r="B1413" s="152" t="s">
        <v>1416</v>
      </c>
      <c r="C1413" s="153" t="n">
        <v>-12.02</v>
      </c>
      <c r="D1413" s="154" t="s">
        <v>97</v>
      </c>
      <c r="E1413" s="153"/>
      <c r="F1413" s="154"/>
      <c r="G1413" s="152" t="s">
        <v>168</v>
      </c>
      <c r="H1413" s="152" t="s">
        <v>106</v>
      </c>
      <c r="I1413" s="152"/>
    </row>
    <row r="1414" customFormat="false" ht="16.5" hidden="false" customHeight="true" outlineLevel="0" collapsed="false">
      <c r="A1414" s="151" t="n">
        <v>45961</v>
      </c>
      <c r="B1414" s="152" t="s">
        <v>1417</v>
      </c>
      <c r="C1414" s="153" t="n">
        <v>-11.01</v>
      </c>
      <c r="D1414" s="154" t="s">
        <v>97</v>
      </c>
      <c r="E1414" s="153"/>
      <c r="F1414" s="154"/>
      <c r="G1414" s="152" t="s">
        <v>213</v>
      </c>
      <c r="H1414" s="152" t="s">
        <v>106</v>
      </c>
      <c r="I1414" s="152"/>
    </row>
    <row r="1415" customFormat="false" ht="16.5" hidden="false" customHeight="true" outlineLevel="0" collapsed="false">
      <c r="A1415" s="151" t="n">
        <v>45961</v>
      </c>
      <c r="B1415" s="152" t="s">
        <v>1418</v>
      </c>
      <c r="C1415" s="153" t="n">
        <v>-9.93</v>
      </c>
      <c r="D1415" s="154" t="s">
        <v>97</v>
      </c>
      <c r="E1415" s="153"/>
      <c r="F1415" s="154"/>
      <c r="G1415" s="152" t="s">
        <v>168</v>
      </c>
      <c r="H1415" s="152" t="s">
        <v>106</v>
      </c>
      <c r="I1415" s="152"/>
    </row>
    <row r="1416" customFormat="false" ht="16.5" hidden="false" customHeight="true" outlineLevel="0" collapsed="false">
      <c r="A1416" s="151" t="n">
        <v>45961</v>
      </c>
      <c r="B1416" s="152" t="s">
        <v>1419</v>
      </c>
      <c r="C1416" s="153" t="n">
        <v>-9.69</v>
      </c>
      <c r="D1416" s="154" t="s">
        <v>97</v>
      </c>
      <c r="E1416" s="153"/>
      <c r="F1416" s="154"/>
      <c r="G1416" s="152" t="s">
        <v>213</v>
      </c>
      <c r="H1416" s="152" t="s">
        <v>106</v>
      </c>
      <c r="I1416" s="152"/>
    </row>
    <row r="1417" customFormat="false" ht="16.5" hidden="false" customHeight="true" outlineLevel="0" collapsed="false">
      <c r="A1417" s="151" t="n">
        <v>45961</v>
      </c>
      <c r="B1417" s="152" t="s">
        <v>1420</v>
      </c>
      <c r="C1417" s="153" t="n">
        <v>-9.57</v>
      </c>
      <c r="D1417" s="154" t="s">
        <v>97</v>
      </c>
      <c r="E1417" s="153"/>
      <c r="F1417" s="154"/>
      <c r="G1417" s="152" t="s">
        <v>211</v>
      </c>
      <c r="H1417" s="152" t="s">
        <v>106</v>
      </c>
      <c r="I1417" s="152"/>
    </row>
    <row r="1418" customFormat="false" ht="16.5" hidden="false" customHeight="true" outlineLevel="0" collapsed="false">
      <c r="A1418" s="151" t="n">
        <v>45961</v>
      </c>
      <c r="B1418" s="152" t="s">
        <v>1421</v>
      </c>
      <c r="C1418" s="153" t="n">
        <v>-9.44</v>
      </c>
      <c r="D1418" s="154" t="s">
        <v>97</v>
      </c>
      <c r="E1418" s="153"/>
      <c r="F1418" s="154"/>
      <c r="G1418" s="152" t="s">
        <v>168</v>
      </c>
      <c r="H1418" s="152" t="s">
        <v>106</v>
      </c>
      <c r="I1418" s="152"/>
    </row>
    <row r="1419" customFormat="false" ht="16.5" hidden="false" customHeight="true" outlineLevel="0" collapsed="false">
      <c r="A1419" s="151" t="n">
        <v>45961</v>
      </c>
      <c r="B1419" s="152" t="s">
        <v>1422</v>
      </c>
      <c r="C1419" s="153" t="n">
        <v>-9.1</v>
      </c>
      <c r="D1419" s="154" t="s">
        <v>97</v>
      </c>
      <c r="E1419" s="153"/>
      <c r="F1419" s="154"/>
      <c r="G1419" s="152" t="s">
        <v>168</v>
      </c>
      <c r="H1419" s="152" t="s">
        <v>106</v>
      </c>
      <c r="I1419" s="152"/>
    </row>
    <row r="1420" customFormat="false" ht="16.5" hidden="false" customHeight="true" outlineLevel="0" collapsed="false">
      <c r="A1420" s="151" t="n">
        <v>45961</v>
      </c>
      <c r="B1420" s="152" t="s">
        <v>1423</v>
      </c>
      <c r="C1420" s="153" t="n">
        <v>-8.42</v>
      </c>
      <c r="D1420" s="154" t="s">
        <v>97</v>
      </c>
      <c r="E1420" s="153"/>
      <c r="F1420" s="154"/>
      <c r="G1420" s="152" t="s">
        <v>213</v>
      </c>
      <c r="H1420" s="152" t="s">
        <v>106</v>
      </c>
      <c r="I1420" s="152"/>
    </row>
    <row r="1421" customFormat="false" ht="16.5" hidden="false" customHeight="true" outlineLevel="0" collapsed="false">
      <c r="A1421" s="151" t="n">
        <v>45961</v>
      </c>
      <c r="B1421" s="152" t="s">
        <v>1424</v>
      </c>
      <c r="C1421" s="153" t="n">
        <v>-8.02</v>
      </c>
      <c r="D1421" s="154" t="s">
        <v>97</v>
      </c>
      <c r="E1421" s="153"/>
      <c r="F1421" s="154"/>
      <c r="G1421" s="152" t="s">
        <v>164</v>
      </c>
      <c r="H1421" s="152" t="s">
        <v>106</v>
      </c>
      <c r="I1421" s="152"/>
    </row>
    <row r="1422" customFormat="false" ht="16.5" hidden="false" customHeight="true" outlineLevel="0" collapsed="false">
      <c r="A1422" s="151" t="n">
        <v>45961</v>
      </c>
      <c r="B1422" s="152" t="s">
        <v>1425</v>
      </c>
      <c r="C1422" s="153" t="n">
        <v>-6.62</v>
      </c>
      <c r="D1422" s="154" t="s">
        <v>97</v>
      </c>
      <c r="E1422" s="153"/>
      <c r="F1422" s="154"/>
      <c r="G1422" s="152" t="s">
        <v>213</v>
      </c>
      <c r="H1422" s="152" t="s">
        <v>106</v>
      </c>
      <c r="I1422" s="152"/>
    </row>
    <row r="1423" customFormat="false" ht="16.5" hidden="false" customHeight="true" outlineLevel="0" collapsed="false">
      <c r="A1423" s="151" t="n">
        <v>45961</v>
      </c>
      <c r="B1423" s="152" t="s">
        <v>1426</v>
      </c>
      <c r="C1423" s="153" t="n">
        <v>-5.98</v>
      </c>
      <c r="D1423" s="154" t="s">
        <v>97</v>
      </c>
      <c r="E1423" s="153"/>
      <c r="F1423" s="154"/>
      <c r="G1423" s="152" t="s">
        <v>160</v>
      </c>
      <c r="H1423" s="152" t="s">
        <v>106</v>
      </c>
      <c r="I1423" s="152"/>
    </row>
    <row r="1424" customFormat="false" ht="16.5" hidden="false" customHeight="true" outlineLevel="0" collapsed="false">
      <c r="A1424" s="151" t="n">
        <v>45961</v>
      </c>
      <c r="B1424" s="152" t="s">
        <v>1427</v>
      </c>
      <c r="C1424" s="153" t="n">
        <v>-5.8</v>
      </c>
      <c r="D1424" s="154" t="s">
        <v>97</v>
      </c>
      <c r="E1424" s="153"/>
      <c r="F1424" s="154"/>
      <c r="G1424" s="152" t="s">
        <v>231</v>
      </c>
      <c r="H1424" s="152" t="s">
        <v>106</v>
      </c>
      <c r="I1424" s="152"/>
    </row>
    <row r="1425" customFormat="false" ht="16.5" hidden="false" customHeight="true" outlineLevel="0" collapsed="false">
      <c r="A1425" s="151" t="n">
        <v>45961</v>
      </c>
      <c r="B1425" s="152" t="s">
        <v>1428</v>
      </c>
      <c r="C1425" s="153" t="n">
        <v>-4.62</v>
      </c>
      <c r="D1425" s="154" t="s">
        <v>97</v>
      </c>
      <c r="E1425" s="153"/>
      <c r="F1425" s="154"/>
      <c r="G1425" s="152" t="s">
        <v>213</v>
      </c>
      <c r="H1425" s="152" t="s">
        <v>106</v>
      </c>
      <c r="I1425" s="152"/>
    </row>
    <row r="1426" customFormat="false" ht="16.5" hidden="false" customHeight="true" outlineLevel="0" collapsed="false">
      <c r="A1426" s="151" t="n">
        <v>45961</v>
      </c>
      <c r="B1426" s="152" t="s">
        <v>1429</v>
      </c>
      <c r="C1426" s="153" t="n">
        <v>-4.36</v>
      </c>
      <c r="D1426" s="154" t="s">
        <v>97</v>
      </c>
      <c r="E1426" s="153"/>
      <c r="F1426" s="154"/>
      <c r="G1426" s="152" t="s">
        <v>213</v>
      </c>
      <c r="H1426" s="152" t="s">
        <v>106</v>
      </c>
      <c r="I1426" s="152"/>
    </row>
    <row r="1427" customFormat="false" ht="16.5" hidden="false" customHeight="true" outlineLevel="0" collapsed="false">
      <c r="A1427" s="151" t="n">
        <v>45961</v>
      </c>
      <c r="B1427" s="152" t="s">
        <v>1430</v>
      </c>
      <c r="C1427" s="153" t="n">
        <v>-4</v>
      </c>
      <c r="D1427" s="154" t="s">
        <v>97</v>
      </c>
      <c r="E1427" s="153"/>
      <c r="F1427" s="154"/>
      <c r="G1427" s="152" t="s">
        <v>162</v>
      </c>
      <c r="H1427" s="152" t="s">
        <v>106</v>
      </c>
      <c r="I1427" s="152"/>
    </row>
    <row r="1428" customFormat="false" ht="16.5" hidden="false" customHeight="true" outlineLevel="0" collapsed="false">
      <c r="A1428" s="151" t="n">
        <v>45961</v>
      </c>
      <c r="B1428" s="152" t="s">
        <v>1431</v>
      </c>
      <c r="C1428" s="153" t="n">
        <v>-3.67</v>
      </c>
      <c r="D1428" s="154" t="s">
        <v>97</v>
      </c>
      <c r="E1428" s="153"/>
      <c r="F1428" s="154"/>
      <c r="G1428" s="152" t="s">
        <v>213</v>
      </c>
      <c r="H1428" s="152" t="s">
        <v>106</v>
      </c>
      <c r="I1428" s="152"/>
    </row>
    <row r="1429" customFormat="false" ht="16.5" hidden="false" customHeight="true" outlineLevel="0" collapsed="false">
      <c r="A1429" s="151" t="n">
        <v>45961</v>
      </c>
      <c r="B1429" s="152" t="s">
        <v>1432</v>
      </c>
      <c r="C1429" s="153" t="n">
        <v>-3</v>
      </c>
      <c r="D1429" s="154" t="s">
        <v>97</v>
      </c>
      <c r="E1429" s="153"/>
      <c r="F1429" s="154"/>
      <c r="G1429" s="152" t="s">
        <v>168</v>
      </c>
      <c r="H1429" s="152" t="s">
        <v>106</v>
      </c>
      <c r="I1429" s="152"/>
    </row>
    <row r="1430" customFormat="false" ht="16.5" hidden="false" customHeight="true" outlineLevel="0" collapsed="false">
      <c r="A1430" s="151" t="n">
        <v>45961</v>
      </c>
      <c r="B1430" s="152" t="s">
        <v>1433</v>
      </c>
      <c r="C1430" s="153" t="n">
        <v>-2.92</v>
      </c>
      <c r="D1430" s="154" t="s">
        <v>97</v>
      </c>
      <c r="E1430" s="153"/>
      <c r="F1430" s="154"/>
      <c r="G1430" s="152" t="s">
        <v>168</v>
      </c>
      <c r="H1430" s="152" t="s">
        <v>106</v>
      </c>
      <c r="I1430" s="152"/>
    </row>
    <row r="1431" customFormat="false" ht="16.5" hidden="false" customHeight="true" outlineLevel="0" collapsed="false">
      <c r="A1431" s="151" t="n">
        <v>45961</v>
      </c>
      <c r="B1431" s="152" t="s">
        <v>1434</v>
      </c>
      <c r="C1431" s="153" t="n">
        <v>-2.83</v>
      </c>
      <c r="D1431" s="154" t="s">
        <v>97</v>
      </c>
      <c r="E1431" s="153"/>
      <c r="F1431" s="154"/>
      <c r="G1431" s="152" t="s">
        <v>213</v>
      </c>
      <c r="H1431" s="152" t="s">
        <v>106</v>
      </c>
      <c r="I1431" s="152"/>
    </row>
    <row r="1432" customFormat="false" ht="16.5" hidden="false" customHeight="true" outlineLevel="0" collapsed="false">
      <c r="A1432" s="151" t="n">
        <v>45961</v>
      </c>
      <c r="B1432" s="152" t="s">
        <v>1435</v>
      </c>
      <c r="C1432" s="153" t="n">
        <v>-2.73</v>
      </c>
      <c r="D1432" s="154" t="s">
        <v>97</v>
      </c>
      <c r="E1432" s="153"/>
      <c r="F1432" s="154"/>
      <c r="G1432" s="152" t="s">
        <v>213</v>
      </c>
      <c r="H1432" s="152" t="s">
        <v>106</v>
      </c>
      <c r="I1432" s="152"/>
    </row>
    <row r="1433" customFormat="false" ht="16.5" hidden="false" customHeight="true" outlineLevel="0" collapsed="false">
      <c r="A1433" s="151" t="n">
        <v>45961</v>
      </c>
      <c r="B1433" s="152" t="s">
        <v>1436</v>
      </c>
      <c r="C1433" s="153" t="n">
        <v>-2.08</v>
      </c>
      <c r="D1433" s="154" t="s">
        <v>97</v>
      </c>
      <c r="E1433" s="153"/>
      <c r="F1433" s="154"/>
      <c r="G1433" s="152" t="s">
        <v>213</v>
      </c>
      <c r="H1433" s="152" t="s">
        <v>106</v>
      </c>
      <c r="I1433" s="152"/>
    </row>
    <row r="1434" customFormat="false" ht="16.5" hidden="false" customHeight="true" outlineLevel="0" collapsed="false">
      <c r="A1434" s="151" t="n">
        <v>45961</v>
      </c>
      <c r="B1434" s="152" t="s">
        <v>1437</v>
      </c>
      <c r="C1434" s="153" t="n">
        <v>-2</v>
      </c>
      <c r="D1434" s="154" t="s">
        <v>97</v>
      </c>
      <c r="E1434" s="153"/>
      <c r="F1434" s="154"/>
      <c r="G1434" s="152" t="s">
        <v>167</v>
      </c>
      <c r="H1434" s="152" t="s">
        <v>106</v>
      </c>
      <c r="I1434" s="152"/>
    </row>
    <row r="1435" customFormat="false" ht="16.5" hidden="false" customHeight="true" outlineLevel="0" collapsed="false">
      <c r="A1435" s="151" t="n">
        <v>45961</v>
      </c>
      <c r="B1435" s="152" t="s">
        <v>1438</v>
      </c>
      <c r="C1435" s="153" t="n">
        <v>-1.98</v>
      </c>
      <c r="D1435" s="154" t="s">
        <v>97</v>
      </c>
      <c r="E1435" s="153"/>
      <c r="F1435" s="154"/>
      <c r="G1435" s="152" t="s">
        <v>213</v>
      </c>
      <c r="H1435" s="152" t="s">
        <v>106</v>
      </c>
      <c r="I1435" s="152"/>
    </row>
    <row r="1436" customFormat="false" ht="16.5" hidden="false" customHeight="true" outlineLevel="0" collapsed="false">
      <c r="A1436" s="151" t="n">
        <v>45961</v>
      </c>
      <c r="B1436" s="152" t="s">
        <v>1439</v>
      </c>
      <c r="C1436" s="153" t="n">
        <v>-1.98</v>
      </c>
      <c r="D1436" s="154" t="s">
        <v>97</v>
      </c>
      <c r="E1436" s="153"/>
      <c r="F1436" s="154"/>
      <c r="G1436" s="152" t="s">
        <v>12</v>
      </c>
      <c r="H1436" s="152" t="s">
        <v>106</v>
      </c>
      <c r="I1436" s="152"/>
    </row>
    <row r="1437" customFormat="false" ht="16.5" hidden="false" customHeight="true" outlineLevel="0" collapsed="false">
      <c r="A1437" s="151" t="n">
        <v>45961</v>
      </c>
      <c r="B1437" s="152" t="s">
        <v>1440</v>
      </c>
      <c r="C1437" s="153" t="n">
        <v>-1.39</v>
      </c>
      <c r="D1437" s="154" t="s">
        <v>97</v>
      </c>
      <c r="E1437" s="153"/>
      <c r="F1437" s="154"/>
      <c r="G1437" s="152" t="s">
        <v>213</v>
      </c>
      <c r="H1437" s="152" t="s">
        <v>106</v>
      </c>
      <c r="I1437" s="152"/>
    </row>
    <row r="1438" customFormat="false" ht="16.5" hidden="false" customHeight="true" outlineLevel="0" collapsed="false">
      <c r="A1438" s="151" t="n">
        <v>45961</v>
      </c>
      <c r="B1438" s="152" t="s">
        <v>1441</v>
      </c>
      <c r="C1438" s="153" t="n">
        <v>-1.07</v>
      </c>
      <c r="D1438" s="154" t="s">
        <v>97</v>
      </c>
      <c r="E1438" s="153"/>
      <c r="F1438" s="154"/>
      <c r="G1438" s="152" t="s">
        <v>160</v>
      </c>
      <c r="H1438" s="152" t="s">
        <v>106</v>
      </c>
      <c r="I1438" s="152"/>
    </row>
    <row r="1439" customFormat="false" ht="16.5" hidden="false" customHeight="true" outlineLevel="0" collapsed="false">
      <c r="A1439" s="151" t="n">
        <v>45961</v>
      </c>
      <c r="B1439" s="152" t="s">
        <v>1442</v>
      </c>
      <c r="C1439" s="153" t="n">
        <v>-0.99</v>
      </c>
      <c r="D1439" s="154" t="s">
        <v>97</v>
      </c>
      <c r="E1439" s="153"/>
      <c r="F1439" s="154"/>
      <c r="G1439" s="152" t="s">
        <v>42</v>
      </c>
      <c r="H1439" s="152" t="s">
        <v>106</v>
      </c>
      <c r="I1439" s="152"/>
    </row>
    <row r="1440" customFormat="false" ht="16.5" hidden="false" customHeight="true" outlineLevel="0" collapsed="false">
      <c r="A1440" s="151" t="n">
        <v>45961</v>
      </c>
      <c r="B1440" s="152" t="s">
        <v>1443</v>
      </c>
      <c r="C1440" s="153" t="n">
        <v>-0.99</v>
      </c>
      <c r="D1440" s="154" t="s">
        <v>97</v>
      </c>
      <c r="E1440" s="153"/>
      <c r="F1440" s="154"/>
      <c r="G1440" s="152" t="s">
        <v>42</v>
      </c>
      <c r="H1440" s="152" t="s">
        <v>106</v>
      </c>
      <c r="I1440" s="152"/>
    </row>
    <row r="1441" customFormat="false" ht="16.5" hidden="false" customHeight="true" outlineLevel="0" collapsed="false">
      <c r="A1441" s="151" t="n">
        <v>45961</v>
      </c>
      <c r="B1441" s="152" t="s">
        <v>1444</v>
      </c>
      <c r="C1441" s="153" t="n">
        <v>-0.98</v>
      </c>
      <c r="D1441" s="154" t="s">
        <v>97</v>
      </c>
      <c r="E1441" s="153"/>
      <c r="F1441" s="154"/>
      <c r="G1441" s="152" t="s">
        <v>213</v>
      </c>
      <c r="H1441" s="152" t="s">
        <v>106</v>
      </c>
      <c r="I1441" s="152"/>
    </row>
    <row r="1442" customFormat="false" ht="16.5" hidden="false" customHeight="true" outlineLevel="0" collapsed="false">
      <c r="A1442" s="151" t="n">
        <v>45961</v>
      </c>
      <c r="B1442" s="152" t="s">
        <v>1445</v>
      </c>
      <c r="C1442" s="153" t="n">
        <v>-0.9</v>
      </c>
      <c r="D1442" s="154" t="s">
        <v>97</v>
      </c>
      <c r="E1442" s="153"/>
      <c r="F1442" s="154"/>
      <c r="G1442" s="152" t="s">
        <v>160</v>
      </c>
      <c r="H1442" s="152" t="s">
        <v>106</v>
      </c>
      <c r="I1442" s="152"/>
    </row>
    <row r="1443" customFormat="false" ht="16.5" hidden="false" customHeight="true" outlineLevel="0" collapsed="false">
      <c r="A1443" s="151" t="n">
        <v>45961</v>
      </c>
      <c r="B1443" s="152" t="s">
        <v>1446</v>
      </c>
      <c r="C1443" s="153" t="n">
        <v>-0.84</v>
      </c>
      <c r="D1443" s="154" t="s">
        <v>97</v>
      </c>
      <c r="E1443" s="153"/>
      <c r="F1443" s="154"/>
      <c r="G1443" s="152" t="s">
        <v>213</v>
      </c>
      <c r="H1443" s="152" t="s">
        <v>106</v>
      </c>
      <c r="I1443" s="152"/>
    </row>
    <row r="1444" customFormat="false" ht="16.5" hidden="false" customHeight="true" outlineLevel="0" collapsed="false">
      <c r="A1444" s="151" t="n">
        <v>45961</v>
      </c>
      <c r="B1444" s="152" t="s">
        <v>1447</v>
      </c>
      <c r="C1444" s="153" t="n">
        <v>-0.8</v>
      </c>
      <c r="D1444" s="154" t="s">
        <v>97</v>
      </c>
      <c r="E1444" s="153"/>
      <c r="F1444" s="154"/>
      <c r="G1444" s="152" t="s">
        <v>210</v>
      </c>
      <c r="H1444" s="152" t="s">
        <v>106</v>
      </c>
      <c r="I1444" s="152"/>
    </row>
    <row r="1445" customFormat="false" ht="16.5" hidden="false" customHeight="true" outlineLevel="0" collapsed="false">
      <c r="A1445" s="151" t="n">
        <v>45961</v>
      </c>
      <c r="B1445" s="152" t="s">
        <v>1448</v>
      </c>
      <c r="C1445" s="153" t="n">
        <v>-0.36</v>
      </c>
      <c r="D1445" s="154" t="s">
        <v>97</v>
      </c>
      <c r="E1445" s="153"/>
      <c r="F1445" s="154"/>
      <c r="G1445" s="152" t="s">
        <v>231</v>
      </c>
      <c r="H1445" s="152" t="s">
        <v>106</v>
      </c>
      <c r="I1445" s="152"/>
    </row>
    <row r="1446" customFormat="false" ht="16.5" hidden="false" customHeight="true" outlineLevel="0" collapsed="false">
      <c r="A1446" s="151" t="n">
        <v>45961</v>
      </c>
      <c r="B1446" s="152" t="s">
        <v>1449</v>
      </c>
      <c r="C1446" s="153" t="n">
        <v>-0.36</v>
      </c>
      <c r="D1446" s="154" t="s">
        <v>97</v>
      </c>
      <c r="E1446" s="153"/>
      <c r="F1446" s="154"/>
      <c r="G1446" s="152" t="s">
        <v>231</v>
      </c>
      <c r="H1446" s="152" t="s">
        <v>106</v>
      </c>
      <c r="I1446" s="152"/>
    </row>
    <row r="1447" customFormat="false" ht="16.5" hidden="false" customHeight="true" outlineLevel="0" collapsed="false">
      <c r="A1447" s="151" t="n">
        <v>45961</v>
      </c>
      <c r="B1447" s="152" t="s">
        <v>1450</v>
      </c>
      <c r="C1447" s="153" t="n">
        <v>-0.3</v>
      </c>
      <c r="D1447" s="154" t="s">
        <v>97</v>
      </c>
      <c r="E1447" s="153"/>
      <c r="F1447" s="154"/>
      <c r="G1447" s="152" t="s">
        <v>160</v>
      </c>
      <c r="H1447" s="152" t="s">
        <v>106</v>
      </c>
      <c r="I1447" s="152"/>
    </row>
    <row r="1448" customFormat="false" ht="16.5" hidden="false" customHeight="true" outlineLevel="0" collapsed="false">
      <c r="A1448" s="151" t="n">
        <v>45959</v>
      </c>
      <c r="B1448" s="152" t="s">
        <v>1451</v>
      </c>
      <c r="C1448" s="153" t="n">
        <v>398.33</v>
      </c>
      <c r="D1448" s="154" t="s">
        <v>97</v>
      </c>
      <c r="E1448" s="153"/>
      <c r="F1448" s="154" t="s">
        <v>1400</v>
      </c>
      <c r="G1448" s="152" t="s">
        <v>190</v>
      </c>
      <c r="H1448" s="152" t="s">
        <v>106</v>
      </c>
      <c r="I1448" s="152"/>
    </row>
    <row r="1449" customFormat="false" ht="16.5" hidden="false" customHeight="true" outlineLevel="0" collapsed="false">
      <c r="A1449" s="151" t="n">
        <v>45958</v>
      </c>
      <c r="B1449" s="152" t="s">
        <v>1452</v>
      </c>
      <c r="C1449" s="153" t="n">
        <v>-401.09</v>
      </c>
      <c r="D1449" s="154" t="s">
        <v>97</v>
      </c>
      <c r="E1449" s="153"/>
      <c r="F1449" s="154" t="s">
        <v>1397</v>
      </c>
      <c r="G1449" s="152" t="s">
        <v>190</v>
      </c>
      <c r="H1449" s="152" t="s">
        <v>106</v>
      </c>
      <c r="I1449" s="152"/>
    </row>
    <row r="1450" customFormat="false" ht="16.5" hidden="false" customHeight="true" outlineLevel="0" collapsed="false">
      <c r="A1450" s="151" t="n">
        <v>45958</v>
      </c>
      <c r="B1450" s="152" t="s">
        <v>1453</v>
      </c>
      <c r="C1450" s="153" t="n">
        <v>-1.99</v>
      </c>
      <c r="D1450" s="154" t="s">
        <v>97</v>
      </c>
      <c r="E1450" s="153"/>
      <c r="F1450" s="154" t="s">
        <v>1394</v>
      </c>
      <c r="G1450" s="152" t="s">
        <v>190</v>
      </c>
      <c r="H1450" s="152" t="s">
        <v>106</v>
      </c>
      <c r="I1450" s="152"/>
    </row>
    <row r="1451" customFormat="false" ht="16.5" hidden="false" customHeight="true" outlineLevel="0" collapsed="false">
      <c r="A1451" s="151" t="n">
        <v>45958</v>
      </c>
      <c r="B1451" s="152" t="s">
        <v>1454</v>
      </c>
      <c r="C1451" s="153" t="n">
        <v>-23.16</v>
      </c>
      <c r="D1451" s="154" t="s">
        <v>97</v>
      </c>
      <c r="E1451" s="153"/>
      <c r="F1451" s="154"/>
      <c r="G1451" s="152" t="s">
        <v>203</v>
      </c>
      <c r="H1451" s="152" t="s">
        <v>106</v>
      </c>
      <c r="I1451" s="152"/>
    </row>
    <row r="1452" customFormat="false" ht="16.5" hidden="false" customHeight="true" outlineLevel="0" collapsed="false">
      <c r="A1452" s="151" t="n">
        <v>45957</v>
      </c>
      <c r="B1452" s="152" t="s">
        <v>1455</v>
      </c>
      <c r="C1452" s="153" t="n">
        <v>-54.86</v>
      </c>
      <c r="D1452" s="154" t="s">
        <v>97</v>
      </c>
      <c r="E1452" s="153"/>
      <c r="F1452" s="154"/>
      <c r="G1452" s="152" t="s">
        <v>171</v>
      </c>
      <c r="H1452" s="152" t="s">
        <v>106</v>
      </c>
      <c r="I1452" s="152"/>
    </row>
    <row r="1453" customFormat="false" ht="16.5" hidden="false" customHeight="true" outlineLevel="0" collapsed="false">
      <c r="A1453" s="151" t="n">
        <v>45957</v>
      </c>
      <c r="B1453" s="152" t="s">
        <v>1456</v>
      </c>
      <c r="C1453" s="153" t="n">
        <v>-1.6</v>
      </c>
      <c r="D1453" s="154" t="s">
        <v>97</v>
      </c>
      <c r="E1453" s="153"/>
      <c r="F1453" s="154"/>
      <c r="G1453" s="152" t="s">
        <v>219</v>
      </c>
      <c r="H1453" s="152" t="s">
        <v>106</v>
      </c>
      <c r="I1453" s="152"/>
    </row>
    <row r="1454" customFormat="false" ht="16.5" hidden="false" customHeight="true" outlineLevel="0" collapsed="false">
      <c r="A1454" s="151" t="n">
        <v>45950</v>
      </c>
      <c r="B1454" s="152" t="s">
        <v>1457</v>
      </c>
      <c r="C1454" s="153" t="n">
        <v>-4.58</v>
      </c>
      <c r="D1454" s="154" t="s">
        <v>97</v>
      </c>
      <c r="E1454" s="153"/>
      <c r="F1454" s="154"/>
      <c r="G1454" s="152" t="s">
        <v>221</v>
      </c>
      <c r="H1454" s="152" t="s">
        <v>106</v>
      </c>
      <c r="I1454" s="152"/>
    </row>
    <row r="1455" customFormat="false" ht="16.5" hidden="false" customHeight="true" outlineLevel="0" collapsed="false">
      <c r="A1455" s="151" t="n">
        <v>45946</v>
      </c>
      <c r="B1455" s="152" t="s">
        <v>1458</v>
      </c>
      <c r="C1455" s="153" t="n">
        <v>-200.15</v>
      </c>
      <c r="D1455" s="154" t="s">
        <v>97</v>
      </c>
      <c r="E1455" s="153"/>
      <c r="F1455" s="154" t="s">
        <v>1378</v>
      </c>
      <c r="G1455" s="152" t="s">
        <v>190</v>
      </c>
      <c r="H1455" s="152" t="s">
        <v>106</v>
      </c>
      <c r="I1455" s="152"/>
    </row>
    <row r="1456" customFormat="false" ht="16.5" hidden="false" customHeight="true" outlineLevel="0" collapsed="false">
      <c r="A1456" s="151" t="n">
        <v>45946</v>
      </c>
      <c r="B1456" s="152" t="s">
        <v>1459</v>
      </c>
      <c r="C1456" s="153" t="n">
        <v>-10.03</v>
      </c>
      <c r="D1456" s="154" t="s">
        <v>97</v>
      </c>
      <c r="E1456" s="153"/>
      <c r="F1456" s="154"/>
      <c r="G1456" s="152" t="s">
        <v>207</v>
      </c>
      <c r="H1456" s="152" t="s">
        <v>106</v>
      </c>
      <c r="I1456" s="152"/>
    </row>
    <row r="1457" customFormat="false" ht="16.5" hidden="false" customHeight="true" outlineLevel="0" collapsed="false">
      <c r="A1457" s="151" t="n">
        <v>45946</v>
      </c>
      <c r="B1457" s="152" t="s">
        <v>1460</v>
      </c>
      <c r="C1457" s="153" t="n">
        <v>-8.83</v>
      </c>
      <c r="D1457" s="154" t="s">
        <v>97</v>
      </c>
      <c r="E1457" s="153"/>
      <c r="F1457" s="154"/>
      <c r="G1457" s="152" t="s">
        <v>207</v>
      </c>
      <c r="H1457" s="152" t="s">
        <v>106</v>
      </c>
      <c r="I1457" s="152"/>
    </row>
    <row r="1458" customFormat="false" ht="16.5" hidden="false" customHeight="true" outlineLevel="0" collapsed="false">
      <c r="A1458" s="151" t="n">
        <v>45961</v>
      </c>
      <c r="B1458" s="152" t="s">
        <v>60</v>
      </c>
      <c r="C1458" s="153" t="n">
        <v>2963.28</v>
      </c>
      <c r="D1458" s="154" t="s">
        <v>97</v>
      </c>
      <c r="E1458" s="153"/>
      <c r="F1458" s="154"/>
      <c r="G1458" s="152" t="s">
        <v>315</v>
      </c>
      <c r="H1458" s="152" t="s">
        <v>106</v>
      </c>
      <c r="I1458" s="152"/>
    </row>
    <row r="1459" customFormat="false" ht="16.5" hidden="false" customHeight="true" outlineLevel="0" collapsed="false">
      <c r="A1459" s="151" t="n">
        <v>45967</v>
      </c>
      <c r="B1459" s="152" t="s">
        <v>1267</v>
      </c>
      <c r="C1459" s="153" t="n">
        <v>200.15</v>
      </c>
      <c r="D1459" s="154" t="s">
        <v>97</v>
      </c>
      <c r="E1459" s="153"/>
      <c r="F1459" s="154" t="s">
        <v>1405</v>
      </c>
      <c r="G1459" s="152" t="s">
        <v>190</v>
      </c>
      <c r="H1459" s="152" t="s">
        <v>119</v>
      </c>
      <c r="I1459" s="152"/>
    </row>
    <row r="1460" customFormat="false" ht="16.5" hidden="false" customHeight="true" outlineLevel="0" collapsed="false">
      <c r="A1460" s="151" t="n">
        <v>45967</v>
      </c>
      <c r="B1460" s="152" t="s">
        <v>1281</v>
      </c>
      <c r="C1460" s="153" t="n">
        <v>-200.15</v>
      </c>
      <c r="D1460" s="154" t="s">
        <v>97</v>
      </c>
      <c r="E1460" s="153" t="n">
        <v>-200.15</v>
      </c>
      <c r="F1460" s="154" t="s">
        <v>1461</v>
      </c>
      <c r="G1460" s="152" t="s">
        <v>188</v>
      </c>
      <c r="H1460" s="152" t="s">
        <v>119</v>
      </c>
      <c r="I1460" s="152"/>
    </row>
    <row r="1461" customFormat="false" ht="16.5" hidden="false" customHeight="true" outlineLevel="0" collapsed="false">
      <c r="A1461" s="151" t="n">
        <v>45967</v>
      </c>
      <c r="B1461" s="152" t="s">
        <v>60</v>
      </c>
      <c r="C1461" s="153" t="n">
        <v>1.2</v>
      </c>
      <c r="D1461" s="154" t="s">
        <v>97</v>
      </c>
      <c r="E1461" s="153"/>
      <c r="F1461" s="154"/>
      <c r="G1461" s="152" t="s">
        <v>315</v>
      </c>
      <c r="H1461" s="152" t="s">
        <v>119</v>
      </c>
      <c r="I1461" s="152"/>
    </row>
    <row r="1462" customFormat="false" ht="16.5" hidden="false" customHeight="true" outlineLevel="0" collapsed="false">
      <c r="A1462" s="151" t="n">
        <v>45967</v>
      </c>
      <c r="B1462" s="152" t="s">
        <v>1281</v>
      </c>
      <c r="C1462" s="155" t="n">
        <v>220429.32</v>
      </c>
      <c r="D1462" s="154" t="s">
        <v>136</v>
      </c>
      <c r="E1462" s="153" t="n">
        <v>200.15</v>
      </c>
      <c r="F1462" s="154" t="s">
        <v>1461</v>
      </c>
      <c r="G1462" s="152" t="s">
        <v>188</v>
      </c>
      <c r="H1462" s="152" t="s">
        <v>143</v>
      </c>
      <c r="I1462" s="152"/>
    </row>
    <row r="1463" customFormat="false" ht="16.5" hidden="false" customHeight="true" outlineLevel="0" collapsed="false">
      <c r="A1463" s="151" t="n">
        <v>45967</v>
      </c>
      <c r="B1463" s="152" t="s">
        <v>60</v>
      </c>
      <c r="C1463" s="155" t="n">
        <v>858194.89</v>
      </c>
      <c r="D1463" s="154" t="s">
        <v>136</v>
      </c>
      <c r="E1463" s="153"/>
      <c r="F1463" s="154"/>
      <c r="G1463" s="152" t="s">
        <v>315</v>
      </c>
      <c r="H1463" s="152" t="s">
        <v>143</v>
      </c>
      <c r="I1463" s="152"/>
    </row>
    <row r="1464" customFormat="false" ht="16.5" hidden="false" customHeight="true" outlineLevel="0" collapsed="false">
      <c r="A1464" s="151" t="n">
        <v>45967</v>
      </c>
      <c r="B1464" s="152" t="s">
        <v>1115</v>
      </c>
      <c r="C1464" s="160" t="n">
        <v>0</v>
      </c>
      <c r="D1464" s="154"/>
      <c r="E1464" s="160"/>
      <c r="F1464" s="154"/>
      <c r="G1464" s="152" t="s">
        <v>1116</v>
      </c>
      <c r="H1464" s="152"/>
      <c r="I1464" s="152"/>
    </row>
    <row r="1465" customFormat="false" ht="16.5" hidden="false" customHeight="true" outlineLevel="0" collapsed="false">
      <c r="A1465" s="151" t="n">
        <v>45978</v>
      </c>
      <c r="B1465" s="152" t="s">
        <v>1462</v>
      </c>
      <c r="C1465" s="153" t="n">
        <v>-66.63</v>
      </c>
      <c r="D1465" s="154" t="s">
        <v>97</v>
      </c>
      <c r="E1465" s="153"/>
      <c r="F1465" s="154"/>
      <c r="G1465" s="152" t="s">
        <v>171</v>
      </c>
      <c r="H1465" s="152" t="s">
        <v>106</v>
      </c>
      <c r="I1465" s="152"/>
    </row>
    <row r="1466" customFormat="false" ht="16.5" hidden="false" customHeight="true" outlineLevel="0" collapsed="false">
      <c r="A1466" s="151" t="n">
        <v>45978</v>
      </c>
      <c r="B1466" s="152" t="s">
        <v>1463</v>
      </c>
      <c r="C1466" s="153" t="n">
        <v>-35.72</v>
      </c>
      <c r="D1466" s="154" t="s">
        <v>97</v>
      </c>
      <c r="E1466" s="153"/>
      <c r="F1466" s="154"/>
      <c r="G1466" s="152" t="s">
        <v>197</v>
      </c>
      <c r="H1466" s="152" t="s">
        <v>106</v>
      </c>
      <c r="I1466" s="152"/>
    </row>
    <row r="1467" customFormat="false" ht="16.5" hidden="false" customHeight="true" outlineLevel="0" collapsed="false">
      <c r="A1467" s="151" t="n">
        <v>45978</v>
      </c>
      <c r="B1467" s="152" t="s">
        <v>1464</v>
      </c>
      <c r="C1467" s="153" t="n">
        <v>-13.35</v>
      </c>
      <c r="D1467" s="154" t="s">
        <v>97</v>
      </c>
      <c r="E1467" s="153"/>
      <c r="F1467" s="154"/>
      <c r="G1467" s="152" t="s">
        <v>208</v>
      </c>
      <c r="H1467" s="152" t="s">
        <v>106</v>
      </c>
      <c r="I1467" s="152"/>
    </row>
    <row r="1468" customFormat="false" ht="16.5" hidden="false" customHeight="true" outlineLevel="0" collapsed="false">
      <c r="A1468" s="151" t="n">
        <v>45975</v>
      </c>
      <c r="B1468" s="152" t="s">
        <v>1465</v>
      </c>
      <c r="C1468" s="153" t="n">
        <v>-8.58</v>
      </c>
      <c r="D1468" s="154" t="s">
        <v>97</v>
      </c>
      <c r="E1468" s="153"/>
      <c r="F1468" s="154"/>
      <c r="G1468" s="152" t="s">
        <v>217</v>
      </c>
      <c r="H1468" s="152" t="s">
        <v>106</v>
      </c>
      <c r="I1468" s="152"/>
    </row>
    <row r="1469" customFormat="false" ht="16.5" hidden="false" customHeight="true" outlineLevel="0" collapsed="false">
      <c r="A1469" s="151" t="n">
        <v>45975</v>
      </c>
      <c r="B1469" s="152" t="s">
        <v>1466</v>
      </c>
      <c r="C1469" s="153" t="n">
        <v>43.89</v>
      </c>
      <c r="D1469" s="154" t="s">
        <v>97</v>
      </c>
      <c r="E1469" s="153"/>
      <c r="F1469" s="154"/>
      <c r="G1469" s="152" t="s">
        <v>197</v>
      </c>
      <c r="H1469" s="152" t="s">
        <v>106</v>
      </c>
      <c r="I1469" s="152"/>
    </row>
    <row r="1470" customFormat="false" ht="16.5" hidden="false" customHeight="true" outlineLevel="0" collapsed="false">
      <c r="A1470" s="151" t="n">
        <v>45974</v>
      </c>
      <c r="B1470" s="152" t="s">
        <v>1467</v>
      </c>
      <c r="C1470" s="153" t="n">
        <v>1.8</v>
      </c>
      <c r="D1470" s="154" t="s">
        <v>97</v>
      </c>
      <c r="E1470" s="153"/>
      <c r="F1470" s="154"/>
      <c r="G1470" s="152" t="s">
        <v>213</v>
      </c>
      <c r="H1470" s="152" t="s">
        <v>106</v>
      </c>
      <c r="I1470" s="152"/>
    </row>
    <row r="1471" customFormat="false" ht="16.5" hidden="false" customHeight="true" outlineLevel="0" collapsed="false">
      <c r="A1471" s="151" t="n">
        <v>45973</v>
      </c>
      <c r="B1471" s="152" t="s">
        <v>1468</v>
      </c>
      <c r="C1471" s="153" t="n">
        <v>214.11</v>
      </c>
      <c r="D1471" s="154" t="s">
        <v>97</v>
      </c>
      <c r="E1471" s="153"/>
      <c r="F1471" s="154"/>
      <c r="G1471" s="152" t="s">
        <v>201</v>
      </c>
      <c r="H1471" s="152" t="s">
        <v>106</v>
      </c>
      <c r="I1471" s="152"/>
    </row>
    <row r="1472" customFormat="false" ht="16.5" hidden="false" customHeight="true" outlineLevel="0" collapsed="false">
      <c r="A1472" s="151" t="n">
        <v>45971</v>
      </c>
      <c r="B1472" s="152" t="s">
        <v>1469</v>
      </c>
      <c r="C1472" s="153" t="n">
        <v>-16.82</v>
      </c>
      <c r="D1472" s="154" t="s">
        <v>97</v>
      </c>
      <c r="E1472" s="153"/>
      <c r="F1472" s="154"/>
      <c r="G1472" s="152" t="s">
        <v>212</v>
      </c>
      <c r="H1472" s="152" t="s">
        <v>106</v>
      </c>
      <c r="I1472" s="152"/>
    </row>
    <row r="1473" customFormat="false" ht="16.5" hidden="false" customHeight="true" outlineLevel="0" collapsed="false">
      <c r="A1473" s="151" t="n">
        <v>45968</v>
      </c>
      <c r="B1473" s="152" t="s">
        <v>1470</v>
      </c>
      <c r="C1473" s="153" t="n">
        <v>20.09</v>
      </c>
      <c r="D1473" s="154" t="s">
        <v>97</v>
      </c>
      <c r="E1473" s="153"/>
      <c r="F1473" s="154"/>
      <c r="G1473" s="152" t="s">
        <v>167</v>
      </c>
      <c r="H1473" s="152" t="s">
        <v>106</v>
      </c>
      <c r="I1473" s="152"/>
    </row>
    <row r="1474" customFormat="false" ht="16.5" hidden="false" customHeight="true" outlineLevel="0" collapsed="false">
      <c r="A1474" s="151" t="n">
        <v>45968</v>
      </c>
      <c r="B1474" s="152" t="s">
        <v>1471</v>
      </c>
      <c r="C1474" s="153" t="n">
        <v>2.87</v>
      </c>
      <c r="D1474" s="154" t="s">
        <v>97</v>
      </c>
      <c r="E1474" s="153"/>
      <c r="F1474" s="154"/>
      <c r="G1474" s="152" t="s">
        <v>197</v>
      </c>
      <c r="H1474" s="152" t="s">
        <v>106</v>
      </c>
      <c r="I1474" s="152"/>
    </row>
    <row r="1475" customFormat="false" ht="16.5" hidden="false" customHeight="true" outlineLevel="0" collapsed="false">
      <c r="A1475" s="151" t="n">
        <v>45968</v>
      </c>
      <c r="B1475" s="152" t="s">
        <v>1472</v>
      </c>
      <c r="C1475" s="153" t="n">
        <v>248.36</v>
      </c>
      <c r="D1475" s="154" t="s">
        <v>97</v>
      </c>
      <c r="E1475" s="153"/>
      <c r="F1475" s="154"/>
      <c r="G1475" s="152" t="s">
        <v>198</v>
      </c>
      <c r="H1475" s="152" t="s">
        <v>106</v>
      </c>
      <c r="I1475" s="152"/>
    </row>
    <row r="1476" customFormat="false" ht="16.5" hidden="false" customHeight="true" outlineLevel="0" collapsed="false">
      <c r="A1476" s="151" t="n">
        <v>45968</v>
      </c>
      <c r="B1476" s="152" t="s">
        <v>1473</v>
      </c>
      <c r="C1476" s="153" t="n">
        <v>275.1</v>
      </c>
      <c r="D1476" s="154" t="s">
        <v>97</v>
      </c>
      <c r="E1476" s="153"/>
      <c r="F1476" s="154"/>
      <c r="G1476" s="152" t="s">
        <v>215</v>
      </c>
      <c r="H1476" s="152" t="s">
        <v>106</v>
      </c>
      <c r="I1476" s="152"/>
    </row>
    <row r="1477" customFormat="false" ht="16.5" hidden="false" customHeight="true" outlineLevel="0" collapsed="false">
      <c r="A1477" s="151" t="n">
        <v>45967</v>
      </c>
      <c r="B1477" s="152" t="s">
        <v>1474</v>
      </c>
      <c r="C1477" s="153" t="n">
        <v>-5.39</v>
      </c>
      <c r="D1477" s="154" t="s">
        <v>97</v>
      </c>
      <c r="E1477" s="153"/>
      <c r="F1477" s="154"/>
      <c r="G1477" s="152" t="s">
        <v>218</v>
      </c>
      <c r="H1477" s="152" t="s">
        <v>106</v>
      </c>
      <c r="I1477" s="152"/>
    </row>
    <row r="1478" customFormat="false" ht="16.5" hidden="false" customHeight="true" outlineLevel="0" collapsed="false">
      <c r="A1478" s="151" t="n">
        <v>45967</v>
      </c>
      <c r="B1478" s="152" t="s">
        <v>1475</v>
      </c>
      <c r="C1478" s="153" t="n">
        <v>-0.84</v>
      </c>
      <c r="D1478" s="154" t="s">
        <v>97</v>
      </c>
      <c r="E1478" s="153"/>
      <c r="F1478" s="154"/>
      <c r="G1478" s="152" t="s">
        <v>222</v>
      </c>
      <c r="H1478" s="152" t="s">
        <v>106</v>
      </c>
      <c r="I1478" s="152"/>
    </row>
    <row r="1479" customFormat="false" ht="16.5" hidden="false" customHeight="true" outlineLevel="0" collapsed="false">
      <c r="A1479" s="151" t="n">
        <v>45966</v>
      </c>
      <c r="B1479" s="152" t="s">
        <v>1476</v>
      </c>
      <c r="C1479" s="153" t="n">
        <v>-45.63</v>
      </c>
      <c r="D1479" s="154" t="s">
        <v>97</v>
      </c>
      <c r="E1479" s="153"/>
      <c r="F1479" s="154"/>
      <c r="G1479" s="152" t="s">
        <v>197</v>
      </c>
      <c r="H1479" s="152" t="s">
        <v>106</v>
      </c>
      <c r="I1479" s="152"/>
    </row>
    <row r="1480" customFormat="false" ht="16.5" hidden="false" customHeight="true" outlineLevel="0" collapsed="false">
      <c r="A1480" s="151" t="n">
        <v>45966</v>
      </c>
      <c r="B1480" s="152" t="s">
        <v>1477</v>
      </c>
      <c r="C1480" s="153" t="n">
        <v>-42.81</v>
      </c>
      <c r="D1480" s="154" t="s">
        <v>97</v>
      </c>
      <c r="E1480" s="153"/>
      <c r="F1480" s="154"/>
      <c r="G1480" s="152" t="s">
        <v>203</v>
      </c>
      <c r="H1480" s="152" t="s">
        <v>106</v>
      </c>
      <c r="I1480" s="152"/>
    </row>
    <row r="1481" customFormat="false" ht="16.5" hidden="false" customHeight="true" outlineLevel="0" collapsed="false">
      <c r="A1481" s="151" t="n">
        <v>45966</v>
      </c>
      <c r="B1481" s="152" t="s">
        <v>1478</v>
      </c>
      <c r="C1481" s="153" t="n">
        <v>-59.99</v>
      </c>
      <c r="D1481" s="154" t="s">
        <v>97</v>
      </c>
      <c r="E1481" s="153"/>
      <c r="F1481" s="154" t="s">
        <v>1479</v>
      </c>
      <c r="G1481" s="152" t="s">
        <v>190</v>
      </c>
      <c r="H1481" s="152" t="s">
        <v>106</v>
      </c>
      <c r="I1481" s="152"/>
    </row>
    <row r="1482" customFormat="false" ht="16.5" hidden="false" customHeight="true" outlineLevel="0" collapsed="false">
      <c r="A1482" s="151" t="n">
        <v>45966</v>
      </c>
      <c r="B1482" s="152" t="s">
        <v>1480</v>
      </c>
      <c r="C1482" s="153" t="n">
        <v>99.97</v>
      </c>
      <c r="D1482" s="154" t="s">
        <v>97</v>
      </c>
      <c r="E1482" s="153"/>
      <c r="F1482" s="154" t="s">
        <v>1481</v>
      </c>
      <c r="G1482" s="152" t="s">
        <v>190</v>
      </c>
      <c r="H1482" s="152" t="s">
        <v>106</v>
      </c>
      <c r="I1482" s="152"/>
    </row>
    <row r="1483" customFormat="false" ht="16.5" hidden="false" customHeight="true" outlineLevel="0" collapsed="false">
      <c r="A1483" s="151" t="n">
        <v>45965</v>
      </c>
      <c r="B1483" s="152" t="s">
        <v>1482</v>
      </c>
      <c r="C1483" s="153" t="n">
        <v>99.97</v>
      </c>
      <c r="D1483" s="154" t="s">
        <v>97</v>
      </c>
      <c r="E1483" s="153"/>
      <c r="F1483" s="154" t="s">
        <v>1483</v>
      </c>
      <c r="G1483" s="152" t="s">
        <v>190</v>
      </c>
      <c r="H1483" s="152" t="s">
        <v>106</v>
      </c>
      <c r="I1483" s="152"/>
    </row>
    <row r="1484" customFormat="false" ht="16.5" hidden="false" customHeight="true" outlineLevel="0" collapsed="false">
      <c r="A1484" s="151" t="n">
        <v>45964</v>
      </c>
      <c r="B1484" s="152" t="s">
        <v>1484</v>
      </c>
      <c r="C1484" s="153" t="n">
        <v>27.32</v>
      </c>
      <c r="D1484" s="154" t="s">
        <v>97</v>
      </c>
      <c r="E1484" s="153"/>
      <c r="F1484" s="154"/>
      <c r="G1484" s="152" t="s">
        <v>224</v>
      </c>
      <c r="H1484" s="152" t="s">
        <v>106</v>
      </c>
      <c r="I1484" s="152"/>
    </row>
    <row r="1485" customFormat="false" ht="16.5" hidden="false" customHeight="true" outlineLevel="0" collapsed="false">
      <c r="A1485" s="151" t="n">
        <v>45964</v>
      </c>
      <c r="B1485" s="152" t="s">
        <v>992</v>
      </c>
      <c r="C1485" s="153" t="n">
        <v>-339.37</v>
      </c>
      <c r="D1485" s="154" t="s">
        <v>97</v>
      </c>
      <c r="E1485" s="153"/>
      <c r="F1485" s="154"/>
      <c r="G1485" s="152" t="s">
        <v>162</v>
      </c>
      <c r="H1485" s="152" t="s">
        <v>106</v>
      </c>
      <c r="I1485" s="152"/>
    </row>
    <row r="1486" customFormat="false" ht="16.5" hidden="false" customHeight="true" outlineLevel="0" collapsed="false">
      <c r="A1486" s="151" t="n">
        <v>45964</v>
      </c>
      <c r="B1486" s="152" t="s">
        <v>1485</v>
      </c>
      <c r="C1486" s="153" t="n">
        <v>616.41</v>
      </c>
      <c r="D1486" s="154" t="s">
        <v>97</v>
      </c>
      <c r="E1486" s="153"/>
      <c r="F1486" s="154"/>
      <c r="G1486" s="152" t="s">
        <v>194</v>
      </c>
      <c r="H1486" s="152" t="s">
        <v>106</v>
      </c>
      <c r="I1486" s="152"/>
    </row>
    <row r="1487" customFormat="false" ht="16.5" hidden="false" customHeight="true" outlineLevel="0" collapsed="false">
      <c r="A1487" s="151" t="n">
        <v>45964</v>
      </c>
      <c r="B1487" s="152" t="s">
        <v>1486</v>
      </c>
      <c r="C1487" s="153" t="n">
        <v>275.25</v>
      </c>
      <c r="D1487" s="154" t="s">
        <v>97</v>
      </c>
      <c r="E1487" s="153"/>
      <c r="F1487" s="154"/>
      <c r="G1487" s="152" t="s">
        <v>206</v>
      </c>
      <c r="H1487" s="152" t="s">
        <v>106</v>
      </c>
      <c r="I1487" s="152"/>
    </row>
    <row r="1488" customFormat="false" ht="16.5" hidden="false" customHeight="true" outlineLevel="0" collapsed="false">
      <c r="A1488" s="151" t="n">
        <v>45964</v>
      </c>
      <c r="B1488" s="152" t="s">
        <v>1487</v>
      </c>
      <c r="C1488" s="153" t="n">
        <v>103.44</v>
      </c>
      <c r="D1488" s="154" t="s">
        <v>97</v>
      </c>
      <c r="E1488" s="153"/>
      <c r="F1488" s="154"/>
      <c r="G1488" s="152" t="s">
        <v>206</v>
      </c>
      <c r="H1488" s="152" t="s">
        <v>106</v>
      </c>
      <c r="I1488" s="152"/>
    </row>
    <row r="1489" customFormat="false" ht="16.5" hidden="false" customHeight="true" outlineLevel="0" collapsed="false">
      <c r="A1489" s="151" t="n">
        <v>45961</v>
      </c>
      <c r="B1489" s="152" t="s">
        <v>1488</v>
      </c>
      <c r="C1489" s="153" t="n">
        <v>2.73</v>
      </c>
      <c r="D1489" s="154" t="s">
        <v>97</v>
      </c>
      <c r="E1489" s="153"/>
      <c r="F1489" s="154"/>
      <c r="G1489" s="152" t="s">
        <v>167</v>
      </c>
      <c r="H1489" s="152" t="s">
        <v>106</v>
      </c>
      <c r="I1489" s="152"/>
    </row>
    <row r="1490" customFormat="false" ht="16.5" hidden="false" customHeight="true" outlineLevel="0" collapsed="false">
      <c r="A1490" s="151" t="n">
        <v>45978</v>
      </c>
      <c r="B1490" s="152" t="s">
        <v>60</v>
      </c>
      <c r="C1490" s="153" t="n">
        <v>4359.45</v>
      </c>
      <c r="D1490" s="154" t="s">
        <v>97</v>
      </c>
      <c r="E1490" s="153"/>
      <c r="F1490" s="154"/>
      <c r="G1490" s="152" t="s">
        <v>315</v>
      </c>
      <c r="H1490" s="152" t="s">
        <v>106</v>
      </c>
      <c r="I1490" s="152"/>
    </row>
    <row r="1491" customFormat="false" ht="16.5" hidden="false" customHeight="true" outlineLevel="0" collapsed="false">
      <c r="A1491" s="151" t="n">
        <v>45966</v>
      </c>
      <c r="B1491" s="152"/>
      <c r="C1491" s="153" t="n">
        <v>59.99</v>
      </c>
      <c r="D1491" s="154" t="s">
        <v>97</v>
      </c>
      <c r="E1491" s="153"/>
      <c r="F1491" s="154" t="s">
        <v>1479</v>
      </c>
      <c r="G1491" s="152" t="s">
        <v>190</v>
      </c>
      <c r="H1491" s="152" t="s">
        <v>108</v>
      </c>
      <c r="I1491" s="152"/>
    </row>
    <row r="1492" customFormat="false" ht="16.5" hidden="false" customHeight="true" outlineLevel="0" collapsed="false">
      <c r="A1492" s="151" t="n">
        <v>45966</v>
      </c>
      <c r="B1492" s="152"/>
      <c r="C1492" s="153" t="n">
        <v>-99.97</v>
      </c>
      <c r="D1492" s="154" t="s">
        <v>97</v>
      </c>
      <c r="E1492" s="153"/>
      <c r="F1492" s="154" t="s">
        <v>1481</v>
      </c>
      <c r="G1492" s="152" t="s">
        <v>190</v>
      </c>
      <c r="H1492" s="152" t="s">
        <v>132</v>
      </c>
      <c r="I1492" s="152"/>
    </row>
    <row r="1493" customFormat="false" ht="16.5" hidden="false" customHeight="true" outlineLevel="0" collapsed="false">
      <c r="A1493" s="151" t="n">
        <v>45965</v>
      </c>
      <c r="B1493" s="152"/>
      <c r="C1493" s="153" t="n">
        <v>-99.97</v>
      </c>
      <c r="D1493" s="154" t="s">
        <v>97</v>
      </c>
      <c r="E1493" s="153"/>
      <c r="F1493" s="154" t="s">
        <v>1483</v>
      </c>
      <c r="G1493" s="152" t="s">
        <v>190</v>
      </c>
      <c r="H1493" s="152" t="s">
        <v>133</v>
      </c>
      <c r="I1493" s="152"/>
    </row>
    <row r="1494" customFormat="false" ht="16.5" hidden="false" customHeight="true" outlineLevel="0" collapsed="false">
      <c r="A1494" s="151" t="n">
        <v>45966</v>
      </c>
      <c r="B1494" s="152" t="s">
        <v>60</v>
      </c>
      <c r="C1494" s="153" t="n">
        <v>180.07</v>
      </c>
      <c r="D1494" s="154" t="s">
        <v>97</v>
      </c>
      <c r="E1494" s="153"/>
      <c r="F1494" s="154"/>
      <c r="G1494" s="152" t="s">
        <v>315</v>
      </c>
      <c r="H1494" s="152" t="s">
        <v>108</v>
      </c>
      <c r="I1494" s="152"/>
    </row>
    <row r="1495" customFormat="false" ht="16.5" hidden="false" customHeight="true" outlineLevel="0" collapsed="false">
      <c r="A1495" s="151" t="n">
        <v>45966</v>
      </c>
      <c r="B1495" s="152" t="s">
        <v>60</v>
      </c>
      <c r="C1495" s="153" t="n">
        <v>21493.33</v>
      </c>
      <c r="D1495" s="154" t="s">
        <v>97</v>
      </c>
      <c r="E1495" s="153"/>
      <c r="F1495" s="154"/>
      <c r="G1495" s="152" t="s">
        <v>315</v>
      </c>
      <c r="H1495" s="152" t="s">
        <v>132</v>
      </c>
      <c r="I1495" s="152"/>
    </row>
    <row r="1496" customFormat="false" ht="16.5" hidden="false" customHeight="true" outlineLevel="0" collapsed="false">
      <c r="A1496" s="151" t="n">
        <v>45965</v>
      </c>
      <c r="B1496" s="152" t="s">
        <v>60</v>
      </c>
      <c r="C1496" s="153" t="n">
        <v>8200.33</v>
      </c>
      <c r="D1496" s="154" t="s">
        <v>97</v>
      </c>
      <c r="E1496" s="153"/>
      <c r="F1496" s="154"/>
      <c r="G1496" s="152" t="s">
        <v>315</v>
      </c>
      <c r="H1496" s="152" t="s">
        <v>133</v>
      </c>
      <c r="I1496" s="152"/>
    </row>
    <row r="1497" customFormat="false" ht="16.5" hidden="false" customHeight="true" outlineLevel="0" collapsed="false">
      <c r="A1497" s="151" t="n">
        <v>45981</v>
      </c>
      <c r="B1497" s="152" t="s">
        <v>1115</v>
      </c>
      <c r="C1497" s="160" t="n">
        <v>0</v>
      </c>
      <c r="D1497" s="154"/>
      <c r="E1497" s="160"/>
      <c r="F1497" s="154"/>
      <c r="G1497" s="152" t="s">
        <v>1116</v>
      </c>
      <c r="H1497" s="152"/>
      <c r="I1497" s="152"/>
    </row>
    <row r="1498" customFormat="false" ht="16.5" hidden="false" customHeight="true" outlineLevel="0" collapsed="false">
      <c r="A1498" s="151" t="n">
        <v>45986</v>
      </c>
      <c r="B1498" s="152" t="s">
        <v>1489</v>
      </c>
      <c r="C1498" s="153" t="n">
        <v>-3.21</v>
      </c>
      <c r="D1498" s="154" t="s">
        <v>97</v>
      </c>
      <c r="E1498" s="153"/>
      <c r="F1498" s="154"/>
      <c r="G1498" s="152" t="s">
        <v>226</v>
      </c>
      <c r="H1498" s="152" t="s">
        <v>106</v>
      </c>
      <c r="I1498" s="152"/>
    </row>
    <row r="1499" customFormat="false" ht="16.5" hidden="false" customHeight="true" outlineLevel="0" collapsed="false">
      <c r="A1499" s="151" t="n">
        <v>45986</v>
      </c>
      <c r="B1499" s="152" t="s">
        <v>1490</v>
      </c>
      <c r="C1499" s="153" t="n">
        <v>1999.92</v>
      </c>
      <c r="D1499" s="154" t="s">
        <v>97</v>
      </c>
      <c r="E1499" s="153"/>
      <c r="F1499" s="154" t="s">
        <v>1491</v>
      </c>
      <c r="G1499" s="152" t="s">
        <v>190</v>
      </c>
      <c r="H1499" s="152" t="s">
        <v>106</v>
      </c>
      <c r="I1499" s="152"/>
    </row>
    <row r="1500" customFormat="false" ht="16.5" hidden="false" customHeight="true" outlineLevel="0" collapsed="false">
      <c r="A1500" s="151" t="n">
        <v>45985</v>
      </c>
      <c r="B1500" s="152" t="s">
        <v>1492</v>
      </c>
      <c r="C1500" s="153" t="n">
        <v>120.29</v>
      </c>
      <c r="D1500" s="154" t="s">
        <v>97</v>
      </c>
      <c r="E1500" s="153"/>
      <c r="F1500" s="154"/>
      <c r="G1500" s="152" t="s">
        <v>197</v>
      </c>
      <c r="H1500" s="152" t="s">
        <v>106</v>
      </c>
      <c r="I1500" s="152"/>
    </row>
    <row r="1501" customFormat="false" ht="16.5" hidden="false" customHeight="true" outlineLevel="0" collapsed="false">
      <c r="A1501" s="151" t="n">
        <v>45981</v>
      </c>
      <c r="B1501" s="152" t="s">
        <v>1493</v>
      </c>
      <c r="C1501" s="153" t="n">
        <v>-4.58</v>
      </c>
      <c r="D1501" s="154" t="s">
        <v>97</v>
      </c>
      <c r="E1501" s="153"/>
      <c r="F1501" s="154"/>
      <c r="G1501" s="152" t="s">
        <v>221</v>
      </c>
      <c r="H1501" s="152" t="s">
        <v>106</v>
      </c>
      <c r="I1501" s="152"/>
    </row>
    <row r="1502" customFormat="false" ht="16.5" hidden="false" customHeight="true" outlineLevel="0" collapsed="false">
      <c r="A1502" s="151" t="n">
        <v>45986</v>
      </c>
      <c r="B1502" s="152" t="s">
        <v>60</v>
      </c>
      <c r="C1502" s="153" t="n">
        <v>6471.87</v>
      </c>
      <c r="D1502" s="154" t="s">
        <v>97</v>
      </c>
      <c r="E1502" s="153"/>
      <c r="F1502" s="154"/>
      <c r="G1502" s="152" t="s">
        <v>315</v>
      </c>
      <c r="H1502" s="152" t="s">
        <v>106</v>
      </c>
      <c r="I1502" s="152"/>
    </row>
    <row r="1503" customFormat="false" ht="16.5" hidden="false" customHeight="true" outlineLevel="0" collapsed="false">
      <c r="A1503" s="151" t="n">
        <v>45988</v>
      </c>
      <c r="B1503" s="152" t="s">
        <v>1494</v>
      </c>
      <c r="C1503" s="153" t="n">
        <v>-54.86</v>
      </c>
      <c r="D1503" s="154" t="s">
        <v>97</v>
      </c>
      <c r="E1503" s="153"/>
      <c r="F1503" s="154"/>
      <c r="G1503" s="152" t="s">
        <v>171</v>
      </c>
      <c r="H1503" s="152" t="s">
        <v>106</v>
      </c>
      <c r="I1503" s="152"/>
    </row>
    <row r="1504" customFormat="false" ht="16.5" hidden="false" customHeight="true" outlineLevel="0" collapsed="false">
      <c r="A1504" s="151" t="n">
        <v>45988</v>
      </c>
      <c r="B1504" s="152" t="s">
        <v>1495</v>
      </c>
      <c r="C1504" s="153" t="n">
        <v>8611.59</v>
      </c>
      <c r="D1504" s="154" t="s">
        <v>97</v>
      </c>
      <c r="E1504" s="153"/>
      <c r="F1504" s="154" t="s">
        <v>1496</v>
      </c>
      <c r="G1504" s="152" t="s">
        <v>190</v>
      </c>
      <c r="H1504" s="152" t="s">
        <v>106</v>
      </c>
      <c r="I1504" s="152"/>
    </row>
    <row r="1505" customFormat="false" ht="16.5" hidden="false" customHeight="true" outlineLevel="0" collapsed="false">
      <c r="A1505" s="151" t="n">
        <v>45988</v>
      </c>
      <c r="B1505" s="152" t="s">
        <v>60</v>
      </c>
      <c r="C1505" s="153" t="n">
        <v>15028.6</v>
      </c>
      <c r="D1505" s="154" t="s">
        <v>97</v>
      </c>
      <c r="E1505" s="153"/>
      <c r="F1505" s="154"/>
      <c r="G1505" s="152" t="s">
        <v>315</v>
      </c>
      <c r="H1505" s="152" t="s">
        <v>106</v>
      </c>
      <c r="I1505" s="152"/>
    </row>
    <row r="1506" customFormat="false" ht="16.5" hidden="false" customHeight="true" outlineLevel="0" collapsed="false">
      <c r="A1506" s="151" t="n">
        <v>45986</v>
      </c>
      <c r="B1506" s="152"/>
      <c r="C1506" s="153" t="n">
        <v>-1999.92</v>
      </c>
      <c r="D1506" s="154" t="s">
        <v>97</v>
      </c>
      <c r="E1506" s="153"/>
      <c r="F1506" s="154" t="s">
        <v>1491</v>
      </c>
      <c r="G1506" s="152" t="s">
        <v>190</v>
      </c>
      <c r="H1506" s="152" t="s">
        <v>134</v>
      </c>
      <c r="I1506" s="152"/>
    </row>
    <row r="1507" customFormat="false" ht="16.5" hidden="false" customHeight="true" outlineLevel="0" collapsed="false">
      <c r="A1507" s="151" t="n">
        <v>45988</v>
      </c>
      <c r="B1507" s="152"/>
      <c r="C1507" s="153" t="n">
        <v>611.51</v>
      </c>
      <c r="D1507" s="154" t="s">
        <v>97</v>
      </c>
      <c r="E1507" s="153"/>
      <c r="F1507" s="154"/>
      <c r="G1507" s="152" t="s">
        <v>209</v>
      </c>
      <c r="H1507" s="152" t="s">
        <v>134</v>
      </c>
      <c r="I1507" s="152"/>
    </row>
    <row r="1508" customFormat="false" ht="16.5" hidden="false" customHeight="true" outlineLevel="0" collapsed="false">
      <c r="A1508" s="151" t="n">
        <v>45988</v>
      </c>
      <c r="B1508" s="152"/>
      <c r="C1508" s="153" t="n">
        <v>-8611.59</v>
      </c>
      <c r="D1508" s="154" t="s">
        <v>97</v>
      </c>
      <c r="E1508" s="153"/>
      <c r="F1508" s="154" t="s">
        <v>1496</v>
      </c>
      <c r="G1508" s="152" t="s">
        <v>190</v>
      </c>
      <c r="H1508" s="152" t="s">
        <v>134</v>
      </c>
      <c r="I1508" s="152"/>
    </row>
    <row r="1509" customFormat="false" ht="16.5" hidden="false" customHeight="true" outlineLevel="0" collapsed="false">
      <c r="A1509" s="151" t="n">
        <v>45988</v>
      </c>
      <c r="B1509" s="152" t="s">
        <v>60</v>
      </c>
      <c r="C1509" s="153" t="n">
        <v>0</v>
      </c>
      <c r="D1509" s="154" t="s">
        <v>97</v>
      </c>
      <c r="E1509" s="153"/>
      <c r="F1509" s="154"/>
      <c r="G1509" s="152" t="s">
        <v>315</v>
      </c>
      <c r="H1509" s="152" t="s">
        <v>134</v>
      </c>
      <c r="I1509" s="152"/>
    </row>
    <row r="1510" customFormat="false" ht="16.5" hidden="false" customHeight="true" outlineLevel="0" collapsed="false">
      <c r="A1510" s="151" t="n">
        <v>45988</v>
      </c>
      <c r="B1510" s="152" t="s">
        <v>1115</v>
      </c>
      <c r="C1510" s="160" t="n">
        <v>0</v>
      </c>
      <c r="D1510" s="154"/>
      <c r="E1510" s="160"/>
      <c r="F1510" s="154"/>
      <c r="G1510" s="152" t="s">
        <v>1116</v>
      </c>
      <c r="H1510" s="152"/>
      <c r="I1510" s="152"/>
    </row>
    <row r="1511" customFormat="false" ht="16.5" hidden="false" customHeight="true" outlineLevel="0" collapsed="false">
      <c r="A1511" s="151" t="n">
        <v>45726</v>
      </c>
      <c r="B1511" s="152" t="s">
        <v>1497</v>
      </c>
      <c r="C1511" s="153" t="n">
        <v>0</v>
      </c>
      <c r="D1511" s="154" t="s">
        <v>97</v>
      </c>
      <c r="E1511" s="153"/>
      <c r="F1511" s="154"/>
      <c r="G1511" s="152" t="s">
        <v>193</v>
      </c>
      <c r="H1511" s="152" t="s">
        <v>96</v>
      </c>
      <c r="I1511" s="152"/>
    </row>
    <row r="1512" customFormat="false" ht="16.5" hidden="false" customHeight="true" outlineLevel="0" collapsed="false">
      <c r="A1512" s="151" t="n">
        <v>45657</v>
      </c>
      <c r="B1512" s="152" t="s">
        <v>1498</v>
      </c>
      <c r="C1512" s="153" t="n">
        <v>0.16</v>
      </c>
      <c r="D1512" s="154" t="s">
        <v>97</v>
      </c>
      <c r="E1512" s="153"/>
      <c r="F1512" s="154"/>
      <c r="G1512" s="152" t="s">
        <v>209</v>
      </c>
      <c r="H1512" s="152" t="s">
        <v>96</v>
      </c>
      <c r="I1512" s="152"/>
    </row>
    <row r="1513" customFormat="false" ht="16.5" hidden="false" customHeight="true" outlineLevel="0" collapsed="false">
      <c r="A1513" s="151" t="n">
        <v>45657</v>
      </c>
      <c r="B1513" s="152" t="s">
        <v>1499</v>
      </c>
      <c r="C1513" s="153" t="n">
        <v>103.24</v>
      </c>
      <c r="D1513" s="154" t="s">
        <v>97</v>
      </c>
      <c r="E1513" s="153"/>
      <c r="F1513" s="154"/>
      <c r="G1513" s="152" t="s">
        <v>209</v>
      </c>
      <c r="H1513" s="152" t="s">
        <v>96</v>
      </c>
      <c r="I1513" s="152"/>
    </row>
    <row r="1514" customFormat="false" ht="16.5" hidden="false" customHeight="true" outlineLevel="0" collapsed="false">
      <c r="A1514" s="151" t="n">
        <v>45657</v>
      </c>
      <c r="B1514" s="152" t="s">
        <v>1500</v>
      </c>
      <c r="C1514" s="153" t="n">
        <v>-17.82</v>
      </c>
      <c r="D1514" s="154" t="s">
        <v>97</v>
      </c>
      <c r="E1514" s="153"/>
      <c r="F1514" s="154"/>
      <c r="G1514" s="152" t="s">
        <v>171</v>
      </c>
      <c r="H1514" s="152" t="s">
        <v>96</v>
      </c>
      <c r="I1514" s="152"/>
    </row>
    <row r="1515" customFormat="false" ht="16.5" hidden="false" customHeight="true" outlineLevel="0" collapsed="false">
      <c r="A1515" s="151" t="n">
        <v>45978</v>
      </c>
      <c r="B1515" s="152" t="s">
        <v>1501</v>
      </c>
      <c r="C1515" s="153" t="n">
        <v>0</v>
      </c>
      <c r="D1515" s="154" t="s">
        <v>97</v>
      </c>
      <c r="E1515" s="153"/>
      <c r="F1515" s="154"/>
      <c r="G1515" s="152" t="s">
        <v>193</v>
      </c>
      <c r="H1515" s="152" t="s">
        <v>98</v>
      </c>
      <c r="I1515" s="152"/>
    </row>
    <row r="1516" customFormat="false" ht="16.5" hidden="false" customHeight="true" outlineLevel="0" collapsed="false">
      <c r="A1516" s="151" t="n">
        <v>45950</v>
      </c>
      <c r="B1516" s="152" t="s">
        <v>1501</v>
      </c>
      <c r="C1516" s="153" t="n">
        <v>0</v>
      </c>
      <c r="D1516" s="154" t="s">
        <v>97</v>
      </c>
      <c r="E1516" s="153"/>
      <c r="F1516" s="154"/>
      <c r="G1516" s="152" t="s">
        <v>193</v>
      </c>
      <c r="H1516" s="152" t="s">
        <v>98</v>
      </c>
      <c r="I1516" s="152"/>
    </row>
    <row r="1517" customFormat="false" ht="16.5" hidden="false" customHeight="true" outlineLevel="0" collapsed="false">
      <c r="A1517" s="151" t="n">
        <v>45869</v>
      </c>
      <c r="B1517" s="152" t="s">
        <v>1501</v>
      </c>
      <c r="C1517" s="153" t="n">
        <v>0</v>
      </c>
      <c r="D1517" s="154" t="s">
        <v>97</v>
      </c>
      <c r="E1517" s="153"/>
      <c r="F1517" s="154"/>
      <c r="G1517" s="152" t="s">
        <v>193</v>
      </c>
      <c r="H1517" s="152" t="s">
        <v>98</v>
      </c>
      <c r="I1517" s="152"/>
    </row>
    <row r="1518" customFormat="false" ht="16.5" hidden="false" customHeight="true" outlineLevel="0" collapsed="false">
      <c r="A1518" s="151" t="n">
        <v>45838</v>
      </c>
      <c r="B1518" s="152" t="s">
        <v>1501</v>
      </c>
      <c r="C1518" s="153" t="n">
        <v>0</v>
      </c>
      <c r="D1518" s="154" t="s">
        <v>97</v>
      </c>
      <c r="E1518" s="153"/>
      <c r="F1518" s="154"/>
      <c r="G1518" s="152" t="s">
        <v>193</v>
      </c>
      <c r="H1518" s="152" t="s">
        <v>98</v>
      </c>
      <c r="I1518" s="152"/>
    </row>
    <row r="1519" customFormat="false" ht="16.5" hidden="false" customHeight="true" outlineLevel="0" collapsed="false">
      <c r="A1519" s="151" t="n">
        <v>45799</v>
      </c>
      <c r="B1519" s="152" t="s">
        <v>1501</v>
      </c>
      <c r="C1519" s="153" t="n">
        <v>0</v>
      </c>
      <c r="D1519" s="154" t="s">
        <v>97</v>
      </c>
      <c r="E1519" s="153"/>
      <c r="F1519" s="154"/>
      <c r="G1519" s="152" t="s">
        <v>193</v>
      </c>
      <c r="H1519" s="152" t="s">
        <v>98</v>
      </c>
      <c r="I1519" s="152"/>
    </row>
    <row r="1520" customFormat="false" ht="16.5" hidden="false" customHeight="true" outlineLevel="0" collapsed="false">
      <c r="A1520" s="151" t="n">
        <v>45770</v>
      </c>
      <c r="B1520" s="152" t="s">
        <v>1501</v>
      </c>
      <c r="C1520" s="153" t="n">
        <v>0</v>
      </c>
      <c r="D1520" s="154" t="s">
        <v>97</v>
      </c>
      <c r="E1520" s="153"/>
      <c r="F1520" s="154"/>
      <c r="G1520" s="152" t="s">
        <v>193</v>
      </c>
      <c r="H1520" s="152" t="s">
        <v>98</v>
      </c>
      <c r="I1520" s="152"/>
    </row>
    <row r="1521" customFormat="false" ht="16.5" hidden="false" customHeight="true" outlineLevel="0" collapsed="false">
      <c r="A1521" s="151" t="n">
        <v>45756</v>
      </c>
      <c r="B1521" s="152" t="s">
        <v>1501</v>
      </c>
      <c r="C1521" s="153" t="n">
        <v>0</v>
      </c>
      <c r="D1521" s="154" t="s">
        <v>97</v>
      </c>
      <c r="E1521" s="153"/>
      <c r="F1521" s="154"/>
      <c r="G1521" s="152" t="s">
        <v>193</v>
      </c>
      <c r="H1521" s="152" t="s">
        <v>98</v>
      </c>
      <c r="I1521" s="152"/>
    </row>
    <row r="1522" customFormat="false" ht="16.5" hidden="false" customHeight="true" outlineLevel="0" collapsed="false">
      <c r="A1522" s="151" t="n">
        <v>45733</v>
      </c>
      <c r="B1522" s="152" t="s">
        <v>1501</v>
      </c>
      <c r="C1522" s="153" t="n">
        <v>0</v>
      </c>
      <c r="D1522" s="154" t="s">
        <v>97</v>
      </c>
      <c r="E1522" s="153"/>
      <c r="F1522" s="154"/>
      <c r="G1522" s="152" t="s">
        <v>193</v>
      </c>
      <c r="H1522" s="152" t="s">
        <v>98</v>
      </c>
      <c r="I1522" s="152"/>
    </row>
    <row r="1523" customFormat="false" ht="16.5" hidden="false" customHeight="true" outlineLevel="0" collapsed="false">
      <c r="A1523" s="151" t="n">
        <v>45726</v>
      </c>
      <c r="B1523" s="152" t="s">
        <v>1497</v>
      </c>
      <c r="C1523" s="153" t="n">
        <v>0</v>
      </c>
      <c r="D1523" s="154" t="s">
        <v>97</v>
      </c>
      <c r="E1523" s="153"/>
      <c r="F1523" s="154"/>
      <c r="G1523" s="152" t="s">
        <v>193</v>
      </c>
      <c r="H1523" s="152" t="s">
        <v>98</v>
      </c>
      <c r="I1523" s="152"/>
    </row>
    <row r="1524" customFormat="false" ht="16.5" hidden="false" customHeight="true" outlineLevel="0" collapsed="false">
      <c r="A1524" s="151" t="n">
        <v>45708</v>
      </c>
      <c r="B1524" s="152" t="s">
        <v>1501</v>
      </c>
      <c r="C1524" s="153" t="n">
        <v>0</v>
      </c>
      <c r="D1524" s="154" t="s">
        <v>97</v>
      </c>
      <c r="E1524" s="153"/>
      <c r="F1524" s="154"/>
      <c r="G1524" s="152" t="s">
        <v>193</v>
      </c>
      <c r="H1524" s="152" t="s">
        <v>98</v>
      </c>
      <c r="I1524" s="152"/>
    </row>
    <row r="1525" customFormat="false" ht="16.5" hidden="false" customHeight="true" outlineLevel="0" collapsed="false">
      <c r="A1525" s="151" t="n">
        <v>45681</v>
      </c>
      <c r="B1525" s="152" t="s">
        <v>1501</v>
      </c>
      <c r="C1525" s="153" t="n">
        <v>0</v>
      </c>
      <c r="D1525" s="154" t="s">
        <v>97</v>
      </c>
      <c r="E1525" s="153"/>
      <c r="F1525" s="154"/>
      <c r="G1525" s="152" t="s">
        <v>193</v>
      </c>
      <c r="H1525" s="152" t="s">
        <v>98</v>
      </c>
      <c r="I1525" s="152"/>
    </row>
    <row r="1526" customFormat="false" ht="16.5" hidden="false" customHeight="true" outlineLevel="0" collapsed="false">
      <c r="A1526" s="151" t="n">
        <v>45657</v>
      </c>
      <c r="B1526" s="152" t="s">
        <v>1498</v>
      </c>
      <c r="C1526" s="153" t="n">
        <v>0.42</v>
      </c>
      <c r="D1526" s="154" t="s">
        <v>97</v>
      </c>
      <c r="E1526" s="153"/>
      <c r="F1526" s="154"/>
      <c r="G1526" s="152" t="s">
        <v>209</v>
      </c>
      <c r="H1526" s="152" t="s">
        <v>98</v>
      </c>
      <c r="I1526" s="152"/>
    </row>
    <row r="1527" customFormat="false" ht="16.5" hidden="false" customHeight="true" outlineLevel="0" collapsed="false">
      <c r="A1527" s="151" t="n">
        <v>45657</v>
      </c>
      <c r="B1527" s="152" t="s">
        <v>1499</v>
      </c>
      <c r="C1527" s="153" t="n">
        <v>150.02</v>
      </c>
      <c r="D1527" s="154" t="s">
        <v>97</v>
      </c>
      <c r="E1527" s="153"/>
      <c r="F1527" s="154"/>
      <c r="G1527" s="152" t="s">
        <v>209</v>
      </c>
      <c r="H1527" s="152" t="s">
        <v>98</v>
      </c>
      <c r="I1527" s="152"/>
    </row>
    <row r="1528" customFormat="false" ht="16.5" hidden="false" customHeight="true" outlineLevel="0" collapsed="false">
      <c r="A1528" s="151" t="n">
        <v>45657</v>
      </c>
      <c r="B1528" s="152" t="s">
        <v>1500</v>
      </c>
      <c r="C1528" s="153" t="n">
        <v>-25.76</v>
      </c>
      <c r="D1528" s="154" t="s">
        <v>97</v>
      </c>
      <c r="E1528" s="153"/>
      <c r="F1528" s="154"/>
      <c r="G1528" s="152" t="s">
        <v>171</v>
      </c>
      <c r="H1528" s="152" t="s">
        <v>98</v>
      </c>
      <c r="I1528" s="152"/>
    </row>
    <row r="1529" customFormat="false" ht="16.5" hidden="false" customHeight="true" outlineLevel="0" collapsed="false">
      <c r="A1529" s="151" t="n">
        <v>45629</v>
      </c>
      <c r="B1529" s="152" t="s">
        <v>1501</v>
      </c>
      <c r="C1529" s="153" t="n">
        <v>0</v>
      </c>
      <c r="D1529" s="154" t="s">
        <v>97</v>
      </c>
      <c r="E1529" s="153"/>
      <c r="F1529" s="154"/>
      <c r="G1529" s="152" t="s">
        <v>193</v>
      </c>
      <c r="H1529" s="152" t="s">
        <v>98</v>
      </c>
      <c r="I1529" s="152"/>
    </row>
    <row r="1530" customFormat="false" ht="16.5" hidden="false" customHeight="true" outlineLevel="0" collapsed="false">
      <c r="A1530" s="151" t="n">
        <v>45615</v>
      </c>
      <c r="B1530" s="152" t="s">
        <v>1501</v>
      </c>
      <c r="C1530" s="153" t="n">
        <v>0</v>
      </c>
      <c r="D1530" s="154" t="s">
        <v>97</v>
      </c>
      <c r="E1530" s="153"/>
      <c r="F1530" s="154"/>
      <c r="G1530" s="152" t="s">
        <v>193</v>
      </c>
      <c r="H1530" s="152" t="s">
        <v>98</v>
      </c>
      <c r="I1530" s="152"/>
    </row>
    <row r="1531" customFormat="false" ht="16.5" hidden="false" customHeight="true" outlineLevel="0" collapsed="false">
      <c r="A1531" s="151" t="n">
        <v>45992</v>
      </c>
      <c r="B1531" s="152" t="s">
        <v>60</v>
      </c>
      <c r="C1531" s="153" t="n">
        <v>22328.94</v>
      </c>
      <c r="D1531" s="154" t="s">
        <v>97</v>
      </c>
      <c r="E1531" s="153"/>
      <c r="F1531" s="154"/>
      <c r="G1531" s="152" t="s">
        <v>315</v>
      </c>
      <c r="H1531" s="152" t="s">
        <v>96</v>
      </c>
      <c r="I1531" s="152"/>
    </row>
    <row r="1532" customFormat="false" ht="16.5" hidden="false" customHeight="true" outlineLevel="0" collapsed="false">
      <c r="A1532" s="151" t="n">
        <v>45992</v>
      </c>
      <c r="B1532" s="152" t="s">
        <v>60</v>
      </c>
      <c r="C1532" s="153" t="n">
        <v>18058.19</v>
      </c>
      <c r="D1532" s="154" t="s">
        <v>97</v>
      </c>
      <c r="E1532" s="153"/>
      <c r="F1532" s="154"/>
      <c r="G1532" s="152" t="s">
        <v>315</v>
      </c>
      <c r="H1532" s="152" t="s">
        <v>98</v>
      </c>
      <c r="I1532" s="152"/>
    </row>
    <row r="1533" customFormat="false" ht="16.5" hidden="false" customHeight="true" outlineLevel="0" collapsed="false">
      <c r="A1533" s="151" t="n">
        <v>45992</v>
      </c>
      <c r="B1533" s="152" t="s">
        <v>1502</v>
      </c>
      <c r="C1533" s="153" t="n">
        <v>27.32</v>
      </c>
      <c r="D1533" s="154" t="s">
        <v>97</v>
      </c>
      <c r="E1533" s="153"/>
      <c r="F1533" s="154"/>
      <c r="G1533" s="152" t="s">
        <v>224</v>
      </c>
      <c r="H1533" s="152" t="s">
        <v>106</v>
      </c>
      <c r="I1533" s="152"/>
    </row>
    <row r="1534" customFormat="false" ht="16.5" hidden="false" customHeight="true" outlineLevel="0" collapsed="false">
      <c r="A1534" s="151" t="n">
        <v>45992</v>
      </c>
      <c r="B1534" s="152" t="s">
        <v>1503</v>
      </c>
      <c r="C1534" s="153" t="n">
        <v>-190.02</v>
      </c>
      <c r="D1534" s="154" t="s">
        <v>97</v>
      </c>
      <c r="E1534" s="153" t="n">
        <v>-190.02</v>
      </c>
      <c r="F1534" s="154" t="s">
        <v>1504</v>
      </c>
      <c r="G1534" s="152" t="s">
        <v>189</v>
      </c>
      <c r="H1534" s="152" t="s">
        <v>106</v>
      </c>
      <c r="I1534" s="152"/>
    </row>
    <row r="1535" customFormat="false" ht="16.5" hidden="false" customHeight="true" outlineLevel="0" collapsed="false">
      <c r="A1535" s="151" t="n">
        <v>45992</v>
      </c>
      <c r="B1535" s="152" t="s">
        <v>1505</v>
      </c>
      <c r="C1535" s="153" t="n">
        <v>-94.46</v>
      </c>
      <c r="D1535" s="154" t="s">
        <v>97</v>
      </c>
      <c r="E1535" s="153"/>
      <c r="F1535" s="154"/>
      <c r="G1535" s="152" t="s">
        <v>167</v>
      </c>
      <c r="H1535" s="152" t="s">
        <v>106</v>
      </c>
      <c r="I1535" s="152"/>
    </row>
    <row r="1536" customFormat="false" ht="16.5" hidden="false" customHeight="true" outlineLevel="0" collapsed="false">
      <c r="A1536" s="151" t="n">
        <v>45992</v>
      </c>
      <c r="B1536" s="152" t="s">
        <v>1506</v>
      </c>
      <c r="C1536" s="153" t="n">
        <v>-84.33</v>
      </c>
      <c r="D1536" s="154" t="s">
        <v>97</v>
      </c>
      <c r="E1536" s="153" t="n">
        <v>-84.33</v>
      </c>
      <c r="F1536" s="154" t="s">
        <v>1507</v>
      </c>
      <c r="G1536" s="152" t="s">
        <v>189</v>
      </c>
      <c r="H1536" s="152" t="s">
        <v>106</v>
      </c>
      <c r="I1536" s="152"/>
    </row>
    <row r="1537" customFormat="false" ht="16.5" hidden="false" customHeight="true" outlineLevel="0" collapsed="false">
      <c r="A1537" s="151" t="n">
        <v>45992</v>
      </c>
      <c r="B1537" s="152" t="s">
        <v>1508</v>
      </c>
      <c r="C1537" s="153" t="n">
        <v>-59.92</v>
      </c>
      <c r="D1537" s="154" t="s">
        <v>97</v>
      </c>
      <c r="E1537" s="153" t="n">
        <v>-59.92</v>
      </c>
      <c r="F1537" s="154" t="s">
        <v>1509</v>
      </c>
      <c r="G1537" s="152" t="s">
        <v>189</v>
      </c>
      <c r="H1537" s="152" t="s">
        <v>106</v>
      </c>
      <c r="I1537" s="152"/>
    </row>
    <row r="1538" customFormat="false" ht="16.5" hidden="false" customHeight="true" outlineLevel="0" collapsed="false">
      <c r="A1538" s="151" t="n">
        <v>45992</v>
      </c>
      <c r="B1538" s="152" t="s">
        <v>1510</v>
      </c>
      <c r="C1538" s="153" t="n">
        <v>-47.23</v>
      </c>
      <c r="D1538" s="154" t="s">
        <v>97</v>
      </c>
      <c r="E1538" s="153"/>
      <c r="F1538" s="154"/>
      <c r="G1538" s="152" t="s">
        <v>167</v>
      </c>
      <c r="H1538" s="152" t="s">
        <v>106</v>
      </c>
      <c r="I1538" s="152"/>
    </row>
    <row r="1539" customFormat="false" ht="16.5" hidden="false" customHeight="true" outlineLevel="0" collapsed="false">
      <c r="A1539" s="151" t="n">
        <v>45992</v>
      </c>
      <c r="B1539" s="152" t="s">
        <v>1511</v>
      </c>
      <c r="C1539" s="153" t="n">
        <v>-43.31</v>
      </c>
      <c r="D1539" s="154" t="s">
        <v>97</v>
      </c>
      <c r="E1539" s="153"/>
      <c r="F1539" s="154"/>
      <c r="G1539" s="152" t="s">
        <v>42</v>
      </c>
      <c r="H1539" s="152" t="s">
        <v>106</v>
      </c>
      <c r="I1539" s="152"/>
    </row>
    <row r="1540" customFormat="false" ht="16.5" hidden="false" customHeight="true" outlineLevel="0" collapsed="false">
      <c r="A1540" s="151" t="n">
        <v>45992</v>
      </c>
      <c r="B1540" s="152" t="s">
        <v>1512</v>
      </c>
      <c r="C1540" s="153" t="n">
        <v>-38.83</v>
      </c>
      <c r="D1540" s="154" t="s">
        <v>97</v>
      </c>
      <c r="E1540" s="153"/>
      <c r="F1540" s="154"/>
      <c r="G1540" s="152" t="s">
        <v>213</v>
      </c>
      <c r="H1540" s="152" t="s">
        <v>106</v>
      </c>
      <c r="I1540" s="152"/>
    </row>
    <row r="1541" customFormat="false" ht="16.5" hidden="false" customHeight="true" outlineLevel="0" collapsed="false">
      <c r="A1541" s="151" t="n">
        <v>45992</v>
      </c>
      <c r="B1541" s="152" t="s">
        <v>1513</v>
      </c>
      <c r="C1541" s="153" t="n">
        <v>-37.49</v>
      </c>
      <c r="D1541" s="154" t="s">
        <v>97</v>
      </c>
      <c r="E1541" s="153"/>
      <c r="F1541" s="154"/>
      <c r="G1541" s="152" t="s">
        <v>213</v>
      </c>
      <c r="H1541" s="152" t="s">
        <v>106</v>
      </c>
      <c r="I1541" s="152"/>
    </row>
    <row r="1542" customFormat="false" ht="16.5" hidden="false" customHeight="true" outlineLevel="0" collapsed="false">
      <c r="A1542" s="151" t="n">
        <v>45992</v>
      </c>
      <c r="B1542" s="152" t="s">
        <v>1514</v>
      </c>
      <c r="C1542" s="153" t="n">
        <v>-28.55</v>
      </c>
      <c r="D1542" s="154" t="s">
        <v>97</v>
      </c>
      <c r="E1542" s="153"/>
      <c r="F1542" s="154"/>
      <c r="G1542" s="152" t="s">
        <v>213</v>
      </c>
      <c r="H1542" s="152" t="s">
        <v>106</v>
      </c>
      <c r="I1542" s="152"/>
    </row>
    <row r="1543" customFormat="false" ht="16.5" hidden="false" customHeight="true" outlineLevel="0" collapsed="false">
      <c r="A1543" s="151" t="n">
        <v>45992</v>
      </c>
      <c r="B1543" s="152" t="s">
        <v>1515</v>
      </c>
      <c r="C1543" s="153" t="n">
        <v>-27.51</v>
      </c>
      <c r="D1543" s="154" t="s">
        <v>97</v>
      </c>
      <c r="E1543" s="153"/>
      <c r="F1543" s="154"/>
      <c r="G1543" s="152" t="s">
        <v>41</v>
      </c>
      <c r="H1543" s="152" t="s">
        <v>106</v>
      </c>
      <c r="I1543" s="152"/>
    </row>
    <row r="1544" customFormat="false" ht="16.5" hidden="false" customHeight="true" outlineLevel="0" collapsed="false">
      <c r="A1544" s="151" t="n">
        <v>45992</v>
      </c>
      <c r="B1544" s="152" t="s">
        <v>1516</v>
      </c>
      <c r="C1544" s="153" t="n">
        <v>-22.54</v>
      </c>
      <c r="D1544" s="154" t="s">
        <v>97</v>
      </c>
      <c r="E1544" s="153"/>
      <c r="F1544" s="154"/>
      <c r="G1544" s="152" t="s">
        <v>205</v>
      </c>
      <c r="H1544" s="152" t="s">
        <v>106</v>
      </c>
      <c r="I1544" s="152"/>
    </row>
    <row r="1545" customFormat="false" ht="16.5" hidden="false" customHeight="true" outlineLevel="0" collapsed="false">
      <c r="A1545" s="151" t="n">
        <v>45992</v>
      </c>
      <c r="B1545" s="152" t="s">
        <v>1517</v>
      </c>
      <c r="C1545" s="153" t="n">
        <v>-19.34</v>
      </c>
      <c r="D1545" s="154" t="s">
        <v>97</v>
      </c>
      <c r="E1545" s="153"/>
      <c r="F1545" s="154"/>
      <c r="G1545" s="152" t="s">
        <v>213</v>
      </c>
      <c r="H1545" s="152" t="s">
        <v>106</v>
      </c>
      <c r="I1545" s="152"/>
    </row>
    <row r="1546" customFormat="false" ht="16.5" hidden="false" customHeight="true" outlineLevel="0" collapsed="false">
      <c r="A1546" s="151" t="n">
        <v>45992</v>
      </c>
      <c r="B1546" s="152" t="s">
        <v>1518</v>
      </c>
      <c r="C1546" s="153" t="n">
        <v>-19.03</v>
      </c>
      <c r="D1546" s="154" t="s">
        <v>97</v>
      </c>
      <c r="E1546" s="153"/>
      <c r="F1546" s="154"/>
      <c r="G1546" s="152" t="s">
        <v>213</v>
      </c>
      <c r="H1546" s="152" t="s">
        <v>106</v>
      </c>
      <c r="I1546" s="152"/>
    </row>
    <row r="1547" customFormat="false" ht="16.5" hidden="false" customHeight="true" outlineLevel="0" collapsed="false">
      <c r="A1547" s="151" t="n">
        <v>45992</v>
      </c>
      <c r="B1547" s="152" t="s">
        <v>1519</v>
      </c>
      <c r="C1547" s="153" t="n">
        <v>-11.41</v>
      </c>
      <c r="D1547" s="154" t="s">
        <v>97</v>
      </c>
      <c r="E1547" s="153"/>
      <c r="F1547" s="154"/>
      <c r="G1547" s="152" t="s">
        <v>164</v>
      </c>
      <c r="H1547" s="152" t="s">
        <v>106</v>
      </c>
      <c r="I1547" s="152"/>
    </row>
    <row r="1548" customFormat="false" ht="16.5" hidden="false" customHeight="true" outlineLevel="0" collapsed="false">
      <c r="A1548" s="151" t="n">
        <v>45992</v>
      </c>
      <c r="B1548" s="152" t="s">
        <v>1520</v>
      </c>
      <c r="C1548" s="153" t="n">
        <v>-10.13</v>
      </c>
      <c r="D1548" s="154" t="s">
        <v>97</v>
      </c>
      <c r="E1548" s="153"/>
      <c r="F1548" s="154"/>
      <c r="G1548" s="152" t="s">
        <v>213</v>
      </c>
      <c r="H1548" s="152" t="s">
        <v>106</v>
      </c>
      <c r="I1548" s="152"/>
    </row>
    <row r="1549" customFormat="false" ht="16.5" hidden="false" customHeight="true" outlineLevel="0" collapsed="false">
      <c r="A1549" s="151" t="n">
        <v>45992</v>
      </c>
      <c r="B1549" s="152" t="s">
        <v>1521</v>
      </c>
      <c r="C1549" s="153" t="n">
        <v>-8.02</v>
      </c>
      <c r="D1549" s="154" t="s">
        <v>97</v>
      </c>
      <c r="E1549" s="153"/>
      <c r="F1549" s="154"/>
      <c r="G1549" s="152" t="s">
        <v>164</v>
      </c>
      <c r="H1549" s="152" t="s">
        <v>106</v>
      </c>
      <c r="I1549" s="152"/>
    </row>
    <row r="1550" customFormat="false" ht="16.5" hidden="false" customHeight="true" outlineLevel="0" collapsed="false">
      <c r="A1550" s="151" t="n">
        <v>45992</v>
      </c>
      <c r="B1550" s="152" t="s">
        <v>1522</v>
      </c>
      <c r="C1550" s="153" t="n">
        <v>-7.69</v>
      </c>
      <c r="D1550" s="154" t="s">
        <v>97</v>
      </c>
      <c r="E1550" s="153"/>
      <c r="F1550" s="154"/>
      <c r="G1550" s="152" t="s">
        <v>168</v>
      </c>
      <c r="H1550" s="152" t="s">
        <v>106</v>
      </c>
      <c r="I1550" s="152"/>
    </row>
    <row r="1551" customFormat="false" ht="16.5" hidden="false" customHeight="true" outlineLevel="0" collapsed="false">
      <c r="A1551" s="151" t="n">
        <v>45992</v>
      </c>
      <c r="B1551" s="152" t="s">
        <v>1523</v>
      </c>
      <c r="C1551" s="153" t="n">
        <v>-7.19</v>
      </c>
      <c r="D1551" s="154" t="s">
        <v>97</v>
      </c>
      <c r="E1551" s="153"/>
      <c r="F1551" s="154"/>
      <c r="G1551" s="152" t="s">
        <v>168</v>
      </c>
      <c r="H1551" s="152" t="s">
        <v>106</v>
      </c>
      <c r="I1551" s="152"/>
    </row>
    <row r="1552" customFormat="false" ht="16.5" hidden="false" customHeight="true" outlineLevel="0" collapsed="false">
      <c r="A1552" s="151" t="n">
        <v>45992</v>
      </c>
      <c r="B1552" s="152" t="s">
        <v>1524</v>
      </c>
      <c r="C1552" s="153" t="n">
        <v>-5.8</v>
      </c>
      <c r="D1552" s="154" t="s">
        <v>97</v>
      </c>
      <c r="E1552" s="153"/>
      <c r="F1552" s="154"/>
      <c r="G1552" s="152" t="s">
        <v>231</v>
      </c>
      <c r="H1552" s="152" t="s">
        <v>106</v>
      </c>
      <c r="I1552" s="152"/>
    </row>
    <row r="1553" customFormat="false" ht="16.5" hidden="false" customHeight="true" outlineLevel="0" collapsed="false">
      <c r="A1553" s="151" t="n">
        <v>45992</v>
      </c>
      <c r="B1553" s="152" t="s">
        <v>1525</v>
      </c>
      <c r="C1553" s="153" t="n">
        <v>-5.6</v>
      </c>
      <c r="D1553" s="154" t="s">
        <v>97</v>
      </c>
      <c r="E1553" s="153"/>
      <c r="F1553" s="154"/>
      <c r="G1553" s="152" t="s">
        <v>213</v>
      </c>
      <c r="H1553" s="152" t="s">
        <v>106</v>
      </c>
      <c r="I1553" s="152"/>
    </row>
    <row r="1554" customFormat="false" ht="16.5" hidden="false" customHeight="true" outlineLevel="0" collapsed="false">
      <c r="A1554" s="151" t="n">
        <v>45992</v>
      </c>
      <c r="B1554" s="152" t="s">
        <v>1526</v>
      </c>
      <c r="C1554" s="153" t="n">
        <v>-3.95</v>
      </c>
      <c r="D1554" s="154" t="s">
        <v>97</v>
      </c>
      <c r="E1554" s="153"/>
      <c r="F1554" s="154"/>
      <c r="G1554" s="152" t="s">
        <v>213</v>
      </c>
      <c r="H1554" s="152" t="s">
        <v>106</v>
      </c>
      <c r="I1554" s="152"/>
    </row>
    <row r="1555" customFormat="false" ht="16.5" hidden="false" customHeight="true" outlineLevel="0" collapsed="false">
      <c r="A1555" s="151" t="n">
        <v>45992</v>
      </c>
      <c r="B1555" s="152" t="s">
        <v>1527</v>
      </c>
      <c r="C1555" s="153" t="n">
        <v>-3.76</v>
      </c>
      <c r="D1555" s="154" t="s">
        <v>97</v>
      </c>
      <c r="E1555" s="153"/>
      <c r="F1555" s="154"/>
      <c r="G1555" s="152" t="s">
        <v>213</v>
      </c>
      <c r="H1555" s="152" t="s">
        <v>106</v>
      </c>
      <c r="I1555" s="152"/>
    </row>
    <row r="1556" customFormat="false" ht="16.5" hidden="false" customHeight="true" outlineLevel="0" collapsed="false">
      <c r="A1556" s="151" t="n">
        <v>45992</v>
      </c>
      <c r="B1556" s="152" t="s">
        <v>1528</v>
      </c>
      <c r="C1556" s="153" t="n">
        <v>-3.71</v>
      </c>
      <c r="D1556" s="154" t="s">
        <v>97</v>
      </c>
      <c r="E1556" s="153"/>
      <c r="F1556" s="154"/>
      <c r="G1556" s="152" t="s">
        <v>213</v>
      </c>
      <c r="H1556" s="152" t="s">
        <v>106</v>
      </c>
      <c r="I1556" s="152"/>
    </row>
    <row r="1557" customFormat="false" ht="16.5" hidden="false" customHeight="true" outlineLevel="0" collapsed="false">
      <c r="A1557" s="151" t="n">
        <v>45992</v>
      </c>
      <c r="B1557" s="152" t="s">
        <v>1529</v>
      </c>
      <c r="C1557" s="153" t="n">
        <v>-3.5</v>
      </c>
      <c r="D1557" s="154" t="s">
        <v>97</v>
      </c>
      <c r="E1557" s="153"/>
      <c r="F1557" s="154"/>
      <c r="G1557" s="152" t="s">
        <v>213</v>
      </c>
      <c r="H1557" s="152" t="s">
        <v>106</v>
      </c>
      <c r="I1557" s="152"/>
    </row>
    <row r="1558" customFormat="false" ht="16.5" hidden="false" customHeight="true" outlineLevel="0" collapsed="false">
      <c r="A1558" s="151" t="n">
        <v>45992</v>
      </c>
      <c r="B1558" s="152" t="s">
        <v>1530</v>
      </c>
      <c r="C1558" s="153" t="n">
        <v>-2.41</v>
      </c>
      <c r="D1558" s="154" t="s">
        <v>97</v>
      </c>
      <c r="E1558" s="153"/>
      <c r="F1558" s="154"/>
      <c r="G1558" s="152" t="s">
        <v>231</v>
      </c>
      <c r="H1558" s="152" t="s">
        <v>106</v>
      </c>
      <c r="I1558" s="152"/>
    </row>
    <row r="1559" customFormat="false" ht="16.5" hidden="false" customHeight="true" outlineLevel="0" collapsed="false">
      <c r="A1559" s="151" t="n">
        <v>45992</v>
      </c>
      <c r="B1559" s="152" t="s">
        <v>1531</v>
      </c>
      <c r="C1559" s="153" t="n">
        <v>-2.36</v>
      </c>
      <c r="D1559" s="154" t="s">
        <v>97</v>
      </c>
      <c r="E1559" s="153"/>
      <c r="F1559" s="154"/>
      <c r="G1559" s="152" t="s">
        <v>213</v>
      </c>
      <c r="H1559" s="152" t="s">
        <v>106</v>
      </c>
      <c r="I1559" s="152"/>
    </row>
    <row r="1560" customFormat="false" ht="16.5" hidden="false" customHeight="true" outlineLevel="0" collapsed="false">
      <c r="A1560" s="151" t="n">
        <v>45992</v>
      </c>
      <c r="B1560" s="152" t="s">
        <v>1532</v>
      </c>
      <c r="C1560" s="153" t="n">
        <v>-2.23</v>
      </c>
      <c r="D1560" s="154" t="s">
        <v>97</v>
      </c>
      <c r="E1560" s="153"/>
      <c r="F1560" s="154"/>
      <c r="G1560" s="152" t="s">
        <v>213</v>
      </c>
      <c r="H1560" s="152" t="s">
        <v>106</v>
      </c>
      <c r="I1560" s="152"/>
    </row>
    <row r="1561" customFormat="false" ht="16.5" hidden="false" customHeight="true" outlineLevel="0" collapsed="false">
      <c r="A1561" s="151" t="n">
        <v>45992</v>
      </c>
      <c r="B1561" s="152" t="s">
        <v>1533</v>
      </c>
      <c r="C1561" s="153" t="n">
        <v>-2</v>
      </c>
      <c r="D1561" s="154" t="s">
        <v>97</v>
      </c>
      <c r="E1561" s="153"/>
      <c r="F1561" s="154"/>
      <c r="G1561" s="152" t="s">
        <v>167</v>
      </c>
      <c r="H1561" s="152" t="s">
        <v>106</v>
      </c>
      <c r="I1561" s="152"/>
    </row>
    <row r="1562" customFormat="false" ht="16.5" hidden="false" customHeight="true" outlineLevel="0" collapsed="false">
      <c r="A1562" s="151" t="n">
        <v>45992</v>
      </c>
      <c r="B1562" s="152" t="s">
        <v>1534</v>
      </c>
      <c r="C1562" s="153" t="n">
        <v>-1.59</v>
      </c>
      <c r="D1562" s="154" t="s">
        <v>97</v>
      </c>
      <c r="E1562" s="153"/>
      <c r="F1562" s="154"/>
      <c r="G1562" s="152" t="s">
        <v>168</v>
      </c>
      <c r="H1562" s="152" t="s">
        <v>106</v>
      </c>
      <c r="I1562" s="152"/>
    </row>
    <row r="1563" customFormat="false" ht="16.5" hidden="false" customHeight="true" outlineLevel="0" collapsed="false">
      <c r="A1563" s="151" t="n">
        <v>45992</v>
      </c>
      <c r="B1563" s="152" t="s">
        <v>1535</v>
      </c>
      <c r="C1563" s="153" t="n">
        <v>-1.39</v>
      </c>
      <c r="D1563" s="154" t="s">
        <v>97</v>
      </c>
      <c r="E1563" s="153"/>
      <c r="F1563" s="154"/>
      <c r="G1563" s="152" t="s">
        <v>164</v>
      </c>
      <c r="H1563" s="152" t="s">
        <v>106</v>
      </c>
      <c r="I1563" s="152"/>
    </row>
    <row r="1564" customFormat="false" ht="16.5" hidden="false" customHeight="true" outlineLevel="0" collapsed="false">
      <c r="A1564" s="151" t="n">
        <v>45992</v>
      </c>
      <c r="B1564" s="152" t="s">
        <v>1536</v>
      </c>
      <c r="C1564" s="153" t="n">
        <v>-1.37</v>
      </c>
      <c r="D1564" s="154" t="s">
        <v>97</v>
      </c>
      <c r="E1564" s="153"/>
      <c r="F1564" s="154"/>
      <c r="G1564" s="152" t="s">
        <v>213</v>
      </c>
      <c r="H1564" s="152" t="s">
        <v>106</v>
      </c>
      <c r="I1564" s="152"/>
    </row>
    <row r="1565" customFormat="false" ht="16.5" hidden="false" customHeight="true" outlineLevel="0" collapsed="false">
      <c r="A1565" s="151" t="n">
        <v>45992</v>
      </c>
      <c r="B1565" s="152" t="s">
        <v>1537</v>
      </c>
      <c r="C1565" s="153" t="n">
        <v>-1.26</v>
      </c>
      <c r="D1565" s="154" t="s">
        <v>97</v>
      </c>
      <c r="E1565" s="153"/>
      <c r="F1565" s="154"/>
      <c r="G1565" s="152" t="s">
        <v>213</v>
      </c>
      <c r="H1565" s="152" t="s">
        <v>106</v>
      </c>
      <c r="I1565" s="152"/>
    </row>
    <row r="1566" customFormat="false" ht="16.5" hidden="false" customHeight="true" outlineLevel="0" collapsed="false">
      <c r="A1566" s="151" t="n">
        <v>45992</v>
      </c>
      <c r="B1566" s="152" t="s">
        <v>1538</v>
      </c>
      <c r="C1566" s="153" t="n">
        <v>-0.99</v>
      </c>
      <c r="D1566" s="154" t="s">
        <v>97</v>
      </c>
      <c r="E1566" s="153"/>
      <c r="F1566" s="154"/>
      <c r="G1566" s="152" t="s">
        <v>42</v>
      </c>
      <c r="H1566" s="152" t="s">
        <v>106</v>
      </c>
      <c r="I1566" s="152"/>
    </row>
    <row r="1567" customFormat="false" ht="16.5" hidden="false" customHeight="true" outlineLevel="0" collapsed="false">
      <c r="A1567" s="151" t="n">
        <v>45992</v>
      </c>
      <c r="B1567" s="152" t="s">
        <v>1539</v>
      </c>
      <c r="C1567" s="153" t="n">
        <v>-0.99</v>
      </c>
      <c r="D1567" s="154" t="s">
        <v>97</v>
      </c>
      <c r="E1567" s="153"/>
      <c r="F1567" s="154"/>
      <c r="G1567" s="152" t="s">
        <v>167</v>
      </c>
      <c r="H1567" s="152" t="s">
        <v>106</v>
      </c>
      <c r="I1567" s="152"/>
    </row>
    <row r="1568" customFormat="false" ht="16.5" hidden="false" customHeight="true" outlineLevel="0" collapsed="false">
      <c r="A1568" s="151" t="n">
        <v>45992</v>
      </c>
      <c r="B1568" s="152" t="s">
        <v>1540</v>
      </c>
      <c r="C1568" s="153" t="n">
        <v>-0.96</v>
      </c>
      <c r="D1568" s="154" t="s">
        <v>97</v>
      </c>
      <c r="E1568" s="153"/>
      <c r="F1568" s="154"/>
      <c r="G1568" s="152" t="s">
        <v>213</v>
      </c>
      <c r="H1568" s="152" t="s">
        <v>106</v>
      </c>
      <c r="I1568" s="152"/>
    </row>
    <row r="1569" customFormat="false" ht="16.5" hidden="false" customHeight="true" outlineLevel="0" collapsed="false">
      <c r="A1569" s="151" t="n">
        <v>45992</v>
      </c>
      <c r="B1569" s="152" t="s">
        <v>1541</v>
      </c>
      <c r="C1569" s="153" t="n">
        <v>-0.86</v>
      </c>
      <c r="D1569" s="154" t="s">
        <v>97</v>
      </c>
      <c r="E1569" s="153"/>
      <c r="F1569" s="154"/>
      <c r="G1569" s="152" t="s">
        <v>213</v>
      </c>
      <c r="H1569" s="152" t="s">
        <v>106</v>
      </c>
      <c r="I1569" s="152"/>
    </row>
    <row r="1570" customFormat="false" ht="16.5" hidden="false" customHeight="true" outlineLevel="0" collapsed="false">
      <c r="A1570" s="151" t="n">
        <v>45992</v>
      </c>
      <c r="B1570" s="152" t="s">
        <v>1542</v>
      </c>
      <c r="C1570" s="153" t="n">
        <v>-0.72</v>
      </c>
      <c r="D1570" s="154" t="s">
        <v>97</v>
      </c>
      <c r="E1570" s="153"/>
      <c r="F1570" s="154"/>
      <c r="G1570" s="152" t="s">
        <v>231</v>
      </c>
      <c r="H1570" s="152" t="s">
        <v>106</v>
      </c>
      <c r="I1570" s="152"/>
    </row>
    <row r="1571" customFormat="false" ht="16.5" hidden="false" customHeight="true" outlineLevel="0" collapsed="false">
      <c r="A1571" s="151" t="n">
        <v>45992</v>
      </c>
      <c r="B1571" s="152" t="s">
        <v>1543</v>
      </c>
      <c r="C1571" s="153" t="n">
        <v>-0.71</v>
      </c>
      <c r="D1571" s="154" t="s">
        <v>97</v>
      </c>
      <c r="E1571" s="153"/>
      <c r="F1571" s="154"/>
      <c r="G1571" s="152" t="s">
        <v>213</v>
      </c>
      <c r="H1571" s="152" t="s">
        <v>106</v>
      </c>
      <c r="I1571" s="152"/>
    </row>
    <row r="1572" customFormat="false" ht="16.5" hidden="false" customHeight="true" outlineLevel="0" collapsed="false">
      <c r="A1572" s="151" t="n">
        <v>45992</v>
      </c>
      <c r="B1572" s="152" t="s">
        <v>1544</v>
      </c>
      <c r="C1572" s="153" t="n">
        <v>-0.71</v>
      </c>
      <c r="D1572" s="154" t="s">
        <v>97</v>
      </c>
      <c r="E1572" s="153"/>
      <c r="F1572" s="154"/>
      <c r="G1572" s="152" t="s">
        <v>213</v>
      </c>
      <c r="H1572" s="152" t="s">
        <v>106</v>
      </c>
      <c r="I1572" s="152"/>
    </row>
    <row r="1573" customFormat="false" ht="16.5" hidden="false" customHeight="true" outlineLevel="0" collapsed="false">
      <c r="A1573" s="151" t="n">
        <v>45992</v>
      </c>
      <c r="B1573" s="152" t="s">
        <v>1545</v>
      </c>
      <c r="C1573" s="153" t="n">
        <v>-0.29</v>
      </c>
      <c r="D1573" s="154" t="s">
        <v>97</v>
      </c>
      <c r="E1573" s="153"/>
      <c r="F1573" s="154"/>
      <c r="G1573" s="152" t="s">
        <v>213</v>
      </c>
      <c r="H1573" s="152" t="s">
        <v>106</v>
      </c>
      <c r="I1573" s="152"/>
    </row>
    <row r="1574" customFormat="false" ht="16.5" hidden="false" customHeight="true" outlineLevel="0" collapsed="false">
      <c r="A1574" s="151" t="n">
        <v>45992</v>
      </c>
      <c r="B1574" s="152" t="s">
        <v>1546</v>
      </c>
      <c r="C1574" s="153" t="n">
        <v>-0.25</v>
      </c>
      <c r="D1574" s="154" t="s">
        <v>97</v>
      </c>
      <c r="E1574" s="153"/>
      <c r="F1574" s="154"/>
      <c r="G1574" s="152" t="s">
        <v>213</v>
      </c>
      <c r="H1574" s="152" t="s">
        <v>106</v>
      </c>
      <c r="I1574" s="152"/>
    </row>
    <row r="1575" customFormat="false" ht="16.5" hidden="false" customHeight="true" outlineLevel="0" collapsed="false">
      <c r="A1575" s="151" t="n">
        <v>45992</v>
      </c>
      <c r="B1575" s="152" t="s">
        <v>1547</v>
      </c>
      <c r="C1575" s="153" t="n">
        <v>-0.24</v>
      </c>
      <c r="D1575" s="154" t="s">
        <v>97</v>
      </c>
      <c r="E1575" s="153"/>
      <c r="F1575" s="154"/>
      <c r="G1575" s="152" t="s">
        <v>213</v>
      </c>
      <c r="H1575" s="152" t="s">
        <v>106</v>
      </c>
      <c r="I1575" s="152"/>
    </row>
    <row r="1576" customFormat="false" ht="16.5" hidden="false" customHeight="true" outlineLevel="0" collapsed="false">
      <c r="A1576" s="151" t="n">
        <v>45992</v>
      </c>
      <c r="B1576" s="152" t="s">
        <v>992</v>
      </c>
      <c r="C1576" s="153" t="n">
        <v>-339.37</v>
      </c>
      <c r="D1576" s="154" t="s">
        <v>97</v>
      </c>
      <c r="E1576" s="153"/>
      <c r="F1576" s="154"/>
      <c r="G1576" s="152" t="s">
        <v>162</v>
      </c>
      <c r="H1576" s="152" t="s">
        <v>106</v>
      </c>
      <c r="I1576" s="152"/>
    </row>
    <row r="1577" customFormat="false" ht="16.5" hidden="false" customHeight="true" outlineLevel="0" collapsed="false">
      <c r="A1577" s="151" t="n">
        <v>45992</v>
      </c>
      <c r="B1577" s="152" t="s">
        <v>1548</v>
      </c>
      <c r="C1577" s="153" t="n">
        <v>616.41</v>
      </c>
      <c r="D1577" s="154" t="s">
        <v>97</v>
      </c>
      <c r="E1577" s="153"/>
      <c r="F1577" s="154"/>
      <c r="G1577" s="152" t="s">
        <v>194</v>
      </c>
      <c r="H1577" s="152" t="s">
        <v>106</v>
      </c>
      <c r="I1577" s="152"/>
    </row>
    <row r="1578" customFormat="false" ht="16.5" hidden="false" customHeight="true" outlineLevel="0" collapsed="false">
      <c r="A1578" s="151" t="n">
        <v>45992</v>
      </c>
      <c r="B1578" s="152" t="s">
        <v>1549</v>
      </c>
      <c r="C1578" s="153" t="n">
        <v>275.25</v>
      </c>
      <c r="D1578" s="154" t="s">
        <v>97</v>
      </c>
      <c r="E1578" s="153"/>
      <c r="F1578" s="154"/>
      <c r="G1578" s="152" t="s">
        <v>206</v>
      </c>
      <c r="H1578" s="152" t="s">
        <v>106</v>
      </c>
      <c r="I1578" s="152"/>
    </row>
    <row r="1579" customFormat="false" ht="16.5" hidden="false" customHeight="true" outlineLevel="0" collapsed="false">
      <c r="A1579" s="151" t="n">
        <v>45992</v>
      </c>
      <c r="B1579" s="152" t="s">
        <v>1550</v>
      </c>
      <c r="C1579" s="153" t="n">
        <v>103.44</v>
      </c>
      <c r="D1579" s="154" t="s">
        <v>97</v>
      </c>
      <c r="E1579" s="153"/>
      <c r="F1579" s="154"/>
      <c r="G1579" s="152" t="s">
        <v>206</v>
      </c>
      <c r="H1579" s="152" t="s">
        <v>106</v>
      </c>
      <c r="I1579" s="152"/>
    </row>
    <row r="1580" customFormat="false" ht="16.5" hidden="false" customHeight="true" outlineLevel="0" collapsed="false">
      <c r="A1580" s="151" t="n">
        <v>45989</v>
      </c>
      <c r="B1580" s="152" t="s">
        <v>1551</v>
      </c>
      <c r="C1580" s="153" t="n">
        <v>-23.16</v>
      </c>
      <c r="D1580" s="154" t="s">
        <v>97</v>
      </c>
      <c r="E1580" s="153"/>
      <c r="F1580" s="154"/>
      <c r="G1580" s="152" t="s">
        <v>202</v>
      </c>
      <c r="H1580" s="152" t="s">
        <v>106</v>
      </c>
      <c r="I1580" s="152"/>
    </row>
    <row r="1581" customFormat="false" ht="16.5" hidden="false" customHeight="true" outlineLevel="0" collapsed="false">
      <c r="A1581" s="151" t="n">
        <v>45989</v>
      </c>
      <c r="B1581" s="152" t="s">
        <v>1552</v>
      </c>
      <c r="C1581" s="153" t="n">
        <v>-1.6</v>
      </c>
      <c r="D1581" s="154" t="s">
        <v>97</v>
      </c>
      <c r="E1581" s="153"/>
      <c r="F1581" s="154"/>
      <c r="G1581" s="152" t="s">
        <v>219</v>
      </c>
      <c r="H1581" s="152" t="s">
        <v>106</v>
      </c>
      <c r="I1581" s="152"/>
    </row>
    <row r="1582" customFormat="false" ht="16.5" hidden="false" customHeight="true" outlineLevel="0" collapsed="false">
      <c r="A1582" s="151" t="n">
        <v>45992</v>
      </c>
      <c r="B1582" s="152" t="s">
        <v>60</v>
      </c>
      <c r="C1582" s="153" t="n">
        <v>14882.24</v>
      </c>
      <c r="D1582" s="154" t="s">
        <v>97</v>
      </c>
      <c r="E1582" s="153"/>
      <c r="F1582" s="154"/>
      <c r="G1582" s="152" t="s">
        <v>315</v>
      </c>
      <c r="H1582" s="152" t="s">
        <v>106</v>
      </c>
      <c r="I1582" s="152"/>
    </row>
    <row r="1583" customFormat="false" ht="16.5" hidden="false" customHeight="true" outlineLevel="0" collapsed="false">
      <c r="A1583" s="151" t="n">
        <v>45974</v>
      </c>
      <c r="B1583" s="152" t="s">
        <v>1553</v>
      </c>
      <c r="C1583" s="158" t="n">
        <v>2.15247</v>
      </c>
      <c r="D1583" s="154" t="s">
        <v>150</v>
      </c>
      <c r="E1583" s="153" t="n">
        <v>190.02</v>
      </c>
      <c r="F1583" s="154" t="s">
        <v>1504</v>
      </c>
      <c r="G1583" s="152" t="s">
        <v>189</v>
      </c>
      <c r="H1583" s="152" t="s">
        <v>149</v>
      </c>
      <c r="I1583" s="152"/>
    </row>
    <row r="1584" customFormat="false" ht="16.5" hidden="false" customHeight="true" outlineLevel="0" collapsed="false">
      <c r="A1584" s="151" t="n">
        <v>45974</v>
      </c>
      <c r="B1584" s="152" t="s">
        <v>1554</v>
      </c>
      <c r="C1584" s="158" t="n">
        <v>0.62718</v>
      </c>
      <c r="D1584" s="154" t="s">
        <v>150</v>
      </c>
      <c r="E1584" s="153" t="n">
        <v>84.33</v>
      </c>
      <c r="F1584" s="154" t="s">
        <v>1507</v>
      </c>
      <c r="G1584" s="152" t="s">
        <v>189</v>
      </c>
      <c r="H1584" s="152" t="s">
        <v>149</v>
      </c>
      <c r="I1584" s="152"/>
    </row>
    <row r="1585" customFormat="false" ht="16.5" hidden="false" customHeight="true" outlineLevel="0" collapsed="false">
      <c r="A1585" s="151" t="n">
        <v>45958</v>
      </c>
      <c r="B1585" s="152" t="s">
        <v>1555</v>
      </c>
      <c r="C1585" s="158" t="n">
        <v>0.86529</v>
      </c>
      <c r="D1585" s="154" t="s">
        <v>150</v>
      </c>
      <c r="E1585" s="153" t="n">
        <v>59.92</v>
      </c>
      <c r="F1585" s="154" t="s">
        <v>1509</v>
      </c>
      <c r="G1585" s="152" t="s">
        <v>189</v>
      </c>
      <c r="H1585" s="152" t="s">
        <v>149</v>
      </c>
      <c r="I1585" s="152"/>
    </row>
    <row r="1586" customFormat="false" ht="16.5" hidden="false" customHeight="true" outlineLevel="0" collapsed="false">
      <c r="A1586" s="151" t="n">
        <v>45993</v>
      </c>
      <c r="B1586" s="152" t="s">
        <v>60</v>
      </c>
      <c r="C1586" s="158" t="n">
        <v>105.34105</v>
      </c>
      <c r="D1586" s="154" t="s">
        <v>150</v>
      </c>
      <c r="E1586" s="153"/>
      <c r="F1586" s="154"/>
      <c r="G1586" s="152" t="s">
        <v>315</v>
      </c>
      <c r="H1586" s="152" t="s">
        <v>149</v>
      </c>
      <c r="I1586" s="152"/>
    </row>
    <row r="1587" customFormat="false" ht="16.5" hidden="false" customHeight="true" outlineLevel="0" collapsed="false">
      <c r="A1587" s="151" t="n">
        <v>45993</v>
      </c>
      <c r="B1587" s="152" t="s">
        <v>1115</v>
      </c>
      <c r="C1587" s="160" t="n">
        <v>0</v>
      </c>
      <c r="D1587" s="154"/>
      <c r="E1587" s="160"/>
      <c r="F1587" s="154"/>
      <c r="G1587" s="152" t="s">
        <v>1116</v>
      </c>
      <c r="H1587" s="152"/>
      <c r="I1587" s="152"/>
    </row>
    <row r="1588" customFormat="false" ht="16.5" hidden="false" customHeight="true" outlineLevel="0" collapsed="false">
      <c r="A1588" s="151" t="n">
        <v>45961</v>
      </c>
      <c r="B1588" s="152" t="s">
        <v>1556</v>
      </c>
      <c r="C1588" s="153" t="n">
        <v>0</v>
      </c>
      <c r="D1588" s="154" t="s">
        <v>97</v>
      </c>
      <c r="E1588" s="153"/>
      <c r="F1588" s="154"/>
      <c r="G1588" s="152" t="s">
        <v>193</v>
      </c>
      <c r="H1588" s="152" t="s">
        <v>99</v>
      </c>
      <c r="I1588" s="152"/>
    </row>
    <row r="1589" customFormat="false" ht="16.5" hidden="false" customHeight="true" outlineLevel="0" collapsed="false">
      <c r="A1589" s="151" t="n">
        <v>45681</v>
      </c>
      <c r="B1589" s="152" t="s">
        <v>1557</v>
      </c>
      <c r="C1589" s="153" t="n">
        <v>0</v>
      </c>
      <c r="D1589" s="154" t="s">
        <v>97</v>
      </c>
      <c r="E1589" s="153"/>
      <c r="F1589" s="154"/>
      <c r="G1589" s="152" t="s">
        <v>193</v>
      </c>
      <c r="H1589" s="152" t="s">
        <v>99</v>
      </c>
      <c r="I1589" s="152"/>
    </row>
    <row r="1590" customFormat="false" ht="16.5" hidden="false" customHeight="true" outlineLevel="0" collapsed="false">
      <c r="A1590" s="151" t="n">
        <v>45205</v>
      </c>
      <c r="B1590" s="152" t="s">
        <v>1558</v>
      </c>
      <c r="C1590" s="153" t="n">
        <v>0</v>
      </c>
      <c r="D1590" s="154" t="s">
        <v>97</v>
      </c>
      <c r="E1590" s="153"/>
      <c r="F1590" s="154"/>
      <c r="G1590" s="152" t="s">
        <v>193</v>
      </c>
      <c r="H1590" s="152" t="s">
        <v>99</v>
      </c>
      <c r="I1590" s="152"/>
    </row>
    <row r="1591" customFormat="false" ht="16.5" hidden="false" customHeight="true" outlineLevel="0" collapsed="false">
      <c r="A1591" s="151" t="n">
        <v>45205</v>
      </c>
      <c r="B1591" s="152" t="s">
        <v>1559</v>
      </c>
      <c r="C1591" s="153" t="n">
        <v>0</v>
      </c>
      <c r="D1591" s="154" t="s">
        <v>97</v>
      </c>
      <c r="E1591" s="153"/>
      <c r="F1591" s="154"/>
      <c r="G1591" s="152" t="s">
        <v>193</v>
      </c>
      <c r="H1591" s="152" t="s">
        <v>99</v>
      </c>
      <c r="I1591" s="152"/>
    </row>
    <row r="1592" customFormat="false" ht="16.5" hidden="false" customHeight="true" outlineLevel="0" collapsed="false">
      <c r="A1592" s="151" t="n">
        <v>45205</v>
      </c>
      <c r="B1592" s="152" t="s">
        <v>1560</v>
      </c>
      <c r="C1592" s="153" t="n">
        <v>0</v>
      </c>
      <c r="D1592" s="154" t="s">
        <v>97</v>
      </c>
      <c r="E1592" s="153"/>
      <c r="F1592" s="154"/>
      <c r="G1592" s="152" t="s">
        <v>193</v>
      </c>
      <c r="H1592" s="152" t="s">
        <v>99</v>
      </c>
      <c r="I1592" s="152"/>
    </row>
    <row r="1593" customFormat="false" ht="16.5" hidden="false" customHeight="true" outlineLevel="0" collapsed="false">
      <c r="A1593" s="151" t="n">
        <v>45173</v>
      </c>
      <c r="B1593" s="152" t="s">
        <v>1561</v>
      </c>
      <c r="C1593" s="153" t="n">
        <v>0</v>
      </c>
      <c r="D1593" s="154" t="s">
        <v>97</v>
      </c>
      <c r="E1593" s="153"/>
      <c r="F1593" s="154"/>
      <c r="G1593" s="152" t="s">
        <v>193</v>
      </c>
      <c r="H1593" s="152" t="s">
        <v>99</v>
      </c>
      <c r="I1593" s="152"/>
    </row>
    <row r="1594" customFormat="false" ht="16.5" hidden="false" customHeight="true" outlineLevel="0" collapsed="false">
      <c r="A1594" s="151" t="n">
        <v>44397</v>
      </c>
      <c r="B1594" s="152" t="s">
        <v>1562</v>
      </c>
      <c r="C1594" s="153" t="n">
        <v>52.31</v>
      </c>
      <c r="D1594" s="154" t="s">
        <v>97</v>
      </c>
      <c r="E1594" s="153"/>
      <c r="F1594" s="154"/>
      <c r="G1594" s="152" t="s">
        <v>229</v>
      </c>
      <c r="H1594" s="152" t="s">
        <v>99</v>
      </c>
      <c r="I1594" s="152"/>
    </row>
    <row r="1595" customFormat="false" ht="16.5" hidden="false" customHeight="true" outlineLevel="0" collapsed="false">
      <c r="A1595" s="151" t="n">
        <v>44343</v>
      </c>
      <c r="B1595" s="152" t="s">
        <v>1562</v>
      </c>
      <c r="C1595" s="153" t="n">
        <v>534.24</v>
      </c>
      <c r="D1595" s="154" t="s">
        <v>97</v>
      </c>
      <c r="E1595" s="153"/>
      <c r="F1595" s="154"/>
      <c r="G1595" s="152" t="s">
        <v>229</v>
      </c>
      <c r="H1595" s="152" t="s">
        <v>99</v>
      </c>
      <c r="I1595" s="152"/>
    </row>
    <row r="1596" customFormat="false" ht="16.5" hidden="false" customHeight="true" outlineLevel="0" collapsed="false">
      <c r="A1596" s="151" t="n">
        <v>44301</v>
      </c>
      <c r="B1596" s="152" t="s">
        <v>1563</v>
      </c>
      <c r="C1596" s="153" t="n">
        <v>0</v>
      </c>
      <c r="D1596" s="154" t="s">
        <v>97</v>
      </c>
      <c r="E1596" s="153"/>
      <c r="F1596" s="154"/>
      <c r="G1596" s="152" t="s">
        <v>193</v>
      </c>
      <c r="H1596" s="152" t="s">
        <v>99</v>
      </c>
      <c r="I1596" s="152"/>
    </row>
    <row r="1597" customFormat="false" ht="16.5" hidden="false" customHeight="true" outlineLevel="0" collapsed="false">
      <c r="A1597" s="151" t="n">
        <v>45994</v>
      </c>
      <c r="B1597" s="152" t="s">
        <v>60</v>
      </c>
      <c r="C1597" s="153" t="n">
        <v>17466.12</v>
      </c>
      <c r="D1597" s="154" t="s">
        <v>97</v>
      </c>
      <c r="E1597" s="153"/>
      <c r="F1597" s="154"/>
      <c r="G1597" s="152" t="s">
        <v>315</v>
      </c>
      <c r="H1597" s="152" t="s">
        <v>99</v>
      </c>
      <c r="I1597" s="152"/>
    </row>
    <row r="1598" customFormat="false" ht="16.5" hidden="false" customHeight="true" outlineLevel="0" collapsed="false">
      <c r="A1598" s="151" t="n">
        <v>45994</v>
      </c>
      <c r="B1598" s="152" t="s">
        <v>1115</v>
      </c>
      <c r="C1598" s="160" t="n">
        <v>0</v>
      </c>
      <c r="D1598" s="154"/>
      <c r="E1598" s="160"/>
      <c r="F1598" s="154"/>
      <c r="G1598" s="152" t="s">
        <v>1116</v>
      </c>
      <c r="H1598" s="152"/>
      <c r="I1598" s="152"/>
    </row>
    <row r="1599" customFormat="false" ht="16.5" hidden="false" customHeight="true" outlineLevel="0" collapsed="false">
      <c r="A1599" s="151" t="n">
        <v>45994</v>
      </c>
      <c r="B1599" s="152" t="s">
        <v>1564</v>
      </c>
      <c r="C1599" s="153" t="n">
        <v>200.15</v>
      </c>
      <c r="D1599" s="154" t="s">
        <v>97</v>
      </c>
      <c r="E1599" s="153"/>
      <c r="F1599" s="154" t="s">
        <v>1565</v>
      </c>
      <c r="G1599" s="152" t="s">
        <v>190</v>
      </c>
      <c r="H1599" s="152" t="s">
        <v>106</v>
      </c>
      <c r="I1599" s="152"/>
    </row>
    <row r="1600" customFormat="false" ht="16.5" hidden="false" customHeight="true" outlineLevel="0" collapsed="false">
      <c r="A1600" s="151" t="n">
        <v>45994</v>
      </c>
      <c r="B1600" s="152" t="s">
        <v>1566</v>
      </c>
      <c r="C1600" s="153" t="n">
        <v>-1.37</v>
      </c>
      <c r="D1600" s="154" t="s">
        <v>97</v>
      </c>
      <c r="E1600" s="153"/>
      <c r="F1600" s="154"/>
      <c r="G1600" s="152" t="s">
        <v>42</v>
      </c>
      <c r="H1600" s="152" t="s">
        <v>106</v>
      </c>
      <c r="I1600" s="152"/>
    </row>
    <row r="1601" customFormat="false" ht="16.5" hidden="false" customHeight="true" outlineLevel="0" collapsed="false">
      <c r="A1601" s="151" t="n">
        <v>45994</v>
      </c>
      <c r="B1601" s="152" t="s">
        <v>60</v>
      </c>
      <c r="C1601" s="153" t="n">
        <v>15081.02</v>
      </c>
      <c r="D1601" s="154" t="s">
        <v>97</v>
      </c>
      <c r="E1601" s="153"/>
      <c r="F1601" s="154"/>
      <c r="G1601" s="152" t="s">
        <v>315</v>
      </c>
      <c r="H1601" s="152" t="s">
        <v>106</v>
      </c>
      <c r="I1601" s="152"/>
    </row>
    <row r="1602" customFormat="false" ht="16.5" hidden="false" customHeight="true" outlineLevel="0" collapsed="false">
      <c r="A1602" s="151" t="n">
        <v>45994</v>
      </c>
      <c r="B1602" s="152"/>
      <c r="C1602" s="153" t="n">
        <v>-200.15</v>
      </c>
      <c r="D1602" s="154" t="s">
        <v>97</v>
      </c>
      <c r="E1602" s="153"/>
      <c r="F1602" s="154" t="s">
        <v>1565</v>
      </c>
      <c r="G1602" s="152" t="s">
        <v>190</v>
      </c>
      <c r="H1602" s="152" t="s">
        <v>107</v>
      </c>
      <c r="I1602" s="152"/>
    </row>
    <row r="1603" customFormat="false" ht="16.5" hidden="false" customHeight="true" outlineLevel="0" collapsed="false">
      <c r="A1603" s="151" t="n">
        <v>45994</v>
      </c>
      <c r="B1603" s="152" t="s">
        <v>60</v>
      </c>
      <c r="C1603" s="153" t="n">
        <v>2.86</v>
      </c>
      <c r="D1603" s="154" t="s">
        <v>97</v>
      </c>
      <c r="E1603" s="153"/>
      <c r="F1603" s="154"/>
      <c r="G1603" s="152" t="s">
        <v>315</v>
      </c>
      <c r="H1603" s="152" t="s">
        <v>107</v>
      </c>
      <c r="I1603" s="152"/>
    </row>
    <row r="1604" customFormat="false" ht="16.5" hidden="false" customHeight="true" outlineLevel="0" collapsed="false">
      <c r="A1604" s="151" t="n">
        <v>45995</v>
      </c>
      <c r="B1604" s="152" t="s">
        <v>1115</v>
      </c>
      <c r="C1604" s="160" t="n">
        <v>0</v>
      </c>
      <c r="D1604" s="154"/>
      <c r="E1604" s="160"/>
      <c r="F1604" s="154"/>
      <c r="G1604" s="152" t="s">
        <v>1116</v>
      </c>
      <c r="H1604" s="152"/>
      <c r="I1604" s="152"/>
    </row>
    <row r="1605" customFormat="false" ht="16.5" hidden="false" customHeight="true" outlineLevel="0" collapsed="false">
      <c r="A1605" s="151" t="n">
        <v>45985</v>
      </c>
      <c r="B1605" s="152" t="s">
        <v>1180</v>
      </c>
      <c r="C1605" s="153" t="n">
        <v>2.3</v>
      </c>
      <c r="D1605" s="154" t="s">
        <v>97</v>
      </c>
      <c r="E1605" s="153"/>
      <c r="F1605" s="154"/>
      <c r="G1605" s="152" t="s">
        <v>199</v>
      </c>
      <c r="H1605" s="152" t="s">
        <v>122</v>
      </c>
      <c r="I1605" s="152"/>
    </row>
    <row r="1606" customFormat="false" ht="16.5" hidden="false" customHeight="true" outlineLevel="0" collapsed="false">
      <c r="A1606" s="151" t="n">
        <v>45973</v>
      </c>
      <c r="B1606" s="152" t="s">
        <v>1567</v>
      </c>
      <c r="C1606" s="153" t="n">
        <v>168.83</v>
      </c>
      <c r="D1606" s="154" t="s">
        <v>97</v>
      </c>
      <c r="E1606" s="153"/>
      <c r="F1606" s="154"/>
      <c r="G1606" s="152" t="s">
        <v>199</v>
      </c>
      <c r="H1606" s="152" t="s">
        <v>122</v>
      </c>
      <c r="I1606" s="152"/>
    </row>
    <row r="1607" customFormat="false" ht="16.5" hidden="false" customHeight="true" outlineLevel="0" collapsed="false">
      <c r="A1607" s="151" t="n">
        <v>45993</v>
      </c>
      <c r="B1607" s="152" t="s">
        <v>589</v>
      </c>
      <c r="C1607" s="153" t="n">
        <v>1.55</v>
      </c>
      <c r="D1607" s="154" t="s">
        <v>97</v>
      </c>
      <c r="E1607" s="153"/>
      <c r="F1607" s="154"/>
      <c r="G1607" s="152" t="s">
        <v>199</v>
      </c>
      <c r="H1607" s="152" t="s">
        <v>122</v>
      </c>
      <c r="I1607" s="152"/>
    </row>
    <row r="1608" customFormat="false" ht="16.5" hidden="false" customHeight="true" outlineLevel="0" collapsed="false">
      <c r="A1608" s="151" t="n">
        <v>45953</v>
      </c>
      <c r="B1608" s="152" t="s">
        <v>60</v>
      </c>
      <c r="C1608" s="153" t="n">
        <v>101.7</v>
      </c>
      <c r="D1608" s="154" t="s">
        <v>97</v>
      </c>
      <c r="E1608" s="153"/>
      <c r="F1608" s="154"/>
      <c r="G1608" s="152" t="s">
        <v>315</v>
      </c>
      <c r="H1608" s="152" t="s">
        <v>109</v>
      </c>
      <c r="I1608" s="152"/>
    </row>
    <row r="1609" customFormat="false" ht="16.5" hidden="false" customHeight="true" outlineLevel="0" collapsed="false">
      <c r="A1609" s="151" t="n">
        <v>46000</v>
      </c>
      <c r="B1609" s="152" t="s">
        <v>60</v>
      </c>
      <c r="C1609" s="153" t="n">
        <v>10952.56</v>
      </c>
      <c r="D1609" s="154" t="s">
        <v>97</v>
      </c>
      <c r="E1609" s="153"/>
      <c r="F1609" s="154"/>
      <c r="G1609" s="152" t="s">
        <v>315</v>
      </c>
      <c r="H1609" s="152" t="s">
        <v>100</v>
      </c>
      <c r="I1609" s="152"/>
    </row>
    <row r="1610" customFormat="false" ht="16.5" hidden="false" customHeight="true" outlineLevel="0" collapsed="false">
      <c r="A1610" s="151" t="n">
        <v>46000</v>
      </c>
      <c r="B1610" s="152" t="s">
        <v>60</v>
      </c>
      <c r="C1610" s="153" t="n">
        <v>226.92</v>
      </c>
      <c r="D1610" s="154" t="s">
        <v>97</v>
      </c>
      <c r="E1610" s="153"/>
      <c r="F1610" s="154"/>
      <c r="G1610" s="152" t="s">
        <v>315</v>
      </c>
      <c r="H1610" s="152" t="s">
        <v>122</v>
      </c>
      <c r="I1610" s="152"/>
    </row>
    <row r="1611" customFormat="false" ht="16.5" hidden="false" customHeight="true" outlineLevel="0" collapsed="false">
      <c r="A1611" s="151" t="n">
        <v>46000</v>
      </c>
      <c r="B1611" s="152" t="s">
        <v>1115</v>
      </c>
      <c r="C1611" s="160" t="n">
        <v>0</v>
      </c>
      <c r="D1611" s="154"/>
      <c r="E1611" s="160"/>
      <c r="F1611" s="154"/>
      <c r="G1611" s="152" t="s">
        <v>1116</v>
      </c>
      <c r="H1611" s="152"/>
      <c r="I1611" s="152"/>
    </row>
    <row r="1612" customFormat="false" ht="16.5" hidden="false" customHeight="true" outlineLevel="0" collapsed="false">
      <c r="A1612" s="151" t="n">
        <v>45999</v>
      </c>
      <c r="B1612" s="152" t="s">
        <v>1568</v>
      </c>
      <c r="C1612" s="153" t="n">
        <v>-57.99</v>
      </c>
      <c r="D1612" s="154" t="s">
        <v>97</v>
      </c>
      <c r="E1612" s="153"/>
      <c r="F1612" s="154"/>
      <c r="G1612" s="152" t="s">
        <v>203</v>
      </c>
      <c r="H1612" s="152" t="s">
        <v>106</v>
      </c>
      <c r="I1612" s="152"/>
    </row>
    <row r="1613" customFormat="false" ht="16.5" hidden="false" customHeight="true" outlineLevel="0" collapsed="false">
      <c r="A1613" s="151" t="n">
        <v>45999</v>
      </c>
      <c r="B1613" s="152" t="s">
        <v>1569</v>
      </c>
      <c r="C1613" s="153" t="n">
        <v>-5.39</v>
      </c>
      <c r="D1613" s="154" t="s">
        <v>97</v>
      </c>
      <c r="E1613" s="153"/>
      <c r="F1613" s="154"/>
      <c r="G1613" s="152" t="s">
        <v>218</v>
      </c>
      <c r="H1613" s="152" t="s">
        <v>106</v>
      </c>
      <c r="I1613" s="152"/>
    </row>
    <row r="1614" customFormat="false" ht="16.5" hidden="false" customHeight="true" outlineLevel="0" collapsed="false">
      <c r="A1614" s="151" t="n">
        <v>45996</v>
      </c>
      <c r="B1614" s="152" t="s">
        <v>1570</v>
      </c>
      <c r="C1614" s="153" t="n">
        <v>-48.55</v>
      </c>
      <c r="D1614" s="154" t="s">
        <v>97</v>
      </c>
      <c r="E1614" s="153"/>
      <c r="F1614" s="154"/>
      <c r="G1614" s="152" t="s">
        <v>197</v>
      </c>
      <c r="H1614" s="152" t="s">
        <v>106</v>
      </c>
      <c r="I1614" s="152"/>
    </row>
    <row r="1615" customFormat="false" ht="16.5" hidden="false" customHeight="true" outlineLevel="0" collapsed="false">
      <c r="A1615" s="151" t="n">
        <v>45996</v>
      </c>
      <c r="B1615" s="152" t="s">
        <v>1571</v>
      </c>
      <c r="C1615" s="153" t="n">
        <v>99.97</v>
      </c>
      <c r="D1615" s="154" t="s">
        <v>97</v>
      </c>
      <c r="E1615" s="153"/>
      <c r="F1615" s="154" t="s">
        <v>1572</v>
      </c>
      <c r="G1615" s="152" t="s">
        <v>190</v>
      </c>
      <c r="H1615" s="152" t="s">
        <v>106</v>
      </c>
      <c r="I1615" s="152"/>
    </row>
    <row r="1616" customFormat="false" ht="16.5" hidden="false" customHeight="true" outlineLevel="0" collapsed="false">
      <c r="A1616" s="151" t="n">
        <v>45996</v>
      </c>
      <c r="B1616" s="152"/>
      <c r="C1616" s="153" t="n">
        <v>-99.97</v>
      </c>
      <c r="D1616" s="154" t="s">
        <v>97</v>
      </c>
      <c r="E1616" s="153"/>
      <c r="F1616" s="154" t="s">
        <v>1572</v>
      </c>
      <c r="G1616" s="152" t="s">
        <v>190</v>
      </c>
      <c r="H1616" s="152" t="s">
        <v>132</v>
      </c>
      <c r="I1616" s="152"/>
    </row>
    <row r="1617" customFormat="false" ht="16.5" hidden="false" customHeight="true" outlineLevel="0" collapsed="false">
      <c r="A1617" s="151" t="n">
        <v>45996</v>
      </c>
      <c r="B1617" s="152" t="s">
        <v>60</v>
      </c>
      <c r="C1617" s="153" t="n">
        <v>21393.36</v>
      </c>
      <c r="D1617" s="154" t="s">
        <v>97</v>
      </c>
      <c r="E1617" s="153"/>
      <c r="F1617" s="154"/>
      <c r="G1617" s="152" t="s">
        <v>315</v>
      </c>
      <c r="H1617" s="152" t="s">
        <v>132</v>
      </c>
      <c r="I1617" s="152"/>
    </row>
    <row r="1618" customFormat="false" ht="16.5" hidden="false" customHeight="true" outlineLevel="0" collapsed="false">
      <c r="A1618" s="151" t="n">
        <v>45995</v>
      </c>
      <c r="B1618" s="152" t="s">
        <v>1573</v>
      </c>
      <c r="C1618" s="153" t="n">
        <v>-0.84</v>
      </c>
      <c r="D1618" s="154" t="s">
        <v>97</v>
      </c>
      <c r="E1618" s="153"/>
      <c r="F1618" s="154"/>
      <c r="G1618" s="152" t="s">
        <v>222</v>
      </c>
      <c r="H1618" s="152" t="s">
        <v>106</v>
      </c>
      <c r="I1618" s="152"/>
    </row>
    <row r="1619" customFormat="false" ht="16.5" hidden="false" customHeight="true" outlineLevel="0" collapsed="false">
      <c r="A1619" s="151" t="n">
        <v>45995</v>
      </c>
      <c r="B1619" s="152" t="s">
        <v>1574</v>
      </c>
      <c r="C1619" s="153" t="n">
        <v>99.97</v>
      </c>
      <c r="D1619" s="154" t="s">
        <v>97</v>
      </c>
      <c r="E1619" s="153"/>
      <c r="F1619" s="154" t="s">
        <v>1575</v>
      </c>
      <c r="G1619" s="152" t="s">
        <v>190</v>
      </c>
      <c r="H1619" s="152" t="s">
        <v>106</v>
      </c>
      <c r="I1619" s="152"/>
    </row>
    <row r="1620" customFormat="false" ht="16.5" hidden="false" customHeight="true" outlineLevel="0" collapsed="false">
      <c r="A1620" s="151" t="n">
        <v>45995</v>
      </c>
      <c r="B1620" s="152"/>
      <c r="C1620" s="153" t="n">
        <v>-99.97</v>
      </c>
      <c r="D1620" s="154" t="s">
        <v>97</v>
      </c>
      <c r="E1620" s="153"/>
      <c r="F1620" s="154" t="s">
        <v>1575</v>
      </c>
      <c r="G1620" s="152" t="s">
        <v>190</v>
      </c>
      <c r="H1620" s="152" t="s">
        <v>133</v>
      </c>
      <c r="I1620" s="152"/>
    </row>
    <row r="1621" customFormat="false" ht="16.5" hidden="false" customHeight="true" outlineLevel="0" collapsed="false">
      <c r="A1621" s="151" t="n">
        <v>45995</v>
      </c>
      <c r="B1621" s="152" t="s">
        <v>60</v>
      </c>
      <c r="C1621" s="153" t="n">
        <v>8100.36</v>
      </c>
      <c r="D1621" s="154" t="s">
        <v>97</v>
      </c>
      <c r="E1621" s="153"/>
      <c r="F1621" s="154"/>
      <c r="G1621" s="152" t="s">
        <v>315</v>
      </c>
      <c r="H1621" s="152" t="s">
        <v>133</v>
      </c>
      <c r="I1621" s="152"/>
    </row>
    <row r="1622" customFormat="false" ht="16.5" hidden="false" customHeight="true" outlineLevel="0" collapsed="false">
      <c r="A1622" s="151" t="n">
        <v>45999</v>
      </c>
      <c r="B1622" s="152" t="s">
        <v>60</v>
      </c>
      <c r="C1622" s="153" t="n">
        <v>15168.19</v>
      </c>
      <c r="D1622" s="154" t="s">
        <v>97</v>
      </c>
      <c r="E1622" s="153"/>
      <c r="F1622" s="154"/>
      <c r="G1622" s="152" t="s">
        <v>315</v>
      </c>
      <c r="H1622" s="152" t="s">
        <v>106</v>
      </c>
      <c r="I1622" s="152"/>
    </row>
    <row r="1623" customFormat="false" ht="16.5" hidden="false" customHeight="true" outlineLevel="0" collapsed="false">
      <c r="A1623" s="151" t="n">
        <v>45992</v>
      </c>
      <c r="B1623" s="152" t="s">
        <v>1497</v>
      </c>
      <c r="C1623" s="153" t="n">
        <v>0</v>
      </c>
      <c r="D1623" s="154" t="s">
        <v>97</v>
      </c>
      <c r="E1623" s="153"/>
      <c r="F1623" s="154"/>
      <c r="G1623" s="152" t="s">
        <v>193</v>
      </c>
      <c r="H1623" s="152" t="s">
        <v>98</v>
      </c>
      <c r="I1623" s="152"/>
    </row>
    <row r="1624" customFormat="false" ht="16.5" hidden="false" customHeight="true" outlineLevel="0" collapsed="false">
      <c r="A1624" s="151" t="n">
        <v>46000</v>
      </c>
      <c r="B1624" s="152" t="s">
        <v>60</v>
      </c>
      <c r="C1624" s="153" t="n">
        <v>18122.24</v>
      </c>
      <c r="D1624" s="154" t="s">
        <v>97</v>
      </c>
      <c r="E1624" s="153"/>
      <c r="F1624" s="154"/>
      <c r="G1624" s="152" t="s">
        <v>315</v>
      </c>
      <c r="H1624" s="152" t="s">
        <v>98</v>
      </c>
      <c r="I1624" s="152"/>
    </row>
    <row r="1625" customFormat="false" ht="16.5" hidden="false" customHeight="true" outlineLevel="0" collapsed="false">
      <c r="A1625" s="151" t="n">
        <v>46000</v>
      </c>
      <c r="B1625" s="152" t="s">
        <v>1115</v>
      </c>
      <c r="C1625" s="160" t="n">
        <v>0</v>
      </c>
      <c r="D1625" s="154"/>
      <c r="E1625" s="160"/>
      <c r="F1625" s="154"/>
      <c r="G1625" s="152" t="s">
        <v>1116</v>
      </c>
      <c r="H1625" s="152"/>
      <c r="I1625" s="152"/>
    </row>
    <row r="1626" customFormat="false" ht="16.5" hidden="false" customHeight="true" outlineLevel="0" collapsed="false">
      <c r="A1626" s="151" t="n">
        <v>46000</v>
      </c>
      <c r="B1626" s="152" t="s">
        <v>1576</v>
      </c>
      <c r="C1626" s="153" t="n">
        <v>248.36</v>
      </c>
      <c r="D1626" s="154" t="s">
        <v>97</v>
      </c>
      <c r="E1626" s="153"/>
      <c r="F1626" s="154"/>
      <c r="G1626" s="152" t="s">
        <v>198</v>
      </c>
      <c r="H1626" s="152" t="s">
        <v>106</v>
      </c>
      <c r="I1626" s="152"/>
    </row>
    <row r="1627" customFormat="false" ht="16.5" hidden="false" customHeight="true" outlineLevel="0" collapsed="false">
      <c r="A1627" s="151" t="n">
        <v>46000</v>
      </c>
      <c r="B1627" s="152" t="s">
        <v>1577</v>
      </c>
      <c r="C1627" s="153" t="n">
        <v>274.42</v>
      </c>
      <c r="D1627" s="154" t="s">
        <v>97</v>
      </c>
      <c r="E1627" s="153"/>
      <c r="F1627" s="154"/>
      <c r="G1627" s="152" t="s">
        <v>215</v>
      </c>
      <c r="H1627" s="152" t="s">
        <v>106</v>
      </c>
      <c r="I1627" s="152"/>
    </row>
    <row r="1628" customFormat="false" ht="16.5" hidden="false" customHeight="true" outlineLevel="0" collapsed="false">
      <c r="A1628" s="151" t="n">
        <v>46000</v>
      </c>
      <c r="B1628" s="152" t="s">
        <v>60</v>
      </c>
      <c r="C1628" s="153" t="n">
        <v>15690.97</v>
      </c>
      <c r="D1628" s="154" t="s">
        <v>97</v>
      </c>
      <c r="E1628" s="153"/>
      <c r="F1628" s="154"/>
      <c r="G1628" s="152" t="s">
        <v>315</v>
      </c>
      <c r="H1628" s="152" t="s">
        <v>106</v>
      </c>
      <c r="I1628" s="152"/>
    </row>
    <row r="1629" customFormat="false" ht="16.5" hidden="false" customHeight="true" outlineLevel="0" collapsed="false">
      <c r="A1629" s="151" t="n">
        <v>46000</v>
      </c>
      <c r="B1629" s="152" t="s">
        <v>1115</v>
      </c>
      <c r="C1629" s="160" t="n">
        <v>0</v>
      </c>
      <c r="D1629" s="154"/>
      <c r="E1629" s="160"/>
      <c r="F1629" s="154"/>
      <c r="G1629" s="152" t="s">
        <v>1116</v>
      </c>
      <c r="H1629" s="152"/>
      <c r="I1629" s="152"/>
    </row>
    <row r="1630" customFormat="false" ht="16.5" hidden="false" customHeight="true" outlineLevel="0" collapsed="false">
      <c r="A1630" s="151" t="n">
        <v>46001</v>
      </c>
      <c r="B1630" s="152" t="s">
        <v>1578</v>
      </c>
      <c r="C1630" s="153" t="n">
        <v>-16.82</v>
      </c>
      <c r="D1630" s="154" t="s">
        <v>97</v>
      </c>
      <c r="E1630" s="153"/>
      <c r="F1630" s="154"/>
      <c r="G1630" s="152" t="s">
        <v>212</v>
      </c>
      <c r="H1630" s="152" t="s">
        <v>106</v>
      </c>
      <c r="I1630" s="152"/>
    </row>
    <row r="1631" customFormat="false" ht="16.5" hidden="false" customHeight="true" outlineLevel="0" collapsed="false">
      <c r="A1631" s="151" t="n">
        <v>46001</v>
      </c>
      <c r="B1631" s="152" t="s">
        <v>60</v>
      </c>
      <c r="C1631" s="153" t="n">
        <v>15674.15</v>
      </c>
      <c r="D1631" s="154" t="s">
        <v>97</v>
      </c>
      <c r="E1631" s="153"/>
      <c r="F1631" s="154"/>
      <c r="G1631" s="152" t="s">
        <v>315</v>
      </c>
      <c r="H1631" s="152" t="s">
        <v>106</v>
      </c>
      <c r="I1631" s="152"/>
    </row>
    <row r="1632" customFormat="false" ht="16.5" hidden="false" customHeight="true" outlineLevel="0" collapsed="false">
      <c r="A1632" s="151" t="n">
        <v>46000</v>
      </c>
      <c r="B1632" s="152" t="s">
        <v>1115</v>
      </c>
      <c r="C1632" s="160" t="n">
        <v>0</v>
      </c>
      <c r="D1632" s="154"/>
      <c r="E1632" s="160"/>
      <c r="F1632" s="154"/>
      <c r="G1632" s="152" t="s">
        <v>1116</v>
      </c>
      <c r="H1632" s="152"/>
      <c r="I1632" s="152"/>
    </row>
    <row r="1633" customFormat="false" ht="16.5" hidden="false" customHeight="true" outlineLevel="0" collapsed="false">
      <c r="A1633" s="151" t="n">
        <v>45995</v>
      </c>
      <c r="B1633" s="152" t="s">
        <v>1031</v>
      </c>
      <c r="C1633" s="153" t="n">
        <v>7.6</v>
      </c>
      <c r="D1633" s="154" t="s">
        <v>97</v>
      </c>
      <c r="E1633" s="153"/>
      <c r="F1633" s="154"/>
      <c r="G1633" s="152" t="s">
        <v>199</v>
      </c>
      <c r="H1633" s="152" t="s">
        <v>121</v>
      </c>
      <c r="I1633" s="152"/>
    </row>
    <row r="1634" customFormat="false" ht="16.5" hidden="false" customHeight="true" outlineLevel="0" collapsed="false">
      <c r="A1634" s="151" t="n">
        <v>45995</v>
      </c>
      <c r="B1634" s="152" t="s">
        <v>1032</v>
      </c>
      <c r="C1634" s="153" t="n">
        <v>-1.9</v>
      </c>
      <c r="D1634" s="154" t="s">
        <v>97</v>
      </c>
      <c r="E1634" s="153"/>
      <c r="F1634" s="154"/>
      <c r="G1634" s="152" t="s">
        <v>171</v>
      </c>
      <c r="H1634" s="152" t="s">
        <v>121</v>
      </c>
      <c r="I1634" s="152"/>
    </row>
    <row r="1635" customFormat="false" ht="16.5" hidden="false" customHeight="true" outlineLevel="0" collapsed="false">
      <c r="A1635" s="151" t="n">
        <v>45736</v>
      </c>
      <c r="B1635" s="152" t="s">
        <v>791</v>
      </c>
      <c r="C1635" s="153" t="n">
        <v>0.06</v>
      </c>
      <c r="D1635" s="154" t="s">
        <v>97</v>
      </c>
      <c r="E1635" s="153"/>
      <c r="F1635" s="154"/>
      <c r="G1635" s="152" t="s">
        <v>204</v>
      </c>
      <c r="H1635" s="152" t="s">
        <v>121</v>
      </c>
      <c r="I1635" s="152"/>
    </row>
    <row r="1636" customFormat="false" ht="16.5" hidden="false" customHeight="true" outlineLevel="0" collapsed="false">
      <c r="A1636" s="151" t="n">
        <v>45722</v>
      </c>
      <c r="B1636" s="152" t="s">
        <v>776</v>
      </c>
      <c r="C1636" s="153" t="n">
        <v>2.02</v>
      </c>
      <c r="D1636" s="154" t="s">
        <v>97</v>
      </c>
      <c r="E1636" s="153"/>
      <c r="F1636" s="154"/>
      <c r="G1636" s="152" t="s">
        <v>204</v>
      </c>
      <c r="H1636" s="152" t="s">
        <v>121</v>
      </c>
      <c r="I1636" s="152"/>
    </row>
    <row r="1637" customFormat="false" ht="16.5" hidden="false" customHeight="true" outlineLevel="0" collapsed="false">
      <c r="A1637" s="151" t="n">
        <v>45736</v>
      </c>
      <c r="B1637" s="152" t="s">
        <v>791</v>
      </c>
      <c r="C1637" s="153" t="n">
        <v>-0.06</v>
      </c>
      <c r="D1637" s="154" t="s">
        <v>97</v>
      </c>
      <c r="E1637" s="153"/>
      <c r="F1637" s="154"/>
      <c r="G1637" s="152" t="s">
        <v>204</v>
      </c>
      <c r="H1637" s="152" t="s">
        <v>121</v>
      </c>
      <c r="I1637" s="152"/>
    </row>
    <row r="1638" customFormat="false" ht="16.5" hidden="false" customHeight="true" outlineLevel="0" collapsed="false">
      <c r="A1638" s="151" t="n">
        <v>45722</v>
      </c>
      <c r="B1638" s="152" t="s">
        <v>776</v>
      </c>
      <c r="C1638" s="153" t="n">
        <v>-2.02</v>
      </c>
      <c r="D1638" s="154" t="s">
        <v>97</v>
      </c>
      <c r="E1638" s="153"/>
      <c r="F1638" s="154"/>
      <c r="G1638" s="152" t="s">
        <v>204</v>
      </c>
      <c r="H1638" s="152" t="s">
        <v>121</v>
      </c>
      <c r="I1638" s="152"/>
    </row>
    <row r="1639" customFormat="false" ht="16.5" hidden="false" customHeight="true" outlineLevel="0" collapsed="false">
      <c r="A1639" s="151" t="n">
        <v>46004</v>
      </c>
      <c r="B1639" s="152" t="s">
        <v>60</v>
      </c>
      <c r="C1639" s="153" t="n">
        <v>1894.26</v>
      </c>
      <c r="D1639" s="154" t="s">
        <v>97</v>
      </c>
      <c r="E1639" s="153"/>
      <c r="F1639" s="154"/>
      <c r="G1639" s="152" t="s">
        <v>315</v>
      </c>
      <c r="H1639" s="152" t="s">
        <v>101</v>
      </c>
      <c r="I1639" s="152"/>
    </row>
    <row r="1640" customFormat="false" ht="16.5" hidden="false" customHeight="true" outlineLevel="0" collapsed="false">
      <c r="A1640" s="151" t="n">
        <v>46004</v>
      </c>
      <c r="B1640" s="152" t="s">
        <v>60</v>
      </c>
      <c r="C1640" s="153" t="n">
        <v>23.22</v>
      </c>
      <c r="D1640" s="154" t="s">
        <v>97</v>
      </c>
      <c r="E1640" s="153"/>
      <c r="F1640" s="154"/>
      <c r="G1640" s="152" t="s">
        <v>315</v>
      </c>
      <c r="H1640" s="152" t="s">
        <v>121</v>
      </c>
      <c r="I1640" s="152"/>
    </row>
    <row r="1641" customFormat="false" ht="16.5" hidden="false" customHeight="true" outlineLevel="0" collapsed="false">
      <c r="A1641" s="151" t="n">
        <v>46004</v>
      </c>
      <c r="B1641" s="152" t="s">
        <v>1115</v>
      </c>
      <c r="C1641" s="160" t="n">
        <v>0</v>
      </c>
      <c r="D1641" s="154"/>
      <c r="E1641" s="160"/>
      <c r="F1641" s="154"/>
      <c r="G1641" s="152" t="s">
        <v>1116</v>
      </c>
      <c r="H1641" s="152"/>
      <c r="I1641" s="152"/>
    </row>
    <row r="1642" customFormat="false" ht="16.5" hidden="false" customHeight="true" outlineLevel="0" collapsed="false">
      <c r="A1642" s="151" t="n">
        <v>46003</v>
      </c>
      <c r="B1642" s="152" t="s">
        <v>1579</v>
      </c>
      <c r="C1642" s="153" t="n">
        <v>-8.58</v>
      </c>
      <c r="D1642" s="154" t="s">
        <v>97</v>
      </c>
      <c r="E1642" s="153"/>
      <c r="F1642" s="154"/>
      <c r="G1642" s="152" t="s">
        <v>217</v>
      </c>
      <c r="H1642" s="152" t="s">
        <v>106</v>
      </c>
      <c r="I1642" s="152"/>
    </row>
    <row r="1643" customFormat="false" ht="16.5" hidden="false" customHeight="true" outlineLevel="0" collapsed="false">
      <c r="A1643" s="151" t="n">
        <v>46002</v>
      </c>
      <c r="B1643" s="152" t="s">
        <v>1580</v>
      </c>
      <c r="C1643" s="153" t="n">
        <v>-24.8</v>
      </c>
      <c r="D1643" s="154" t="s">
        <v>97</v>
      </c>
      <c r="E1643" s="153"/>
      <c r="F1643" s="154"/>
      <c r="G1643" s="152" t="s">
        <v>164</v>
      </c>
      <c r="H1643" s="152" t="s">
        <v>106</v>
      </c>
      <c r="I1643" s="152"/>
    </row>
    <row r="1644" customFormat="false" ht="16.5" hidden="false" customHeight="true" outlineLevel="0" collapsed="false">
      <c r="A1644" s="151" t="n">
        <v>46003</v>
      </c>
      <c r="B1644" s="152" t="s">
        <v>60</v>
      </c>
      <c r="C1644" s="153" t="n">
        <v>15640.77</v>
      </c>
      <c r="D1644" s="154" t="s">
        <v>97</v>
      </c>
      <c r="E1644" s="153"/>
      <c r="F1644" s="154"/>
      <c r="G1644" s="152" t="s">
        <v>315</v>
      </c>
      <c r="H1644" s="152" t="s">
        <v>106</v>
      </c>
      <c r="I1644" s="152"/>
    </row>
    <row r="1645" customFormat="false" ht="16.5" hidden="false" customHeight="true" outlineLevel="0" collapsed="false">
      <c r="A1645" s="151" t="n">
        <v>45988</v>
      </c>
      <c r="B1645" s="152" t="s">
        <v>593</v>
      </c>
      <c r="C1645" s="153" t="n">
        <v>1.65</v>
      </c>
      <c r="D1645" s="154" t="s">
        <v>97</v>
      </c>
      <c r="E1645" s="153"/>
      <c r="F1645" s="154"/>
      <c r="G1645" s="152" t="s">
        <v>199</v>
      </c>
      <c r="H1645" s="152" t="s">
        <v>122</v>
      </c>
      <c r="I1645" s="152"/>
    </row>
    <row r="1646" customFormat="false" ht="16.5" hidden="false" customHeight="true" outlineLevel="0" collapsed="false">
      <c r="A1646" s="151" t="n">
        <v>46004</v>
      </c>
      <c r="B1646" s="152" t="s">
        <v>60</v>
      </c>
      <c r="C1646" s="153" t="n">
        <v>228.57</v>
      </c>
      <c r="D1646" s="154" t="s">
        <v>97</v>
      </c>
      <c r="E1646" s="153"/>
      <c r="F1646" s="154"/>
      <c r="G1646" s="152" t="s">
        <v>315</v>
      </c>
      <c r="H1646" s="152" t="s">
        <v>122</v>
      </c>
      <c r="I1646" s="152"/>
    </row>
    <row r="1647" customFormat="false" ht="16.5" hidden="false" customHeight="true" outlineLevel="0" collapsed="false">
      <c r="A1647" s="151" t="n">
        <v>46004</v>
      </c>
      <c r="B1647" s="152" t="s">
        <v>60</v>
      </c>
      <c r="C1647" s="153" t="n">
        <v>10974.14</v>
      </c>
      <c r="D1647" s="154" t="s">
        <v>97</v>
      </c>
      <c r="E1647" s="153"/>
      <c r="F1647" s="154"/>
      <c r="G1647" s="152" t="s">
        <v>315</v>
      </c>
      <c r="H1647" s="152" t="s">
        <v>100</v>
      </c>
      <c r="I1647" s="152"/>
    </row>
    <row r="1648" customFormat="false" ht="16.5" hidden="false" customHeight="true" outlineLevel="0" collapsed="false">
      <c r="A1648" s="151" t="n">
        <v>46005</v>
      </c>
      <c r="B1648" s="152" t="s">
        <v>1115</v>
      </c>
      <c r="C1648" s="160" t="n">
        <v>0</v>
      </c>
      <c r="D1648" s="154"/>
      <c r="E1648" s="160"/>
      <c r="F1648" s="154"/>
      <c r="G1648" s="152" t="s">
        <v>1116</v>
      </c>
      <c r="H1648" s="152"/>
      <c r="I1648" s="152"/>
    </row>
    <row r="1649" customFormat="false" ht="16.5" hidden="false" customHeight="true" outlineLevel="0" collapsed="false">
      <c r="A1649" s="151" t="n">
        <v>46006</v>
      </c>
      <c r="B1649" s="152" t="s">
        <v>1581</v>
      </c>
      <c r="C1649" s="153" t="n">
        <v>-66.63</v>
      </c>
      <c r="D1649" s="154" t="s">
        <v>97</v>
      </c>
      <c r="E1649" s="153"/>
      <c r="F1649" s="154"/>
      <c r="G1649" s="152" t="s">
        <v>171</v>
      </c>
      <c r="H1649" s="152" t="s">
        <v>106</v>
      </c>
      <c r="I1649" s="152"/>
    </row>
    <row r="1650" customFormat="false" ht="16.5" hidden="false" customHeight="true" outlineLevel="0" collapsed="false">
      <c r="A1650" s="151" t="n">
        <v>46006</v>
      </c>
      <c r="B1650" s="152" t="s">
        <v>1582</v>
      </c>
      <c r="C1650" s="153" t="n">
        <v>-29.73</v>
      </c>
      <c r="D1650" s="154" t="s">
        <v>97</v>
      </c>
      <c r="E1650" s="153"/>
      <c r="F1650" s="154"/>
      <c r="G1650" s="152" t="s">
        <v>197</v>
      </c>
      <c r="H1650" s="152" t="s">
        <v>106</v>
      </c>
      <c r="I1650" s="152"/>
    </row>
    <row r="1651" customFormat="false" ht="16.5" hidden="false" customHeight="true" outlineLevel="0" collapsed="false">
      <c r="A1651" s="151" t="n">
        <v>46006</v>
      </c>
      <c r="B1651" s="152" t="s">
        <v>60</v>
      </c>
      <c r="C1651" s="153" t="n">
        <v>15544.41</v>
      </c>
      <c r="D1651" s="154" t="s">
        <v>97</v>
      </c>
      <c r="E1651" s="153"/>
      <c r="F1651" s="154"/>
      <c r="G1651" s="152" t="s">
        <v>315</v>
      </c>
      <c r="H1651" s="152" t="s">
        <v>106</v>
      </c>
      <c r="I1651" s="152"/>
    </row>
    <row r="1652" customFormat="false" ht="16.5" hidden="false" customHeight="true" outlineLevel="0" collapsed="false">
      <c r="A1652" s="151" t="n">
        <v>46008</v>
      </c>
      <c r="B1652" s="152" t="s">
        <v>1115</v>
      </c>
      <c r="C1652" s="160" t="n">
        <v>0</v>
      </c>
      <c r="D1652" s="154"/>
      <c r="E1652" s="160"/>
      <c r="F1652" s="154"/>
      <c r="G1652" s="152" t="s">
        <v>1116</v>
      </c>
      <c r="H1652" s="152"/>
      <c r="I1652" s="152"/>
    </row>
    <row r="1653" customFormat="false" ht="16.5" hidden="false" customHeight="true" outlineLevel="0" collapsed="false">
      <c r="A1653" s="151" t="n">
        <v>46012</v>
      </c>
      <c r="B1653" s="152" t="s">
        <v>60</v>
      </c>
      <c r="C1653" s="153" t="n">
        <v>-0.45</v>
      </c>
      <c r="D1653" s="154" t="s">
        <v>97</v>
      </c>
      <c r="E1653" s="153"/>
      <c r="F1653" s="154"/>
      <c r="G1653" s="152" t="s">
        <v>315</v>
      </c>
      <c r="H1653" s="152" t="s">
        <v>116</v>
      </c>
      <c r="I1653" s="152"/>
    </row>
    <row r="1654" customFormat="false" ht="16.5" hidden="false" customHeight="true" outlineLevel="0" collapsed="false">
      <c r="A1654" s="151" t="n">
        <v>46012</v>
      </c>
      <c r="B1654" s="152" t="s">
        <v>60</v>
      </c>
      <c r="C1654" s="159" t="n">
        <v>65.07</v>
      </c>
      <c r="D1654" s="154" t="s">
        <v>103</v>
      </c>
      <c r="E1654" s="153"/>
      <c r="F1654" s="154"/>
      <c r="G1654" s="152" t="s">
        <v>315</v>
      </c>
      <c r="H1654" s="152" t="s">
        <v>131</v>
      </c>
      <c r="I1654" s="152"/>
    </row>
    <row r="1655" customFormat="false" ht="16.5" hidden="false" customHeight="true" outlineLevel="0" collapsed="false">
      <c r="A1655" s="151" t="n">
        <v>46010</v>
      </c>
      <c r="B1655" s="152" t="s">
        <v>1583</v>
      </c>
      <c r="C1655" s="153" t="n">
        <v>-4.58</v>
      </c>
      <c r="D1655" s="154" t="s">
        <v>97</v>
      </c>
      <c r="E1655" s="153"/>
      <c r="F1655" s="154"/>
      <c r="G1655" s="152" t="s">
        <v>221</v>
      </c>
      <c r="H1655" s="152" t="s">
        <v>106</v>
      </c>
      <c r="I1655" s="152"/>
    </row>
    <row r="1656" customFormat="false" ht="16.5" hidden="false" customHeight="true" outlineLevel="0" collapsed="false">
      <c r="A1656" s="151" t="n">
        <v>46007</v>
      </c>
      <c r="B1656" s="152" t="s">
        <v>1584</v>
      </c>
      <c r="C1656" s="153" t="n">
        <v>-1.6</v>
      </c>
      <c r="D1656" s="154" t="s">
        <v>97</v>
      </c>
      <c r="E1656" s="153"/>
      <c r="F1656" s="154"/>
      <c r="G1656" s="152" t="s">
        <v>207</v>
      </c>
      <c r="H1656" s="152" t="s">
        <v>106</v>
      </c>
      <c r="I1656" s="152"/>
    </row>
    <row r="1657" customFormat="false" ht="16.5" hidden="false" customHeight="true" outlineLevel="0" collapsed="false">
      <c r="A1657" s="151" t="n">
        <v>46007</v>
      </c>
      <c r="B1657" s="152" t="s">
        <v>1585</v>
      </c>
      <c r="C1657" s="153" t="n">
        <v>-59.99</v>
      </c>
      <c r="D1657" s="154" t="s">
        <v>97</v>
      </c>
      <c r="E1657" s="153"/>
      <c r="F1657" s="154" t="s">
        <v>1586</v>
      </c>
      <c r="G1657" s="152" t="s">
        <v>190</v>
      </c>
      <c r="H1657" s="152" t="s">
        <v>106</v>
      </c>
      <c r="I1657" s="152"/>
    </row>
    <row r="1658" customFormat="false" ht="16.5" hidden="false" customHeight="true" outlineLevel="0" collapsed="false">
      <c r="A1658" s="151" t="n">
        <v>46007</v>
      </c>
      <c r="B1658" s="152"/>
      <c r="C1658" s="153" t="n">
        <v>59.99</v>
      </c>
      <c r="D1658" s="154" t="s">
        <v>97</v>
      </c>
      <c r="E1658" s="153"/>
      <c r="F1658" s="154" t="s">
        <v>1586</v>
      </c>
      <c r="G1658" s="152" t="s">
        <v>190</v>
      </c>
      <c r="H1658" s="152" t="s">
        <v>108</v>
      </c>
      <c r="I1658" s="152"/>
    </row>
    <row r="1659" customFormat="false" ht="16.5" hidden="false" customHeight="true" outlineLevel="0" collapsed="false">
      <c r="A1659" s="151" t="n">
        <v>46007</v>
      </c>
      <c r="B1659" s="152" t="s">
        <v>60</v>
      </c>
      <c r="C1659" s="153" t="n">
        <v>240.06</v>
      </c>
      <c r="D1659" s="154" t="s">
        <v>97</v>
      </c>
      <c r="E1659" s="153"/>
      <c r="F1659" s="154"/>
      <c r="G1659" s="152" t="s">
        <v>315</v>
      </c>
      <c r="H1659" s="152" t="s">
        <v>108</v>
      </c>
      <c r="I1659" s="152"/>
    </row>
    <row r="1660" customFormat="false" ht="16.5" hidden="false" customHeight="true" outlineLevel="0" collapsed="false">
      <c r="A1660" s="151" t="n">
        <v>46010</v>
      </c>
      <c r="B1660" s="152" t="s">
        <v>60</v>
      </c>
      <c r="C1660" s="153" t="n">
        <v>15478.24</v>
      </c>
      <c r="D1660" s="154" t="s">
        <v>97</v>
      </c>
      <c r="E1660" s="153"/>
      <c r="F1660" s="154"/>
      <c r="G1660" s="152" t="s">
        <v>315</v>
      </c>
      <c r="H1660" s="152" t="s">
        <v>106</v>
      </c>
      <c r="I1660" s="152"/>
    </row>
    <row r="1661" customFormat="false" ht="16.5" hidden="false" customHeight="true" outlineLevel="0" collapsed="false">
      <c r="A1661" s="151" t="n">
        <v>46014</v>
      </c>
      <c r="B1661" s="152" t="s">
        <v>1115</v>
      </c>
      <c r="C1661" s="160" t="n">
        <v>0</v>
      </c>
      <c r="D1661" s="154"/>
      <c r="E1661" s="160"/>
      <c r="F1661" s="154"/>
      <c r="G1661" s="152" t="s">
        <v>1116</v>
      </c>
      <c r="H1661" s="152"/>
      <c r="I1661" s="152"/>
    </row>
    <row r="1662" customFormat="false" ht="16.5" hidden="false" customHeight="true" outlineLevel="0" collapsed="false">
      <c r="A1662" s="151" t="n">
        <v>46010</v>
      </c>
      <c r="B1662" s="152" t="s">
        <v>483</v>
      </c>
      <c r="C1662" s="153" t="n">
        <v>4.16</v>
      </c>
      <c r="D1662" s="154" t="s">
        <v>97</v>
      </c>
      <c r="E1662" s="153"/>
      <c r="F1662" s="154"/>
      <c r="G1662" s="152" t="s">
        <v>199</v>
      </c>
      <c r="H1662" s="152" t="s">
        <v>122</v>
      </c>
      <c r="I1662" s="152"/>
    </row>
    <row r="1663" customFormat="false" ht="16.5" hidden="false" customHeight="true" outlineLevel="0" collapsed="false">
      <c r="A1663" s="151" t="n">
        <v>45951</v>
      </c>
      <c r="B1663" s="152" t="s">
        <v>594</v>
      </c>
      <c r="C1663" s="153" t="n">
        <v>1.01</v>
      </c>
      <c r="D1663" s="154" t="s">
        <v>97</v>
      </c>
      <c r="E1663" s="153"/>
      <c r="F1663" s="154"/>
      <c r="G1663" s="152" t="s">
        <v>199</v>
      </c>
      <c r="H1663" s="152" t="s">
        <v>122</v>
      </c>
      <c r="I1663" s="152"/>
    </row>
    <row r="1664" customFormat="false" ht="16.5" hidden="false" customHeight="true" outlineLevel="0" collapsed="false">
      <c r="A1664" s="151" t="n">
        <v>46018</v>
      </c>
      <c r="B1664" s="152" t="s">
        <v>60</v>
      </c>
      <c r="C1664" s="153" t="n">
        <v>11032.55</v>
      </c>
      <c r="D1664" s="154" t="s">
        <v>97</v>
      </c>
      <c r="E1664" s="153"/>
      <c r="F1664" s="154"/>
      <c r="G1664" s="152" t="s">
        <v>315</v>
      </c>
      <c r="H1664" s="152" t="s">
        <v>100</v>
      </c>
      <c r="I1664" s="152"/>
    </row>
    <row r="1665" customFormat="false" ht="16.5" hidden="false" customHeight="true" outlineLevel="0" collapsed="false">
      <c r="A1665" s="151" t="n">
        <v>46018</v>
      </c>
      <c r="B1665" s="152" t="s">
        <v>60</v>
      </c>
      <c r="C1665" s="153" t="n">
        <v>233.73</v>
      </c>
      <c r="D1665" s="154" t="s">
        <v>97</v>
      </c>
      <c r="E1665" s="153"/>
      <c r="F1665" s="154"/>
      <c r="G1665" s="152" t="s">
        <v>315</v>
      </c>
      <c r="H1665" s="152" t="s">
        <v>122</v>
      </c>
      <c r="I1665" s="152"/>
    </row>
    <row r="1666" customFormat="false" ht="16.5" hidden="false" customHeight="true" outlineLevel="0" collapsed="false">
      <c r="A1666" s="151" t="n">
        <v>46014</v>
      </c>
      <c r="B1666" s="152" t="s">
        <v>1587</v>
      </c>
      <c r="C1666" s="159" t="n">
        <v>2.09</v>
      </c>
      <c r="D1666" s="154" t="s">
        <v>103</v>
      </c>
      <c r="E1666" s="153"/>
      <c r="F1666" s="154"/>
      <c r="G1666" s="152" t="s">
        <v>199</v>
      </c>
      <c r="H1666" s="152" t="s">
        <v>131</v>
      </c>
      <c r="I1666" s="152"/>
    </row>
    <row r="1667" customFormat="false" ht="16.5" hidden="false" customHeight="true" outlineLevel="0" collapsed="false">
      <c r="A1667" s="151" t="n">
        <v>46018</v>
      </c>
      <c r="B1667" s="152" t="s">
        <v>60</v>
      </c>
      <c r="C1667" s="159" t="n">
        <v>67.16</v>
      </c>
      <c r="D1667" s="154" t="s">
        <v>103</v>
      </c>
      <c r="E1667" s="153"/>
      <c r="F1667" s="154"/>
      <c r="G1667" s="152" t="s">
        <v>315</v>
      </c>
      <c r="H1667" s="152" t="s">
        <v>131</v>
      </c>
      <c r="I1667" s="152"/>
    </row>
    <row r="1668" customFormat="false" ht="16.5" hidden="false" customHeight="true" outlineLevel="0" collapsed="false">
      <c r="A1668" s="151" t="n">
        <v>46018</v>
      </c>
      <c r="B1668" s="152" t="s">
        <v>1115</v>
      </c>
      <c r="C1668" s="160" t="n">
        <v>0</v>
      </c>
      <c r="D1668" s="154"/>
      <c r="E1668" s="160"/>
      <c r="F1668" s="154"/>
      <c r="G1668" s="152" t="s">
        <v>1116</v>
      </c>
      <c r="H1668" s="152"/>
      <c r="I1668" s="152"/>
    </row>
    <row r="1669" customFormat="false" ht="16.5" hidden="false" customHeight="true" outlineLevel="0" collapsed="false">
      <c r="A1669" s="151" t="n">
        <v>45965</v>
      </c>
      <c r="B1669" s="152" t="s">
        <v>692</v>
      </c>
      <c r="C1669" s="153" t="n">
        <v>-0.17</v>
      </c>
      <c r="D1669" s="154" t="s">
        <v>97</v>
      </c>
      <c r="E1669" s="153"/>
      <c r="F1669" s="154"/>
      <c r="G1669" s="152" t="s">
        <v>204</v>
      </c>
      <c r="H1669" s="152" t="s">
        <v>117</v>
      </c>
      <c r="I1669" s="152"/>
    </row>
    <row r="1670" customFormat="false" ht="16.5" hidden="false" customHeight="true" outlineLevel="0" collapsed="false">
      <c r="A1670" s="151" t="n">
        <v>45994</v>
      </c>
      <c r="B1670" s="152" t="s">
        <v>692</v>
      </c>
      <c r="C1670" s="153" t="n">
        <v>0</v>
      </c>
      <c r="D1670" s="154" t="s">
        <v>97</v>
      </c>
      <c r="E1670" s="153"/>
      <c r="F1670" s="154"/>
      <c r="G1670" s="152" t="s">
        <v>204</v>
      </c>
      <c r="H1670" s="152" t="s">
        <v>117</v>
      </c>
      <c r="I1670" s="152"/>
    </row>
    <row r="1671" customFormat="false" ht="16.5" hidden="false" customHeight="true" outlineLevel="0" collapsed="false">
      <c r="A1671" s="151" t="n">
        <v>45994</v>
      </c>
      <c r="B1671" s="152" t="s">
        <v>1588</v>
      </c>
      <c r="C1671" s="153" t="n">
        <v>396.56</v>
      </c>
      <c r="D1671" s="154" t="s">
        <v>97</v>
      </c>
      <c r="E1671" s="153"/>
      <c r="F1671" s="154"/>
      <c r="G1671" s="152" t="s">
        <v>315</v>
      </c>
      <c r="H1671" s="152" t="s">
        <v>117</v>
      </c>
      <c r="I1671" s="152"/>
    </row>
    <row r="1672" customFormat="false" ht="16.5" hidden="false" customHeight="true" outlineLevel="0" collapsed="false">
      <c r="A1672" s="151" t="n">
        <v>45965</v>
      </c>
      <c r="B1672" s="152" t="s">
        <v>692</v>
      </c>
      <c r="C1672" s="159" t="n">
        <v>-1.09</v>
      </c>
      <c r="D1672" s="154" t="s">
        <v>103</v>
      </c>
      <c r="E1672" s="153"/>
      <c r="F1672" s="154"/>
      <c r="G1672" s="152" t="s">
        <v>204</v>
      </c>
      <c r="H1672" s="152" t="s">
        <v>125</v>
      </c>
      <c r="I1672" s="152"/>
    </row>
    <row r="1673" customFormat="false" ht="16.5" hidden="false" customHeight="true" outlineLevel="0" collapsed="false">
      <c r="A1673" s="151" t="n">
        <v>45994</v>
      </c>
      <c r="B1673" s="152" t="s">
        <v>692</v>
      </c>
      <c r="C1673" s="159" t="n">
        <v>-0.7</v>
      </c>
      <c r="D1673" s="154" t="s">
        <v>103</v>
      </c>
      <c r="E1673" s="153"/>
      <c r="F1673" s="154"/>
      <c r="G1673" s="152" t="s">
        <v>204</v>
      </c>
      <c r="H1673" s="152" t="s">
        <v>125</v>
      </c>
      <c r="I1673" s="152"/>
    </row>
    <row r="1674" customFormat="false" ht="16.5" hidden="false" customHeight="true" outlineLevel="0" collapsed="false">
      <c r="A1674" s="151" t="n">
        <v>45994</v>
      </c>
      <c r="B1674" s="152" t="s">
        <v>692</v>
      </c>
      <c r="C1674" s="159" t="n">
        <v>-0.35</v>
      </c>
      <c r="D1674" s="154" t="s">
        <v>103</v>
      </c>
      <c r="E1674" s="153"/>
      <c r="F1674" s="154"/>
      <c r="G1674" s="152" t="s">
        <v>204</v>
      </c>
      <c r="H1674" s="152" t="s">
        <v>125</v>
      </c>
      <c r="I1674" s="152"/>
    </row>
    <row r="1675" customFormat="false" ht="16.5" hidden="false" customHeight="true" outlineLevel="0" collapsed="false">
      <c r="A1675" s="151" t="n">
        <v>45994</v>
      </c>
      <c r="B1675" s="152" t="s">
        <v>1589</v>
      </c>
      <c r="C1675" s="159" t="n">
        <v>6896.35</v>
      </c>
      <c r="D1675" s="154" t="s">
        <v>103</v>
      </c>
      <c r="E1675" s="153"/>
      <c r="F1675" s="154"/>
      <c r="G1675" s="152" t="s">
        <v>315</v>
      </c>
      <c r="H1675" s="152" t="s">
        <v>125</v>
      </c>
      <c r="I1675" s="152"/>
    </row>
    <row r="1676" customFormat="false" ht="16.5" hidden="false" customHeight="true" outlineLevel="0" collapsed="false">
      <c r="A1676" s="151" t="n">
        <v>46020</v>
      </c>
      <c r="B1676" s="152" t="s">
        <v>1115</v>
      </c>
      <c r="C1676" s="160" t="n">
        <v>0</v>
      </c>
      <c r="D1676" s="154"/>
      <c r="E1676" s="160"/>
      <c r="F1676" s="154"/>
      <c r="G1676" s="152" t="s">
        <v>1116</v>
      </c>
      <c r="H1676" s="152"/>
      <c r="I1676" s="152"/>
    </row>
    <row r="1677" customFormat="false" ht="16.5" hidden="false" customHeight="true" outlineLevel="0" collapsed="false">
      <c r="A1677" s="151" t="n">
        <v>46022</v>
      </c>
      <c r="B1677" s="152" t="s">
        <v>1590</v>
      </c>
      <c r="C1677" s="153" t="n">
        <v>0.05</v>
      </c>
      <c r="D1677" s="154" t="s">
        <v>97</v>
      </c>
      <c r="E1677" s="153"/>
      <c r="F1677" s="154"/>
      <c r="G1677" s="152" t="s">
        <v>209</v>
      </c>
      <c r="H1677" s="152" t="s">
        <v>96</v>
      </c>
      <c r="I1677" s="152"/>
    </row>
    <row r="1678" customFormat="false" ht="16.5" hidden="false" customHeight="true" outlineLevel="0" collapsed="false">
      <c r="A1678" s="151" t="n">
        <v>46022</v>
      </c>
      <c r="B1678" s="152" t="s">
        <v>1499</v>
      </c>
      <c r="C1678" s="153" t="n">
        <v>12.11</v>
      </c>
      <c r="D1678" s="154" t="s">
        <v>97</v>
      </c>
      <c r="E1678" s="153"/>
      <c r="F1678" s="154"/>
      <c r="G1678" s="152" t="s">
        <v>209</v>
      </c>
      <c r="H1678" s="152" t="s">
        <v>96</v>
      </c>
      <c r="I1678" s="152"/>
    </row>
    <row r="1679" customFormat="false" ht="16.5" hidden="false" customHeight="true" outlineLevel="0" collapsed="false">
      <c r="A1679" s="151" t="n">
        <v>46022</v>
      </c>
      <c r="B1679" s="152" t="s">
        <v>1500</v>
      </c>
      <c r="C1679" s="153" t="n">
        <v>-2.09</v>
      </c>
      <c r="D1679" s="154" t="s">
        <v>97</v>
      </c>
      <c r="E1679" s="153"/>
      <c r="F1679" s="154"/>
      <c r="G1679" s="152" t="s">
        <v>171</v>
      </c>
      <c r="H1679" s="152" t="s">
        <v>96</v>
      </c>
      <c r="I1679" s="152"/>
    </row>
    <row r="1680" customFormat="false" ht="16.5" hidden="false" customHeight="true" outlineLevel="0" collapsed="false">
      <c r="A1680" s="151" t="n">
        <v>46026</v>
      </c>
      <c r="B1680" s="152" t="s">
        <v>60</v>
      </c>
      <c r="C1680" s="153" t="n">
        <v>22334.02</v>
      </c>
      <c r="D1680" s="154" t="s">
        <v>97</v>
      </c>
      <c r="E1680" s="153"/>
      <c r="F1680" s="154"/>
      <c r="G1680" s="152" t="s">
        <v>315</v>
      </c>
      <c r="H1680" s="152" t="s">
        <v>96</v>
      </c>
      <c r="I1680" s="152"/>
    </row>
    <row r="1681" customFormat="false" ht="16.5" hidden="false" customHeight="true" outlineLevel="0" collapsed="false">
      <c r="A1681" s="151" t="n">
        <v>46023</v>
      </c>
      <c r="B1681" s="152"/>
      <c r="C1681" s="153" t="n">
        <v>19.29</v>
      </c>
      <c r="D1681" s="154" t="s">
        <v>97</v>
      </c>
      <c r="E1681" s="153"/>
      <c r="F1681" s="154"/>
      <c r="G1681" s="152" t="s">
        <v>209</v>
      </c>
      <c r="H1681" s="152" t="s">
        <v>118</v>
      </c>
      <c r="I1681" s="152"/>
    </row>
    <row r="1682" customFormat="false" ht="16.5" hidden="false" customHeight="true" outlineLevel="0" collapsed="false">
      <c r="A1682" s="151" t="n">
        <v>46023</v>
      </c>
      <c r="B1682" s="152"/>
      <c r="C1682" s="159" t="n">
        <v>273.36</v>
      </c>
      <c r="D1682" s="154" t="s">
        <v>103</v>
      </c>
      <c r="E1682" s="153"/>
      <c r="F1682" s="154"/>
      <c r="G1682" s="152" t="s">
        <v>209</v>
      </c>
      <c r="H1682" s="152" t="s">
        <v>126</v>
      </c>
      <c r="I1682" s="152"/>
    </row>
    <row r="1683" customFormat="false" ht="16.5" hidden="false" customHeight="true" outlineLevel="0" collapsed="false">
      <c r="A1683" s="151" t="n">
        <v>46023</v>
      </c>
      <c r="B1683" s="152" t="s">
        <v>60</v>
      </c>
      <c r="C1683" s="153" t="n">
        <v>19.51</v>
      </c>
      <c r="D1683" s="154" t="s">
        <v>97</v>
      </c>
      <c r="E1683" s="153"/>
      <c r="F1683" s="154"/>
      <c r="G1683" s="152" t="s">
        <v>315</v>
      </c>
      <c r="H1683" s="152" t="s">
        <v>118</v>
      </c>
      <c r="I1683" s="152"/>
    </row>
    <row r="1684" customFormat="false" ht="16.5" hidden="false" customHeight="true" outlineLevel="0" collapsed="false">
      <c r="A1684" s="151" t="n">
        <v>46023</v>
      </c>
      <c r="B1684" s="152" t="s">
        <v>60</v>
      </c>
      <c r="C1684" s="159" t="n">
        <v>273.54</v>
      </c>
      <c r="D1684" s="154" t="s">
        <v>103</v>
      </c>
      <c r="E1684" s="153"/>
      <c r="F1684" s="154"/>
      <c r="G1684" s="152" t="s">
        <v>315</v>
      </c>
      <c r="H1684" s="152" t="s">
        <v>126</v>
      </c>
      <c r="I1684" s="152"/>
    </row>
    <row r="1685" customFormat="false" ht="16.5" hidden="false" customHeight="true" outlineLevel="0" collapsed="false">
      <c r="A1685" s="151" t="n">
        <v>46022</v>
      </c>
      <c r="B1685" s="152" t="s">
        <v>1590</v>
      </c>
      <c r="C1685" s="153" t="n">
        <v>0.05</v>
      </c>
      <c r="D1685" s="154" t="s">
        <v>97</v>
      </c>
      <c r="E1685" s="153"/>
      <c r="F1685" s="154"/>
      <c r="G1685" s="152" t="s">
        <v>209</v>
      </c>
      <c r="H1685" s="152" t="s">
        <v>98</v>
      </c>
      <c r="I1685" s="152"/>
    </row>
    <row r="1686" customFormat="false" ht="16.5" hidden="false" customHeight="true" outlineLevel="0" collapsed="false">
      <c r="A1686" s="151" t="n">
        <v>46022</v>
      </c>
      <c r="B1686" s="152" t="s">
        <v>1499</v>
      </c>
      <c r="C1686" s="153" t="n">
        <v>13.29</v>
      </c>
      <c r="D1686" s="154" t="s">
        <v>97</v>
      </c>
      <c r="E1686" s="153"/>
      <c r="F1686" s="154"/>
      <c r="G1686" s="152" t="s">
        <v>209</v>
      </c>
      <c r="H1686" s="152" t="s">
        <v>98</v>
      </c>
      <c r="I1686" s="152"/>
    </row>
    <row r="1687" customFormat="false" ht="16.5" hidden="false" customHeight="true" outlineLevel="0" collapsed="false">
      <c r="A1687" s="151" t="n">
        <v>46022</v>
      </c>
      <c r="B1687" s="152" t="s">
        <v>1500</v>
      </c>
      <c r="C1687" s="153" t="n">
        <v>-2.3</v>
      </c>
      <c r="D1687" s="154" t="s">
        <v>97</v>
      </c>
      <c r="E1687" s="153"/>
      <c r="F1687" s="154"/>
      <c r="G1687" s="152" t="s">
        <v>171</v>
      </c>
      <c r="H1687" s="152" t="s">
        <v>98</v>
      </c>
      <c r="I1687" s="152"/>
    </row>
    <row r="1688" customFormat="false" ht="16.5" hidden="false" customHeight="true" outlineLevel="0" collapsed="false">
      <c r="A1688" s="151" t="n">
        <v>46027</v>
      </c>
      <c r="B1688" s="152" t="s">
        <v>60</v>
      </c>
      <c r="C1688" s="153" t="n">
        <v>18261.96</v>
      </c>
      <c r="D1688" s="154" t="s">
        <v>97</v>
      </c>
      <c r="E1688" s="153"/>
      <c r="F1688" s="154"/>
      <c r="G1688" s="152" t="s">
        <v>315</v>
      </c>
      <c r="H1688" s="152" t="s">
        <v>98</v>
      </c>
      <c r="I1688" s="152"/>
    </row>
    <row r="1689" customFormat="false" ht="16.5" hidden="false" customHeight="true" outlineLevel="0" collapsed="false">
      <c r="A1689" s="151" t="n">
        <v>46024</v>
      </c>
      <c r="B1689" s="152" t="s">
        <v>1591</v>
      </c>
      <c r="C1689" s="153" t="n">
        <v>27.32</v>
      </c>
      <c r="D1689" s="154" t="s">
        <v>97</v>
      </c>
      <c r="E1689" s="153"/>
      <c r="F1689" s="154"/>
      <c r="G1689" s="152" t="s">
        <v>224</v>
      </c>
      <c r="H1689" s="152" t="s">
        <v>106</v>
      </c>
      <c r="I1689" s="152"/>
    </row>
    <row r="1690" customFormat="false" ht="16.5" hidden="false" customHeight="true" outlineLevel="0" collapsed="false">
      <c r="A1690" s="151" t="n">
        <v>46024</v>
      </c>
      <c r="B1690" s="152" t="s">
        <v>1592</v>
      </c>
      <c r="C1690" s="153" t="n">
        <v>8.33</v>
      </c>
      <c r="D1690" s="154" t="s">
        <v>97</v>
      </c>
      <c r="E1690" s="153"/>
      <c r="F1690" s="154"/>
      <c r="G1690" s="152" t="s">
        <v>197</v>
      </c>
      <c r="H1690" s="152" t="s">
        <v>106</v>
      </c>
      <c r="I1690" s="152"/>
    </row>
    <row r="1691" customFormat="false" ht="16.5" hidden="false" customHeight="true" outlineLevel="0" collapsed="false">
      <c r="A1691" s="151" t="n">
        <v>46024</v>
      </c>
      <c r="B1691" s="152" t="s">
        <v>1593</v>
      </c>
      <c r="C1691" s="153" t="n">
        <v>8.29</v>
      </c>
      <c r="D1691" s="154" t="s">
        <v>97</v>
      </c>
      <c r="E1691" s="153"/>
      <c r="F1691" s="154"/>
      <c r="G1691" s="152" t="s">
        <v>197</v>
      </c>
      <c r="H1691" s="152" t="s">
        <v>106</v>
      </c>
      <c r="I1691" s="152"/>
    </row>
    <row r="1692" customFormat="false" ht="16.5" hidden="false" customHeight="true" outlineLevel="0" collapsed="false">
      <c r="A1692" s="151" t="n">
        <v>46024</v>
      </c>
      <c r="B1692" s="152" t="s">
        <v>606</v>
      </c>
      <c r="C1692" s="153" t="n">
        <v>-339.37</v>
      </c>
      <c r="D1692" s="154" t="s">
        <v>97</v>
      </c>
      <c r="E1692" s="153"/>
      <c r="F1692" s="154"/>
      <c r="G1692" s="152" t="s">
        <v>162</v>
      </c>
      <c r="H1692" s="152" t="s">
        <v>106</v>
      </c>
      <c r="I1692" s="152"/>
    </row>
    <row r="1693" customFormat="false" ht="16.5" hidden="false" customHeight="true" outlineLevel="0" collapsed="false">
      <c r="A1693" s="151" t="n">
        <v>46024</v>
      </c>
      <c r="B1693" s="152" t="s">
        <v>1594</v>
      </c>
      <c r="C1693" s="153" t="n">
        <v>616.41</v>
      </c>
      <c r="D1693" s="154" t="s">
        <v>97</v>
      </c>
      <c r="E1693" s="153"/>
      <c r="F1693" s="154"/>
      <c r="G1693" s="152" t="s">
        <v>194</v>
      </c>
      <c r="H1693" s="152" t="s">
        <v>106</v>
      </c>
      <c r="I1693" s="152"/>
    </row>
    <row r="1694" customFormat="false" ht="16.5" hidden="false" customHeight="true" outlineLevel="0" collapsed="false">
      <c r="A1694" s="151" t="n">
        <v>46024</v>
      </c>
      <c r="B1694" s="152" t="s">
        <v>1595</v>
      </c>
      <c r="C1694" s="153" t="n">
        <v>275.25</v>
      </c>
      <c r="D1694" s="154" t="s">
        <v>97</v>
      </c>
      <c r="E1694" s="153"/>
      <c r="F1694" s="154"/>
      <c r="G1694" s="152" t="s">
        <v>206</v>
      </c>
      <c r="H1694" s="152" t="s">
        <v>106</v>
      </c>
      <c r="I1694" s="152"/>
    </row>
    <row r="1695" customFormat="false" ht="16.5" hidden="false" customHeight="true" outlineLevel="0" collapsed="false">
      <c r="A1695" s="151" t="n">
        <v>46024</v>
      </c>
      <c r="B1695" s="152" t="s">
        <v>1596</v>
      </c>
      <c r="C1695" s="153" t="n">
        <v>103.44</v>
      </c>
      <c r="D1695" s="154" t="s">
        <v>97</v>
      </c>
      <c r="E1695" s="153"/>
      <c r="F1695" s="154"/>
      <c r="G1695" s="152" t="s">
        <v>206</v>
      </c>
      <c r="H1695" s="152" t="s">
        <v>106</v>
      </c>
      <c r="I1695" s="152"/>
    </row>
    <row r="1696" customFormat="false" ht="16.5" hidden="false" customHeight="true" outlineLevel="0" collapsed="false">
      <c r="A1696" s="151" t="n">
        <v>46022</v>
      </c>
      <c r="B1696" s="152" t="s">
        <v>1597</v>
      </c>
      <c r="C1696" s="153" t="n">
        <v>-0.54</v>
      </c>
      <c r="D1696" s="154" t="s">
        <v>97</v>
      </c>
      <c r="E1696" s="153"/>
      <c r="F1696" s="154"/>
      <c r="G1696" s="152" t="s">
        <v>42</v>
      </c>
      <c r="H1696" s="152" t="s">
        <v>106</v>
      </c>
      <c r="I1696" s="152"/>
    </row>
    <row r="1697" customFormat="false" ht="16.5" hidden="false" customHeight="true" outlineLevel="0" collapsed="false">
      <c r="A1697" s="151" t="n">
        <v>46022</v>
      </c>
      <c r="B1697" s="152" t="s">
        <v>1598</v>
      </c>
      <c r="C1697" s="153" t="n">
        <v>-0.53</v>
      </c>
      <c r="D1697" s="154" t="s">
        <v>97</v>
      </c>
      <c r="E1697" s="153"/>
      <c r="F1697" s="154"/>
      <c r="G1697" s="152" t="s">
        <v>42</v>
      </c>
      <c r="H1697" s="152" t="s">
        <v>106</v>
      </c>
      <c r="I1697" s="152"/>
    </row>
    <row r="1698" customFormat="false" ht="16.5" hidden="false" customHeight="true" outlineLevel="0" collapsed="false">
      <c r="A1698" s="151" t="n">
        <v>46022</v>
      </c>
      <c r="B1698" s="152" t="s">
        <v>1598</v>
      </c>
      <c r="C1698" s="153" t="n">
        <v>-0.53</v>
      </c>
      <c r="D1698" s="154" t="s">
        <v>97</v>
      </c>
      <c r="E1698" s="153"/>
      <c r="F1698" s="154"/>
      <c r="G1698" s="152" t="s">
        <v>42</v>
      </c>
      <c r="H1698" s="152" t="s">
        <v>106</v>
      </c>
      <c r="I1698" s="152"/>
    </row>
    <row r="1699" customFormat="false" ht="16.5" hidden="false" customHeight="true" outlineLevel="0" collapsed="false">
      <c r="A1699" s="151" t="n">
        <v>46022</v>
      </c>
      <c r="B1699" s="152" t="s">
        <v>1599</v>
      </c>
      <c r="C1699" s="153" t="n">
        <v>-0.33</v>
      </c>
      <c r="D1699" s="154" t="s">
        <v>97</v>
      </c>
      <c r="E1699" s="153"/>
      <c r="F1699" s="154"/>
      <c r="G1699" s="152" t="s">
        <v>42</v>
      </c>
      <c r="H1699" s="152" t="s">
        <v>106</v>
      </c>
      <c r="I1699" s="152"/>
    </row>
    <row r="1700" customFormat="false" ht="16.5" hidden="false" customHeight="true" outlineLevel="0" collapsed="false">
      <c r="A1700" s="151" t="n">
        <v>46022</v>
      </c>
      <c r="B1700" s="152" t="s">
        <v>1600</v>
      </c>
      <c r="C1700" s="153" t="n">
        <v>-0.3</v>
      </c>
      <c r="D1700" s="154" t="s">
        <v>97</v>
      </c>
      <c r="E1700" s="153"/>
      <c r="F1700" s="154"/>
      <c r="G1700" s="152" t="s">
        <v>42</v>
      </c>
      <c r="H1700" s="152" t="s">
        <v>106</v>
      </c>
      <c r="I1700" s="152"/>
    </row>
    <row r="1701" customFormat="false" ht="16.5" hidden="false" customHeight="true" outlineLevel="0" collapsed="false">
      <c r="A1701" s="151" t="n">
        <v>46022</v>
      </c>
      <c r="B1701" s="152" t="s">
        <v>1601</v>
      </c>
      <c r="C1701" s="153" t="n">
        <v>-0.27</v>
      </c>
      <c r="D1701" s="154" t="s">
        <v>97</v>
      </c>
      <c r="E1701" s="153"/>
      <c r="F1701" s="154"/>
      <c r="G1701" s="152" t="s">
        <v>42</v>
      </c>
      <c r="H1701" s="152" t="s">
        <v>106</v>
      </c>
      <c r="I1701" s="152"/>
    </row>
    <row r="1702" customFormat="false" ht="16.5" hidden="false" customHeight="true" outlineLevel="0" collapsed="false">
      <c r="A1702" s="151" t="n">
        <v>46022</v>
      </c>
      <c r="B1702" s="152" t="s">
        <v>1602</v>
      </c>
      <c r="C1702" s="153" t="n">
        <v>-0.27</v>
      </c>
      <c r="D1702" s="154" t="s">
        <v>97</v>
      </c>
      <c r="E1702" s="153"/>
      <c r="F1702" s="154"/>
      <c r="G1702" s="152" t="s">
        <v>42</v>
      </c>
      <c r="H1702" s="152" t="s">
        <v>106</v>
      </c>
      <c r="I1702" s="152"/>
    </row>
    <row r="1703" customFormat="false" ht="16.5" hidden="false" customHeight="true" outlineLevel="0" collapsed="false">
      <c r="A1703" s="151" t="n">
        <v>46022</v>
      </c>
      <c r="B1703" s="152" t="s">
        <v>1603</v>
      </c>
      <c r="C1703" s="153" t="n">
        <v>-64.04</v>
      </c>
      <c r="D1703" s="154" t="s">
        <v>97</v>
      </c>
      <c r="E1703" s="153" t="n">
        <v>-64.04</v>
      </c>
      <c r="F1703" s="154" t="s">
        <v>1604</v>
      </c>
      <c r="G1703" s="152" t="s">
        <v>189</v>
      </c>
      <c r="H1703" s="152" t="s">
        <v>106</v>
      </c>
      <c r="I1703" s="152"/>
    </row>
    <row r="1704" customFormat="false" ht="16.5" hidden="false" customHeight="true" outlineLevel="0" collapsed="false">
      <c r="A1704" s="151" t="n">
        <v>46022</v>
      </c>
      <c r="B1704" s="152" t="s">
        <v>1605</v>
      </c>
      <c r="C1704" s="153" t="n">
        <v>-56.83</v>
      </c>
      <c r="D1704" s="154" t="s">
        <v>97</v>
      </c>
      <c r="E1704" s="153"/>
      <c r="F1704" s="154"/>
      <c r="G1704" s="152" t="s">
        <v>213</v>
      </c>
      <c r="H1704" s="152" t="s">
        <v>106</v>
      </c>
      <c r="I1704" s="152"/>
    </row>
    <row r="1705" customFormat="false" ht="16.5" hidden="false" customHeight="true" outlineLevel="0" collapsed="false">
      <c r="A1705" s="151" t="n">
        <v>46022</v>
      </c>
      <c r="B1705" s="152" t="s">
        <v>1606</v>
      </c>
      <c r="C1705" s="153" t="n">
        <v>-53.71</v>
      </c>
      <c r="D1705" s="154" t="s">
        <v>97</v>
      </c>
      <c r="E1705" s="153"/>
      <c r="F1705" s="154"/>
      <c r="G1705" s="152" t="s">
        <v>165</v>
      </c>
      <c r="H1705" s="152" t="s">
        <v>106</v>
      </c>
      <c r="I1705" s="152"/>
    </row>
    <row r="1706" customFormat="false" ht="16.5" hidden="false" customHeight="true" outlineLevel="0" collapsed="false">
      <c r="A1706" s="151" t="n">
        <v>46022</v>
      </c>
      <c r="B1706" s="152" t="s">
        <v>1607</v>
      </c>
      <c r="C1706" s="153" t="n">
        <v>-52.38</v>
      </c>
      <c r="D1706" s="154" t="s">
        <v>97</v>
      </c>
      <c r="E1706" s="153"/>
      <c r="F1706" s="154"/>
      <c r="G1706" s="152" t="s">
        <v>213</v>
      </c>
      <c r="H1706" s="152" t="s">
        <v>106</v>
      </c>
      <c r="I1706" s="152"/>
    </row>
    <row r="1707" customFormat="false" ht="16.5" hidden="false" customHeight="true" outlineLevel="0" collapsed="false">
      <c r="A1707" s="151" t="n">
        <v>46022</v>
      </c>
      <c r="B1707" s="152" t="s">
        <v>1608</v>
      </c>
      <c r="C1707" s="153" t="n">
        <v>-39.16</v>
      </c>
      <c r="D1707" s="154" t="s">
        <v>97</v>
      </c>
      <c r="E1707" s="153"/>
      <c r="F1707" s="154"/>
      <c r="G1707" s="152" t="s">
        <v>213</v>
      </c>
      <c r="H1707" s="152" t="s">
        <v>106</v>
      </c>
      <c r="I1707" s="152"/>
    </row>
    <row r="1708" customFormat="false" ht="16.5" hidden="false" customHeight="true" outlineLevel="0" collapsed="false">
      <c r="A1708" s="151" t="n">
        <v>46022</v>
      </c>
      <c r="B1708" s="152" t="s">
        <v>1609</v>
      </c>
      <c r="C1708" s="153" t="n">
        <v>-32.82</v>
      </c>
      <c r="D1708" s="154" t="s">
        <v>97</v>
      </c>
      <c r="E1708" s="153"/>
      <c r="F1708" s="154"/>
      <c r="G1708" s="152" t="s">
        <v>213</v>
      </c>
      <c r="H1708" s="152" t="s">
        <v>106</v>
      </c>
      <c r="I1708" s="152"/>
    </row>
    <row r="1709" customFormat="false" ht="16.5" hidden="false" customHeight="true" outlineLevel="0" collapsed="false">
      <c r="A1709" s="151" t="n">
        <v>46022</v>
      </c>
      <c r="B1709" s="152" t="s">
        <v>1610</v>
      </c>
      <c r="C1709" s="153" t="n">
        <v>-29.68</v>
      </c>
      <c r="D1709" s="154" t="s">
        <v>97</v>
      </c>
      <c r="E1709" s="153"/>
      <c r="F1709" s="154"/>
      <c r="G1709" s="152" t="s">
        <v>164</v>
      </c>
      <c r="H1709" s="152" t="s">
        <v>106</v>
      </c>
      <c r="I1709" s="152"/>
    </row>
    <row r="1710" customFormat="false" ht="16.5" hidden="false" customHeight="true" outlineLevel="0" collapsed="false">
      <c r="A1710" s="151" t="n">
        <v>46022</v>
      </c>
      <c r="B1710" s="152" t="s">
        <v>1611</v>
      </c>
      <c r="C1710" s="153" t="n">
        <v>-20.85</v>
      </c>
      <c r="D1710" s="154" t="s">
        <v>97</v>
      </c>
      <c r="E1710" s="153"/>
      <c r="F1710" s="154"/>
      <c r="G1710" s="152" t="s">
        <v>167</v>
      </c>
      <c r="H1710" s="152" t="s">
        <v>106</v>
      </c>
      <c r="I1710" s="152"/>
    </row>
    <row r="1711" customFormat="false" ht="16.5" hidden="false" customHeight="true" outlineLevel="0" collapsed="false">
      <c r="A1711" s="151" t="n">
        <v>46022</v>
      </c>
      <c r="B1711" s="152" t="s">
        <v>1612</v>
      </c>
      <c r="C1711" s="153" t="n">
        <v>-17.58</v>
      </c>
      <c r="D1711" s="154" t="s">
        <v>97</v>
      </c>
      <c r="E1711" s="153"/>
      <c r="F1711" s="154"/>
      <c r="G1711" s="152" t="s">
        <v>227</v>
      </c>
      <c r="H1711" s="152" t="s">
        <v>106</v>
      </c>
      <c r="I1711" s="152"/>
    </row>
    <row r="1712" customFormat="false" ht="16.5" hidden="false" customHeight="true" outlineLevel="0" collapsed="false">
      <c r="A1712" s="151" t="n">
        <v>46022</v>
      </c>
      <c r="B1712" s="152" t="s">
        <v>1613</v>
      </c>
      <c r="C1712" s="153" t="n">
        <v>-15.38</v>
      </c>
      <c r="D1712" s="154" t="s">
        <v>97</v>
      </c>
      <c r="E1712" s="153"/>
      <c r="F1712" s="154"/>
      <c r="G1712" s="152" t="s">
        <v>213</v>
      </c>
      <c r="H1712" s="152" t="s">
        <v>106</v>
      </c>
      <c r="I1712" s="152"/>
    </row>
    <row r="1713" customFormat="false" ht="16.5" hidden="false" customHeight="true" outlineLevel="0" collapsed="false">
      <c r="A1713" s="151" t="n">
        <v>46022</v>
      </c>
      <c r="B1713" s="152" t="s">
        <v>1614</v>
      </c>
      <c r="C1713" s="153" t="n">
        <v>-15.2</v>
      </c>
      <c r="D1713" s="154" t="s">
        <v>97</v>
      </c>
      <c r="E1713" s="153"/>
      <c r="F1713" s="154"/>
      <c r="G1713" s="152" t="s">
        <v>168</v>
      </c>
      <c r="H1713" s="152" t="s">
        <v>106</v>
      </c>
      <c r="I1713" s="152"/>
    </row>
    <row r="1714" customFormat="false" ht="16.5" hidden="false" customHeight="true" outlineLevel="0" collapsed="false">
      <c r="A1714" s="151" t="n">
        <v>46022</v>
      </c>
      <c r="B1714" s="152" t="s">
        <v>1615</v>
      </c>
      <c r="C1714" s="153" t="n">
        <v>-14.52</v>
      </c>
      <c r="D1714" s="154" t="s">
        <v>97</v>
      </c>
      <c r="E1714" s="153"/>
      <c r="F1714" s="154"/>
      <c r="G1714" s="152" t="s">
        <v>231</v>
      </c>
      <c r="H1714" s="152" t="s">
        <v>106</v>
      </c>
      <c r="I1714" s="152"/>
    </row>
    <row r="1715" customFormat="false" ht="16.5" hidden="false" customHeight="true" outlineLevel="0" collapsed="false">
      <c r="A1715" s="151" t="n">
        <v>46022</v>
      </c>
      <c r="B1715" s="152" t="s">
        <v>1616</v>
      </c>
      <c r="C1715" s="153" t="n">
        <v>-12.48</v>
      </c>
      <c r="D1715" s="154" t="s">
        <v>97</v>
      </c>
      <c r="E1715" s="153"/>
      <c r="F1715" s="154"/>
      <c r="G1715" s="152" t="s">
        <v>42</v>
      </c>
      <c r="H1715" s="152" t="s">
        <v>106</v>
      </c>
      <c r="I1715" s="152"/>
    </row>
    <row r="1716" customFormat="false" ht="16.5" hidden="false" customHeight="true" outlineLevel="0" collapsed="false">
      <c r="A1716" s="151" t="n">
        <v>46022</v>
      </c>
      <c r="B1716" s="152" t="s">
        <v>1617</v>
      </c>
      <c r="C1716" s="153" t="n">
        <v>-11.99</v>
      </c>
      <c r="D1716" s="154" t="s">
        <v>97</v>
      </c>
      <c r="E1716" s="153"/>
      <c r="F1716" s="154"/>
      <c r="G1716" s="152" t="s">
        <v>42</v>
      </c>
      <c r="H1716" s="152" t="s">
        <v>106</v>
      </c>
      <c r="I1716" s="152"/>
    </row>
    <row r="1717" customFormat="false" ht="16.5" hidden="false" customHeight="true" outlineLevel="0" collapsed="false">
      <c r="A1717" s="151" t="n">
        <v>46022</v>
      </c>
      <c r="B1717" s="152" t="s">
        <v>1618</v>
      </c>
      <c r="C1717" s="153" t="n">
        <v>-11.99</v>
      </c>
      <c r="D1717" s="154" t="s">
        <v>97</v>
      </c>
      <c r="E1717" s="153"/>
      <c r="F1717" s="154"/>
      <c r="G1717" s="152" t="s">
        <v>42</v>
      </c>
      <c r="H1717" s="152" t="s">
        <v>106</v>
      </c>
      <c r="I1717" s="152"/>
    </row>
    <row r="1718" customFormat="false" ht="16.5" hidden="false" customHeight="true" outlineLevel="0" collapsed="false">
      <c r="A1718" s="151" t="n">
        <v>46022</v>
      </c>
      <c r="B1718" s="152" t="s">
        <v>1619</v>
      </c>
      <c r="C1718" s="153" t="n">
        <v>-11.24</v>
      </c>
      <c r="D1718" s="154" t="s">
        <v>97</v>
      </c>
      <c r="E1718" s="153"/>
      <c r="F1718" s="154"/>
      <c r="G1718" s="152" t="s">
        <v>164</v>
      </c>
      <c r="H1718" s="152" t="s">
        <v>106</v>
      </c>
      <c r="I1718" s="152"/>
    </row>
    <row r="1719" customFormat="false" ht="16.5" hidden="false" customHeight="true" outlineLevel="0" collapsed="false">
      <c r="A1719" s="151" t="n">
        <v>46022</v>
      </c>
      <c r="B1719" s="152" t="s">
        <v>1620</v>
      </c>
      <c r="C1719" s="153" t="n">
        <v>-10.03</v>
      </c>
      <c r="D1719" s="154" t="s">
        <v>97</v>
      </c>
      <c r="E1719" s="153"/>
      <c r="F1719" s="154"/>
      <c r="G1719" s="152" t="s">
        <v>213</v>
      </c>
      <c r="H1719" s="152" t="s">
        <v>106</v>
      </c>
      <c r="I1719" s="152"/>
    </row>
    <row r="1720" customFormat="false" ht="16.5" hidden="false" customHeight="true" outlineLevel="0" collapsed="false">
      <c r="A1720" s="151" t="n">
        <v>46022</v>
      </c>
      <c r="B1720" s="152" t="s">
        <v>1621</v>
      </c>
      <c r="C1720" s="153" t="n">
        <v>-9.44</v>
      </c>
      <c r="D1720" s="154" t="s">
        <v>97</v>
      </c>
      <c r="E1720" s="153"/>
      <c r="F1720" s="154"/>
      <c r="G1720" s="152" t="s">
        <v>165</v>
      </c>
      <c r="H1720" s="152" t="s">
        <v>106</v>
      </c>
      <c r="I1720" s="152"/>
    </row>
    <row r="1721" customFormat="false" ht="16.5" hidden="false" customHeight="true" outlineLevel="0" collapsed="false">
      <c r="A1721" s="151" t="n">
        <v>46022</v>
      </c>
      <c r="B1721" s="152" t="s">
        <v>1622</v>
      </c>
      <c r="C1721" s="153" t="n">
        <v>-8.02</v>
      </c>
      <c r="D1721" s="154" t="s">
        <v>97</v>
      </c>
      <c r="E1721" s="153"/>
      <c r="F1721" s="154"/>
      <c r="G1721" s="152" t="s">
        <v>164</v>
      </c>
      <c r="H1721" s="152" t="s">
        <v>106</v>
      </c>
      <c r="I1721" s="152"/>
    </row>
    <row r="1722" customFormat="false" ht="16.5" hidden="false" customHeight="true" outlineLevel="0" collapsed="false">
      <c r="A1722" s="151" t="n">
        <v>46022</v>
      </c>
      <c r="B1722" s="152" t="s">
        <v>1623</v>
      </c>
      <c r="C1722" s="153" t="n">
        <v>-6.88</v>
      </c>
      <c r="D1722" s="154" t="s">
        <v>97</v>
      </c>
      <c r="E1722" s="153"/>
      <c r="F1722" s="154"/>
      <c r="G1722" s="152" t="s">
        <v>168</v>
      </c>
      <c r="H1722" s="152" t="s">
        <v>106</v>
      </c>
      <c r="I1722" s="152"/>
    </row>
    <row r="1723" customFormat="false" ht="16.5" hidden="false" customHeight="true" outlineLevel="0" collapsed="false">
      <c r="A1723" s="151" t="n">
        <v>46022</v>
      </c>
      <c r="B1723" s="152" t="s">
        <v>1624</v>
      </c>
      <c r="C1723" s="153" t="n">
        <v>-6.38</v>
      </c>
      <c r="D1723" s="154" t="s">
        <v>97</v>
      </c>
      <c r="E1723" s="153"/>
      <c r="F1723" s="154"/>
      <c r="G1723" s="152" t="s">
        <v>165</v>
      </c>
      <c r="H1723" s="152" t="s">
        <v>106</v>
      </c>
      <c r="I1723" s="152"/>
    </row>
    <row r="1724" customFormat="false" ht="16.5" hidden="false" customHeight="true" outlineLevel="0" collapsed="false">
      <c r="A1724" s="151" t="n">
        <v>46022</v>
      </c>
      <c r="B1724" s="152" t="s">
        <v>1625</v>
      </c>
      <c r="C1724" s="153" t="n">
        <v>-6.21</v>
      </c>
      <c r="D1724" s="154" t="s">
        <v>97</v>
      </c>
      <c r="E1724" s="153"/>
      <c r="F1724" s="154"/>
      <c r="G1724" s="152" t="s">
        <v>168</v>
      </c>
      <c r="H1724" s="152" t="s">
        <v>106</v>
      </c>
      <c r="I1724" s="152"/>
    </row>
    <row r="1725" customFormat="false" ht="16.5" hidden="false" customHeight="true" outlineLevel="0" collapsed="false">
      <c r="A1725" s="151" t="n">
        <v>46022</v>
      </c>
      <c r="B1725" s="152" t="s">
        <v>1626</v>
      </c>
      <c r="C1725" s="153" t="n">
        <v>-5.8</v>
      </c>
      <c r="D1725" s="154" t="s">
        <v>97</v>
      </c>
      <c r="E1725" s="153"/>
      <c r="F1725" s="154"/>
      <c r="G1725" s="152" t="s">
        <v>231</v>
      </c>
      <c r="H1725" s="152" t="s">
        <v>106</v>
      </c>
      <c r="I1725" s="152"/>
    </row>
    <row r="1726" customFormat="false" ht="16.5" hidden="false" customHeight="true" outlineLevel="0" collapsed="false">
      <c r="A1726" s="151" t="n">
        <v>46022</v>
      </c>
      <c r="B1726" s="152" t="s">
        <v>1627</v>
      </c>
      <c r="C1726" s="153" t="n">
        <v>-5.58</v>
      </c>
      <c r="D1726" s="154" t="s">
        <v>97</v>
      </c>
      <c r="E1726" s="153"/>
      <c r="F1726" s="154"/>
      <c r="G1726" s="152" t="s">
        <v>227</v>
      </c>
      <c r="H1726" s="152" t="s">
        <v>106</v>
      </c>
      <c r="I1726" s="152"/>
    </row>
    <row r="1727" customFormat="false" ht="16.5" hidden="false" customHeight="true" outlineLevel="0" collapsed="false">
      <c r="A1727" s="151" t="n">
        <v>46022</v>
      </c>
      <c r="B1727" s="152" t="s">
        <v>1628</v>
      </c>
      <c r="C1727" s="153" t="n">
        <v>-5.15</v>
      </c>
      <c r="D1727" s="154" t="s">
        <v>97</v>
      </c>
      <c r="E1727" s="153"/>
      <c r="F1727" s="154"/>
      <c r="G1727" s="152" t="s">
        <v>165</v>
      </c>
      <c r="H1727" s="152" t="s">
        <v>106</v>
      </c>
      <c r="I1727" s="152"/>
    </row>
    <row r="1728" customFormat="false" ht="16.5" hidden="false" customHeight="true" outlineLevel="0" collapsed="false">
      <c r="A1728" s="151" t="n">
        <v>46022</v>
      </c>
      <c r="B1728" s="152" t="s">
        <v>1629</v>
      </c>
      <c r="C1728" s="153" t="n">
        <v>-5.14</v>
      </c>
      <c r="D1728" s="154" t="s">
        <v>97</v>
      </c>
      <c r="E1728" s="153"/>
      <c r="F1728" s="154"/>
      <c r="G1728" s="152" t="s">
        <v>12</v>
      </c>
      <c r="H1728" s="152" t="s">
        <v>106</v>
      </c>
      <c r="I1728" s="152"/>
    </row>
    <row r="1729" customFormat="false" ht="16.5" hidden="false" customHeight="true" outlineLevel="0" collapsed="false">
      <c r="A1729" s="151" t="n">
        <v>46022</v>
      </c>
      <c r="B1729" s="152" t="s">
        <v>1630</v>
      </c>
      <c r="C1729" s="153" t="n">
        <v>-4.8</v>
      </c>
      <c r="D1729" s="154" t="s">
        <v>97</v>
      </c>
      <c r="E1729" s="153"/>
      <c r="F1729" s="154"/>
      <c r="G1729" s="152" t="s">
        <v>42</v>
      </c>
      <c r="H1729" s="152" t="s">
        <v>106</v>
      </c>
      <c r="I1729" s="152"/>
    </row>
    <row r="1730" customFormat="false" ht="16.5" hidden="false" customHeight="true" outlineLevel="0" collapsed="false">
      <c r="A1730" s="151" t="n">
        <v>46022</v>
      </c>
      <c r="B1730" s="152" t="s">
        <v>1631</v>
      </c>
      <c r="C1730" s="153" t="n">
        <v>-4.62</v>
      </c>
      <c r="D1730" s="154" t="s">
        <v>97</v>
      </c>
      <c r="E1730" s="153"/>
      <c r="F1730" s="154"/>
      <c r="G1730" s="152" t="s">
        <v>213</v>
      </c>
      <c r="H1730" s="152" t="s">
        <v>106</v>
      </c>
      <c r="I1730" s="152"/>
    </row>
    <row r="1731" customFormat="false" ht="16.5" hidden="false" customHeight="true" outlineLevel="0" collapsed="false">
      <c r="A1731" s="151" t="n">
        <v>46022</v>
      </c>
      <c r="B1731" s="152" t="s">
        <v>1632</v>
      </c>
      <c r="C1731" s="153" t="n">
        <v>-4.38</v>
      </c>
      <c r="D1731" s="154" t="s">
        <v>97</v>
      </c>
      <c r="E1731" s="153"/>
      <c r="F1731" s="154"/>
      <c r="G1731" s="152" t="s">
        <v>227</v>
      </c>
      <c r="H1731" s="152" t="s">
        <v>106</v>
      </c>
      <c r="I1731" s="152"/>
    </row>
    <row r="1732" customFormat="false" ht="16.5" hidden="false" customHeight="true" outlineLevel="0" collapsed="false">
      <c r="A1732" s="151" t="n">
        <v>46022</v>
      </c>
      <c r="B1732" s="152" t="s">
        <v>1633</v>
      </c>
      <c r="C1732" s="153" t="n">
        <v>-4</v>
      </c>
      <c r="D1732" s="154" t="s">
        <v>97</v>
      </c>
      <c r="E1732" s="153"/>
      <c r="F1732" s="154"/>
      <c r="G1732" s="152" t="s">
        <v>168</v>
      </c>
      <c r="H1732" s="152" t="s">
        <v>106</v>
      </c>
      <c r="I1732" s="152"/>
    </row>
    <row r="1733" customFormat="false" ht="16.5" hidden="false" customHeight="true" outlineLevel="0" collapsed="false">
      <c r="A1733" s="151" t="n">
        <v>46022</v>
      </c>
      <c r="B1733" s="152" t="s">
        <v>1634</v>
      </c>
      <c r="C1733" s="153" t="n">
        <v>-3.61</v>
      </c>
      <c r="D1733" s="154" t="s">
        <v>97</v>
      </c>
      <c r="E1733" s="153"/>
      <c r="F1733" s="154"/>
      <c r="G1733" s="152" t="s">
        <v>42</v>
      </c>
      <c r="H1733" s="152" t="s">
        <v>106</v>
      </c>
      <c r="I1733" s="152"/>
    </row>
    <row r="1734" customFormat="false" ht="16.5" hidden="false" customHeight="true" outlineLevel="0" collapsed="false">
      <c r="A1734" s="151" t="n">
        <v>46022</v>
      </c>
      <c r="B1734" s="152" t="s">
        <v>1635</v>
      </c>
      <c r="C1734" s="153" t="n">
        <v>-3.5</v>
      </c>
      <c r="D1734" s="154" t="s">
        <v>97</v>
      </c>
      <c r="E1734" s="153"/>
      <c r="F1734" s="154"/>
      <c r="G1734" s="152" t="s">
        <v>213</v>
      </c>
      <c r="H1734" s="152" t="s">
        <v>106</v>
      </c>
      <c r="I1734" s="152"/>
    </row>
    <row r="1735" customFormat="false" ht="16.5" hidden="false" customHeight="true" outlineLevel="0" collapsed="false">
      <c r="A1735" s="151" t="n">
        <v>46022</v>
      </c>
      <c r="B1735" s="152" t="s">
        <v>1636</v>
      </c>
      <c r="C1735" s="153" t="n">
        <v>-2.63</v>
      </c>
      <c r="D1735" s="154" t="s">
        <v>97</v>
      </c>
      <c r="E1735" s="153"/>
      <c r="F1735" s="154"/>
      <c r="G1735" s="152" t="s">
        <v>42</v>
      </c>
      <c r="H1735" s="152" t="s">
        <v>106</v>
      </c>
      <c r="I1735" s="152"/>
    </row>
    <row r="1736" customFormat="false" ht="16.5" hidden="false" customHeight="true" outlineLevel="0" collapsed="false">
      <c r="A1736" s="151" t="n">
        <v>46022</v>
      </c>
      <c r="B1736" s="152" t="s">
        <v>1637</v>
      </c>
      <c r="C1736" s="153" t="n">
        <v>-2.45</v>
      </c>
      <c r="D1736" s="154" t="s">
        <v>97</v>
      </c>
      <c r="E1736" s="153"/>
      <c r="F1736" s="154"/>
      <c r="G1736" s="152" t="s">
        <v>42</v>
      </c>
      <c r="H1736" s="152" t="s">
        <v>106</v>
      </c>
      <c r="I1736" s="152"/>
    </row>
    <row r="1737" customFormat="false" ht="16.5" hidden="false" customHeight="true" outlineLevel="0" collapsed="false">
      <c r="A1737" s="151" t="n">
        <v>46022</v>
      </c>
      <c r="B1737" s="152" t="s">
        <v>1638</v>
      </c>
      <c r="C1737" s="153" t="n">
        <v>-2.41</v>
      </c>
      <c r="D1737" s="154" t="s">
        <v>97</v>
      </c>
      <c r="E1737" s="153"/>
      <c r="F1737" s="154"/>
      <c r="G1737" s="152" t="s">
        <v>168</v>
      </c>
      <c r="H1737" s="152" t="s">
        <v>106</v>
      </c>
      <c r="I1737" s="152"/>
    </row>
    <row r="1738" customFormat="false" ht="16.5" hidden="false" customHeight="true" outlineLevel="0" collapsed="false">
      <c r="A1738" s="151" t="n">
        <v>46022</v>
      </c>
      <c r="B1738" s="152" t="s">
        <v>1639</v>
      </c>
      <c r="C1738" s="153" t="n">
        <v>-2.41</v>
      </c>
      <c r="D1738" s="154" t="s">
        <v>97</v>
      </c>
      <c r="E1738" s="153"/>
      <c r="F1738" s="154"/>
      <c r="G1738" s="152" t="s">
        <v>213</v>
      </c>
      <c r="H1738" s="152" t="s">
        <v>106</v>
      </c>
      <c r="I1738" s="152"/>
    </row>
    <row r="1739" customFormat="false" ht="16.5" hidden="false" customHeight="true" outlineLevel="0" collapsed="false">
      <c r="A1739" s="151" t="n">
        <v>46022</v>
      </c>
      <c r="B1739" s="152" t="s">
        <v>1640</v>
      </c>
      <c r="C1739" s="153" t="n">
        <v>-1.99</v>
      </c>
      <c r="D1739" s="154" t="s">
        <v>97</v>
      </c>
      <c r="E1739" s="153"/>
      <c r="F1739" s="154"/>
      <c r="G1739" s="152" t="s">
        <v>213</v>
      </c>
      <c r="H1739" s="152" t="s">
        <v>106</v>
      </c>
      <c r="I1739" s="152"/>
    </row>
    <row r="1740" customFormat="false" ht="16.5" hidden="false" customHeight="true" outlineLevel="0" collapsed="false">
      <c r="A1740" s="151" t="n">
        <v>46022</v>
      </c>
      <c r="B1740" s="152" t="s">
        <v>1641</v>
      </c>
      <c r="C1740" s="153" t="n">
        <v>-1.99</v>
      </c>
      <c r="D1740" s="154" t="s">
        <v>97</v>
      </c>
      <c r="E1740" s="153"/>
      <c r="F1740" s="154"/>
      <c r="G1740" s="152" t="s">
        <v>213</v>
      </c>
      <c r="H1740" s="152" t="s">
        <v>106</v>
      </c>
      <c r="I1740" s="152"/>
    </row>
    <row r="1741" customFormat="false" ht="16.5" hidden="false" customHeight="true" outlineLevel="0" collapsed="false">
      <c r="A1741" s="151" t="n">
        <v>46022</v>
      </c>
      <c r="B1741" s="152" t="s">
        <v>1642</v>
      </c>
      <c r="C1741" s="153" t="n">
        <v>-1.86</v>
      </c>
      <c r="D1741" s="154" t="s">
        <v>97</v>
      </c>
      <c r="E1741" s="153"/>
      <c r="F1741" s="154"/>
      <c r="G1741" s="152" t="s">
        <v>165</v>
      </c>
      <c r="H1741" s="152" t="s">
        <v>106</v>
      </c>
      <c r="I1741" s="152"/>
    </row>
    <row r="1742" customFormat="false" ht="16.5" hidden="false" customHeight="true" outlineLevel="0" collapsed="false">
      <c r="A1742" s="151" t="n">
        <v>46022</v>
      </c>
      <c r="B1742" s="152" t="s">
        <v>1643</v>
      </c>
      <c r="C1742" s="153" t="n">
        <v>-1.5</v>
      </c>
      <c r="D1742" s="154" t="s">
        <v>97</v>
      </c>
      <c r="E1742" s="153"/>
      <c r="F1742" s="154"/>
      <c r="G1742" s="152" t="s">
        <v>213</v>
      </c>
      <c r="H1742" s="152" t="s">
        <v>106</v>
      </c>
      <c r="I1742" s="152"/>
    </row>
    <row r="1743" customFormat="false" ht="16.5" hidden="false" customHeight="true" outlineLevel="0" collapsed="false">
      <c r="A1743" s="151" t="n">
        <v>46022</v>
      </c>
      <c r="B1743" s="152" t="s">
        <v>1644</v>
      </c>
      <c r="C1743" s="153" t="n">
        <v>-1.36</v>
      </c>
      <c r="D1743" s="154" t="s">
        <v>97</v>
      </c>
      <c r="E1743" s="153"/>
      <c r="F1743" s="154"/>
      <c r="G1743" s="152" t="s">
        <v>213</v>
      </c>
      <c r="H1743" s="152" t="s">
        <v>106</v>
      </c>
      <c r="I1743" s="152"/>
    </row>
    <row r="1744" customFormat="false" ht="16.5" hidden="false" customHeight="true" outlineLevel="0" collapsed="false">
      <c r="A1744" s="151" t="n">
        <v>46022</v>
      </c>
      <c r="B1744" s="152" t="s">
        <v>1645</v>
      </c>
      <c r="C1744" s="153" t="n">
        <v>-0.92</v>
      </c>
      <c r="D1744" s="154" t="s">
        <v>97</v>
      </c>
      <c r="E1744" s="153"/>
      <c r="F1744" s="154"/>
      <c r="G1744" s="152" t="s">
        <v>213</v>
      </c>
      <c r="H1744" s="152" t="s">
        <v>106</v>
      </c>
      <c r="I1744" s="152"/>
    </row>
    <row r="1745" customFormat="false" ht="16.5" hidden="false" customHeight="true" outlineLevel="0" collapsed="false">
      <c r="A1745" s="151" t="n">
        <v>46022</v>
      </c>
      <c r="B1745" s="152" t="s">
        <v>1646</v>
      </c>
      <c r="C1745" s="153" t="n">
        <v>-0.83</v>
      </c>
      <c r="D1745" s="154" t="s">
        <v>97</v>
      </c>
      <c r="E1745" s="153"/>
      <c r="F1745" s="154"/>
      <c r="G1745" s="152" t="s">
        <v>231</v>
      </c>
      <c r="H1745" s="152" t="s">
        <v>106</v>
      </c>
      <c r="I1745" s="152"/>
    </row>
    <row r="1746" customFormat="false" ht="16.5" hidden="false" customHeight="true" outlineLevel="0" collapsed="false">
      <c r="A1746" s="151" t="n">
        <v>46021</v>
      </c>
      <c r="B1746" s="152" t="s">
        <v>1647</v>
      </c>
      <c r="C1746" s="153" t="n">
        <v>-23.16</v>
      </c>
      <c r="D1746" s="154" t="s">
        <v>97</v>
      </c>
      <c r="E1746" s="153"/>
      <c r="F1746" s="154"/>
      <c r="G1746" s="152" t="s">
        <v>202</v>
      </c>
      <c r="H1746" s="152" t="s">
        <v>106</v>
      </c>
      <c r="I1746" s="152"/>
    </row>
    <row r="1747" customFormat="false" ht="16.5" hidden="false" customHeight="true" outlineLevel="0" collapsed="false">
      <c r="A1747" s="151" t="n">
        <v>46020</v>
      </c>
      <c r="B1747" s="152" t="s">
        <v>1648</v>
      </c>
      <c r="C1747" s="153" t="n">
        <v>6.81</v>
      </c>
      <c r="D1747" s="154" t="s">
        <v>97</v>
      </c>
      <c r="E1747" s="153"/>
      <c r="F1747" s="154"/>
      <c r="G1747" s="152" t="s">
        <v>167</v>
      </c>
      <c r="H1747" s="152" t="s">
        <v>106</v>
      </c>
      <c r="I1747" s="152"/>
    </row>
    <row r="1748" customFormat="false" ht="16.5" hidden="false" customHeight="true" outlineLevel="0" collapsed="false">
      <c r="A1748" s="151" t="n">
        <v>46020</v>
      </c>
      <c r="B1748" s="152" t="s">
        <v>1649</v>
      </c>
      <c r="C1748" s="153" t="n">
        <v>-55.06</v>
      </c>
      <c r="D1748" s="154" t="s">
        <v>97</v>
      </c>
      <c r="E1748" s="153"/>
      <c r="F1748" s="154"/>
      <c r="G1748" s="152" t="s">
        <v>171</v>
      </c>
      <c r="H1748" s="152" t="s">
        <v>106</v>
      </c>
      <c r="I1748" s="152"/>
    </row>
    <row r="1749" customFormat="false" ht="16.5" hidden="false" customHeight="true" outlineLevel="0" collapsed="false">
      <c r="A1749" s="151" t="n">
        <v>46020</v>
      </c>
      <c r="B1749" s="152" t="s">
        <v>1650</v>
      </c>
      <c r="C1749" s="153" t="n">
        <v>-3.24</v>
      </c>
      <c r="D1749" s="154" t="s">
        <v>97</v>
      </c>
      <c r="E1749" s="153"/>
      <c r="F1749" s="154"/>
      <c r="G1749" s="152" t="s">
        <v>226</v>
      </c>
      <c r="H1749" s="152" t="s">
        <v>106</v>
      </c>
      <c r="I1749" s="152"/>
    </row>
    <row r="1750" customFormat="false" ht="16.5" hidden="false" customHeight="true" outlineLevel="0" collapsed="false">
      <c r="A1750" s="151" t="n">
        <v>46020</v>
      </c>
      <c r="B1750" s="152" t="s">
        <v>1651</v>
      </c>
      <c r="C1750" s="153" t="n">
        <v>-1.6</v>
      </c>
      <c r="D1750" s="154" t="s">
        <v>97</v>
      </c>
      <c r="E1750" s="153"/>
      <c r="F1750" s="154"/>
      <c r="G1750" s="152" t="s">
        <v>219</v>
      </c>
      <c r="H1750" s="152" t="s">
        <v>106</v>
      </c>
      <c r="I1750" s="152"/>
    </row>
    <row r="1751" customFormat="false" ht="16.5" hidden="false" customHeight="true" outlineLevel="0" collapsed="false">
      <c r="A1751" s="151" t="n">
        <v>46020</v>
      </c>
      <c r="B1751" s="152" t="s">
        <v>1652</v>
      </c>
      <c r="C1751" s="153" t="n">
        <v>12.48</v>
      </c>
      <c r="D1751" s="154" t="s">
        <v>97</v>
      </c>
      <c r="E1751" s="153"/>
      <c r="F1751" s="154"/>
      <c r="G1751" s="152" t="s">
        <v>167</v>
      </c>
      <c r="H1751" s="152" t="s">
        <v>106</v>
      </c>
      <c r="I1751" s="152"/>
    </row>
    <row r="1752" customFormat="false" ht="16.5" hidden="false" customHeight="true" outlineLevel="0" collapsed="false">
      <c r="A1752" s="151" t="n">
        <v>46024</v>
      </c>
      <c r="B1752" s="152" t="s">
        <v>60</v>
      </c>
      <c r="C1752" s="153" t="n">
        <v>15537.63</v>
      </c>
      <c r="D1752" s="154" t="s">
        <v>97</v>
      </c>
      <c r="E1752" s="153"/>
      <c r="F1752" s="154"/>
      <c r="G1752" s="152" t="s">
        <v>315</v>
      </c>
      <c r="H1752" s="152" t="s">
        <v>106</v>
      </c>
      <c r="I1752" s="152"/>
    </row>
    <row r="1753" customFormat="false" ht="16.5" hidden="false" customHeight="true" outlineLevel="0" collapsed="false">
      <c r="A1753" s="151" t="n">
        <v>46024</v>
      </c>
      <c r="B1753" s="152" t="s">
        <v>1653</v>
      </c>
      <c r="C1753" s="153" t="n">
        <v>-4.39</v>
      </c>
      <c r="D1753" s="154" t="s">
        <v>97</v>
      </c>
      <c r="E1753" s="153"/>
      <c r="F1753" s="154"/>
      <c r="G1753" s="152" t="s">
        <v>171</v>
      </c>
      <c r="H1753" s="152" t="s">
        <v>109</v>
      </c>
      <c r="I1753" s="152"/>
    </row>
    <row r="1754" customFormat="false" ht="16.5" hidden="false" customHeight="true" outlineLevel="0" collapsed="false">
      <c r="A1754" s="151" t="n">
        <v>46024</v>
      </c>
      <c r="B1754" s="152" t="s">
        <v>1654</v>
      </c>
      <c r="C1754" s="153" t="n">
        <v>-3.26</v>
      </c>
      <c r="D1754" s="154" t="s">
        <v>97</v>
      </c>
      <c r="E1754" s="153"/>
      <c r="F1754" s="154"/>
      <c r="G1754" s="152" t="s">
        <v>171</v>
      </c>
      <c r="H1754" s="152" t="s">
        <v>109</v>
      </c>
      <c r="I1754" s="152"/>
    </row>
    <row r="1755" customFormat="false" ht="16.5" hidden="false" customHeight="true" outlineLevel="0" collapsed="false">
      <c r="A1755" s="151" t="n">
        <v>46024</v>
      </c>
      <c r="B1755" s="152" t="s">
        <v>1655</v>
      </c>
      <c r="C1755" s="153" t="n">
        <v>25.55</v>
      </c>
      <c r="D1755" s="154" t="s">
        <v>97</v>
      </c>
      <c r="E1755" s="153"/>
      <c r="F1755" s="154"/>
      <c r="G1755" s="152" t="s">
        <v>209</v>
      </c>
      <c r="H1755" s="152" t="s">
        <v>109</v>
      </c>
      <c r="I1755" s="152"/>
    </row>
    <row r="1756" customFormat="false" ht="16.5" hidden="false" customHeight="true" outlineLevel="0" collapsed="false">
      <c r="A1756" s="151" t="n">
        <v>46024</v>
      </c>
      <c r="B1756" s="152" t="s">
        <v>60</v>
      </c>
      <c r="C1756" s="153" t="n">
        <v>119.6</v>
      </c>
      <c r="D1756" s="154" t="s">
        <v>97</v>
      </c>
      <c r="E1756" s="153"/>
      <c r="F1756" s="154"/>
      <c r="G1756" s="152" t="s">
        <v>315</v>
      </c>
      <c r="H1756" s="152" t="s">
        <v>109</v>
      </c>
      <c r="I1756" s="152"/>
    </row>
    <row r="1757" customFormat="false" ht="16.5" hidden="false" customHeight="true" outlineLevel="0" collapsed="false">
      <c r="A1757" s="151" t="n">
        <v>46016</v>
      </c>
      <c r="B1757" s="152" t="s">
        <v>1279</v>
      </c>
      <c r="C1757" s="158" t="n">
        <v>-1.44817</v>
      </c>
      <c r="D1757" s="154" t="s">
        <v>150</v>
      </c>
      <c r="E1757" s="153"/>
      <c r="F1757" s="154"/>
      <c r="G1757" s="152" t="s">
        <v>168</v>
      </c>
      <c r="H1757" s="152" t="s">
        <v>149</v>
      </c>
      <c r="I1757" s="152"/>
    </row>
    <row r="1758" customFormat="false" ht="16.5" hidden="false" customHeight="true" outlineLevel="0" collapsed="false">
      <c r="A1758" s="151" t="n">
        <v>45997</v>
      </c>
      <c r="B1758" s="152" t="s">
        <v>1656</v>
      </c>
      <c r="C1758" s="158" t="n">
        <v>0.80798</v>
      </c>
      <c r="D1758" s="154" t="s">
        <v>150</v>
      </c>
      <c r="E1758" s="153" t="n">
        <v>64.04</v>
      </c>
      <c r="F1758" s="154" t="s">
        <v>1604</v>
      </c>
      <c r="G1758" s="152" t="s">
        <v>189</v>
      </c>
      <c r="H1758" s="152" t="s">
        <v>149</v>
      </c>
      <c r="I1758" s="152"/>
    </row>
    <row r="1759" customFormat="false" ht="16.5" hidden="false" customHeight="true" outlineLevel="0" collapsed="false">
      <c r="A1759" s="151" t="n">
        <v>46016</v>
      </c>
      <c r="B1759" s="152" t="s">
        <v>60</v>
      </c>
      <c r="C1759" s="164" t="n">
        <v>104.7</v>
      </c>
      <c r="D1759" s="154" t="s">
        <v>1657</v>
      </c>
      <c r="E1759" s="153"/>
      <c r="F1759" s="154"/>
      <c r="G1759" s="152" t="s">
        <v>315</v>
      </c>
      <c r="H1759" s="152" t="s">
        <v>149</v>
      </c>
      <c r="I1759" s="152"/>
    </row>
    <row r="1760" customFormat="false" ht="16.5" hidden="false" customHeight="true" outlineLevel="0" collapsed="false">
      <c r="A1760" s="151" t="n">
        <v>46027</v>
      </c>
      <c r="B1760" s="152" t="s">
        <v>1115</v>
      </c>
      <c r="C1760" s="160" t="n">
        <v>0</v>
      </c>
      <c r="D1760" s="154"/>
      <c r="E1760" s="160"/>
      <c r="F1760" s="154"/>
      <c r="G1760" s="152" t="s">
        <v>1116</v>
      </c>
      <c r="H1760" s="152"/>
      <c r="I1760" s="152"/>
    </row>
    <row r="1761" customFormat="false" ht="16.5" hidden="false" customHeight="true" outlineLevel="0" collapsed="false">
      <c r="A1761" s="151" t="n">
        <v>46027</v>
      </c>
      <c r="B1761" s="152" t="s">
        <v>1115</v>
      </c>
      <c r="C1761" s="160" t="n">
        <v>0</v>
      </c>
      <c r="D1761" s="154"/>
      <c r="E1761" s="160"/>
      <c r="F1761" s="154"/>
      <c r="G1761" s="152" t="s">
        <v>1116</v>
      </c>
      <c r="H1761" s="152"/>
      <c r="I1761" s="152"/>
    </row>
    <row r="1762" customFormat="false" ht="16.5" hidden="false" customHeight="true" outlineLevel="0" collapsed="false">
      <c r="A1762" s="151" t="n">
        <v>46025</v>
      </c>
      <c r="B1762" s="152" t="s">
        <v>1658</v>
      </c>
      <c r="C1762" s="153" t="n">
        <v>92.46</v>
      </c>
      <c r="D1762" s="154" t="s">
        <v>97</v>
      </c>
      <c r="E1762" s="153"/>
      <c r="F1762" s="154"/>
      <c r="G1762" s="152" t="s">
        <v>209</v>
      </c>
      <c r="H1762" s="152" t="s">
        <v>114</v>
      </c>
      <c r="I1762" s="152"/>
    </row>
    <row r="1763" customFormat="false" ht="16.5" hidden="false" customHeight="true" outlineLevel="0" collapsed="false">
      <c r="A1763" s="151" t="n">
        <v>46025</v>
      </c>
      <c r="B1763" s="152" t="s">
        <v>1658</v>
      </c>
      <c r="C1763" s="153" t="n">
        <v>46.28</v>
      </c>
      <c r="D1763" s="154" t="s">
        <v>97</v>
      </c>
      <c r="E1763" s="153"/>
      <c r="F1763" s="154"/>
      <c r="G1763" s="152" t="s">
        <v>209</v>
      </c>
      <c r="H1763" s="152" t="s">
        <v>112</v>
      </c>
      <c r="I1763" s="152"/>
    </row>
    <row r="1764" customFormat="false" ht="16.5" hidden="false" customHeight="true" outlineLevel="0" collapsed="false">
      <c r="A1764" s="151" t="n">
        <v>46025</v>
      </c>
      <c r="B1764" s="152" t="s">
        <v>1658</v>
      </c>
      <c r="C1764" s="153" t="n">
        <v>4.17</v>
      </c>
      <c r="D1764" s="154" t="s">
        <v>97</v>
      </c>
      <c r="E1764" s="153"/>
      <c r="F1764" s="154"/>
      <c r="G1764" s="152" t="s">
        <v>209</v>
      </c>
      <c r="H1764" s="152" t="s">
        <v>110</v>
      </c>
      <c r="I1764" s="152"/>
    </row>
    <row r="1765" customFormat="false" ht="16.5" hidden="false" customHeight="true" outlineLevel="0" collapsed="false">
      <c r="A1765" s="151" t="n">
        <v>46025</v>
      </c>
      <c r="B1765" s="152" t="s">
        <v>1658</v>
      </c>
      <c r="C1765" s="153" t="n">
        <v>92.46</v>
      </c>
      <c r="D1765" s="154" t="s">
        <v>97</v>
      </c>
      <c r="E1765" s="153"/>
      <c r="F1765" s="154"/>
      <c r="G1765" s="152" t="s">
        <v>209</v>
      </c>
      <c r="H1765" s="152" t="s">
        <v>113</v>
      </c>
      <c r="I1765" s="152"/>
    </row>
    <row r="1766" customFormat="false" ht="16.5" hidden="false" customHeight="true" outlineLevel="0" collapsed="false">
      <c r="A1766" s="151" t="n">
        <v>46025</v>
      </c>
      <c r="B1766" s="152" t="s">
        <v>1658</v>
      </c>
      <c r="C1766" s="153" t="n">
        <v>46.28</v>
      </c>
      <c r="D1766" s="154" t="s">
        <v>97</v>
      </c>
      <c r="E1766" s="153"/>
      <c r="F1766" s="154"/>
      <c r="G1766" s="152" t="s">
        <v>209</v>
      </c>
      <c r="H1766" s="152" t="s">
        <v>111</v>
      </c>
      <c r="I1766" s="152"/>
    </row>
    <row r="1767" customFormat="false" ht="16.5" hidden="false" customHeight="true" outlineLevel="0" collapsed="false">
      <c r="A1767" s="151" t="n">
        <v>46030</v>
      </c>
      <c r="B1767" s="152" t="s">
        <v>60</v>
      </c>
      <c r="C1767" s="153" t="n">
        <v>4044.59</v>
      </c>
      <c r="D1767" s="154" t="s">
        <v>97</v>
      </c>
      <c r="E1767" s="153"/>
      <c r="F1767" s="154"/>
      <c r="G1767" s="152" t="s">
        <v>315</v>
      </c>
      <c r="H1767" s="152" t="s">
        <v>114</v>
      </c>
      <c r="I1767" s="152"/>
    </row>
    <row r="1768" customFormat="false" ht="16.5" hidden="false" customHeight="true" outlineLevel="0" collapsed="false">
      <c r="A1768" s="151" t="n">
        <v>46030</v>
      </c>
      <c r="B1768" s="152" t="s">
        <v>60</v>
      </c>
      <c r="C1768" s="153" t="n">
        <v>2016.08</v>
      </c>
      <c r="D1768" s="154" t="s">
        <v>97</v>
      </c>
      <c r="E1768" s="153"/>
      <c r="F1768" s="154"/>
      <c r="G1768" s="152" t="s">
        <v>315</v>
      </c>
      <c r="H1768" s="152" t="s">
        <v>112</v>
      </c>
      <c r="I1768" s="152"/>
    </row>
    <row r="1769" customFormat="false" ht="16.5" hidden="false" customHeight="true" outlineLevel="0" collapsed="false">
      <c r="A1769" s="151" t="n">
        <v>46030</v>
      </c>
      <c r="B1769" s="152" t="s">
        <v>60</v>
      </c>
      <c r="C1769" s="153" t="n">
        <v>49.73</v>
      </c>
      <c r="D1769" s="154" t="s">
        <v>97</v>
      </c>
      <c r="E1769" s="153"/>
      <c r="F1769" s="154"/>
      <c r="G1769" s="152" t="s">
        <v>315</v>
      </c>
      <c r="H1769" s="152" t="s">
        <v>110</v>
      </c>
      <c r="I1769" s="152"/>
    </row>
    <row r="1770" customFormat="false" ht="16.5" hidden="false" customHeight="true" outlineLevel="0" collapsed="false">
      <c r="A1770" s="151" t="n">
        <v>46030</v>
      </c>
      <c r="B1770" s="152" t="s">
        <v>60</v>
      </c>
      <c r="C1770" s="153" t="n">
        <v>4044.7</v>
      </c>
      <c r="D1770" s="154" t="s">
        <v>97</v>
      </c>
      <c r="E1770" s="153"/>
      <c r="F1770" s="154"/>
      <c r="G1770" s="152" t="s">
        <v>315</v>
      </c>
      <c r="H1770" s="152" t="s">
        <v>113</v>
      </c>
      <c r="I1770" s="152"/>
    </row>
    <row r="1771" customFormat="false" ht="16.5" hidden="false" customHeight="true" outlineLevel="0" collapsed="false">
      <c r="A1771" s="151" t="n">
        <v>46030</v>
      </c>
      <c r="B1771" s="152" t="s">
        <v>60</v>
      </c>
      <c r="C1771" s="153" t="n">
        <v>2016.08</v>
      </c>
      <c r="D1771" s="154" t="s">
        <v>97</v>
      </c>
      <c r="E1771" s="153"/>
      <c r="F1771" s="154"/>
      <c r="G1771" s="152" t="s">
        <v>315</v>
      </c>
      <c r="H1771" s="152" t="s">
        <v>111</v>
      </c>
      <c r="I1771" s="152"/>
    </row>
    <row r="1772" customFormat="false" ht="16.5" hidden="false" customHeight="true" outlineLevel="0" collapsed="false">
      <c r="A1772" s="151" t="n">
        <v>46029</v>
      </c>
      <c r="B1772" s="152" t="s">
        <v>1659</v>
      </c>
      <c r="C1772" s="153" t="n">
        <v>-498.34</v>
      </c>
      <c r="D1772" s="154" t="s">
        <v>97</v>
      </c>
      <c r="E1772" s="153"/>
      <c r="F1772" s="154" t="s">
        <v>1660</v>
      </c>
      <c r="G1772" s="152" t="s">
        <v>190</v>
      </c>
      <c r="H1772" s="152" t="s">
        <v>106</v>
      </c>
      <c r="I1772" s="152"/>
    </row>
    <row r="1773" customFormat="false" ht="16.5" hidden="false" customHeight="true" outlineLevel="0" collapsed="false">
      <c r="A1773" s="151" t="n">
        <v>46028</v>
      </c>
      <c r="B1773" s="152" t="s">
        <v>1661</v>
      </c>
      <c r="C1773" s="153" t="n">
        <v>-0.84</v>
      </c>
      <c r="D1773" s="154" t="s">
        <v>97</v>
      </c>
      <c r="E1773" s="153"/>
      <c r="F1773" s="154"/>
      <c r="G1773" s="152" t="s">
        <v>222</v>
      </c>
      <c r="H1773" s="152" t="s">
        <v>106</v>
      </c>
      <c r="I1773" s="152"/>
    </row>
    <row r="1774" customFormat="false" ht="16.5" hidden="false" customHeight="true" outlineLevel="0" collapsed="false">
      <c r="A1774" s="151" t="n">
        <v>46027</v>
      </c>
      <c r="B1774" s="152" t="s">
        <v>1662</v>
      </c>
      <c r="C1774" s="153" t="n">
        <v>-46.88</v>
      </c>
      <c r="D1774" s="154" t="s">
        <v>97</v>
      </c>
      <c r="E1774" s="153"/>
      <c r="F1774" s="154"/>
      <c r="G1774" s="152" t="s">
        <v>197</v>
      </c>
      <c r="H1774" s="152" t="s">
        <v>106</v>
      </c>
      <c r="I1774" s="152"/>
    </row>
    <row r="1775" customFormat="false" ht="16.5" hidden="false" customHeight="true" outlineLevel="0" collapsed="false">
      <c r="A1775" s="151" t="n">
        <v>46027</v>
      </c>
      <c r="B1775" s="152" t="s">
        <v>1663</v>
      </c>
      <c r="C1775" s="153" t="n">
        <v>-45.84</v>
      </c>
      <c r="D1775" s="154" t="s">
        <v>97</v>
      </c>
      <c r="E1775" s="153"/>
      <c r="F1775" s="154"/>
      <c r="G1775" s="152" t="s">
        <v>203</v>
      </c>
      <c r="H1775" s="152" t="s">
        <v>106</v>
      </c>
      <c r="I1775" s="152"/>
    </row>
    <row r="1776" customFormat="false" ht="16.5" hidden="false" customHeight="true" outlineLevel="0" collapsed="false">
      <c r="A1776" s="151" t="n">
        <v>46027</v>
      </c>
      <c r="B1776" s="152" t="s">
        <v>1664</v>
      </c>
      <c r="C1776" s="153" t="n">
        <v>-11.03</v>
      </c>
      <c r="D1776" s="154" t="s">
        <v>97</v>
      </c>
      <c r="E1776" s="153"/>
      <c r="F1776" s="154"/>
      <c r="G1776" s="152" t="s">
        <v>222</v>
      </c>
      <c r="H1776" s="152" t="s">
        <v>106</v>
      </c>
      <c r="I1776" s="152"/>
    </row>
    <row r="1777" customFormat="false" ht="16.5" hidden="false" customHeight="true" outlineLevel="0" collapsed="false">
      <c r="A1777" s="151" t="n">
        <v>46027</v>
      </c>
      <c r="B1777" s="152" t="s">
        <v>1665</v>
      </c>
      <c r="C1777" s="153" t="n">
        <v>-5.39</v>
      </c>
      <c r="D1777" s="154" t="s">
        <v>97</v>
      </c>
      <c r="E1777" s="153"/>
      <c r="F1777" s="154"/>
      <c r="G1777" s="152" t="s">
        <v>218</v>
      </c>
      <c r="H1777" s="152" t="s">
        <v>106</v>
      </c>
      <c r="I1777" s="152"/>
    </row>
    <row r="1778" customFormat="false" ht="16.5" hidden="false" customHeight="true" outlineLevel="0" collapsed="false">
      <c r="A1778" s="151" t="n">
        <v>46027</v>
      </c>
      <c r="B1778" s="152" t="s">
        <v>1666</v>
      </c>
      <c r="C1778" s="153" t="n">
        <v>99.97</v>
      </c>
      <c r="D1778" s="154" t="s">
        <v>97</v>
      </c>
      <c r="E1778" s="153"/>
      <c r="F1778" s="154" t="s">
        <v>1667</v>
      </c>
      <c r="G1778" s="152" t="s">
        <v>190</v>
      </c>
      <c r="H1778" s="152" t="s">
        <v>106</v>
      </c>
      <c r="I1778" s="152"/>
    </row>
    <row r="1779" customFormat="false" ht="16.5" hidden="false" customHeight="true" outlineLevel="0" collapsed="false">
      <c r="A1779" s="151" t="n">
        <v>46027</v>
      </c>
      <c r="B1779" s="152"/>
      <c r="C1779" s="153" t="n">
        <v>-99.97</v>
      </c>
      <c r="D1779" s="154" t="s">
        <v>97</v>
      </c>
      <c r="E1779" s="153"/>
      <c r="F1779" s="154" t="s">
        <v>1667</v>
      </c>
      <c r="G1779" s="152" t="s">
        <v>190</v>
      </c>
      <c r="H1779" s="152" t="s">
        <v>133</v>
      </c>
      <c r="I1779" s="152"/>
    </row>
    <row r="1780" customFormat="false" ht="16.5" hidden="false" customHeight="true" outlineLevel="0" collapsed="false">
      <c r="A1780" s="151" t="n">
        <v>46027</v>
      </c>
      <c r="B1780" s="152" t="s">
        <v>60</v>
      </c>
      <c r="C1780" s="153" t="n">
        <v>8000.39</v>
      </c>
      <c r="D1780" s="154" t="s">
        <v>97</v>
      </c>
      <c r="E1780" s="153"/>
      <c r="F1780" s="154"/>
      <c r="G1780" s="152" t="s">
        <v>315</v>
      </c>
      <c r="H1780" s="152" t="s">
        <v>133</v>
      </c>
      <c r="I1780" s="152"/>
    </row>
    <row r="1781" customFormat="false" ht="16.5" hidden="false" customHeight="true" outlineLevel="0" collapsed="false">
      <c r="A1781" s="151" t="n">
        <v>46027</v>
      </c>
      <c r="B1781" s="152" t="s">
        <v>1668</v>
      </c>
      <c r="C1781" s="153" t="n">
        <v>99.97</v>
      </c>
      <c r="D1781" s="154" t="s">
        <v>97</v>
      </c>
      <c r="E1781" s="153"/>
      <c r="F1781" s="154" t="s">
        <v>1669</v>
      </c>
      <c r="G1781" s="152" t="s">
        <v>190</v>
      </c>
      <c r="H1781" s="152" t="s">
        <v>106</v>
      </c>
      <c r="I1781" s="152"/>
    </row>
    <row r="1782" customFormat="false" ht="16.5" hidden="false" customHeight="true" outlineLevel="0" collapsed="false">
      <c r="A1782" s="151" t="n">
        <v>46027</v>
      </c>
      <c r="B1782" s="152"/>
      <c r="C1782" s="153" t="n">
        <v>-99.97</v>
      </c>
      <c r="D1782" s="154" t="s">
        <v>97</v>
      </c>
      <c r="E1782" s="153"/>
      <c r="F1782" s="154" t="s">
        <v>1669</v>
      </c>
      <c r="G1782" s="152" t="s">
        <v>190</v>
      </c>
      <c r="H1782" s="152" t="s">
        <v>132</v>
      </c>
      <c r="I1782" s="152"/>
    </row>
    <row r="1783" customFormat="false" ht="16.5" hidden="false" customHeight="true" outlineLevel="0" collapsed="false">
      <c r="A1783" s="151" t="n">
        <v>46027</v>
      </c>
      <c r="B1783" s="152" t="s">
        <v>60</v>
      </c>
      <c r="C1783" s="153" t="n">
        <v>21293.39</v>
      </c>
      <c r="D1783" s="154" t="s">
        <v>97</v>
      </c>
      <c r="E1783" s="153"/>
      <c r="F1783" s="154"/>
      <c r="G1783" s="152" t="s">
        <v>315</v>
      </c>
      <c r="H1783" s="152" t="s">
        <v>132</v>
      </c>
      <c r="I1783" s="152"/>
    </row>
    <row r="1784" customFormat="false" ht="16.5" hidden="false" customHeight="true" outlineLevel="0" collapsed="false">
      <c r="A1784" s="151" t="n">
        <v>46025</v>
      </c>
      <c r="B1784" s="152" t="s">
        <v>1670</v>
      </c>
      <c r="C1784" s="153" t="n">
        <v>-13.87</v>
      </c>
      <c r="D1784" s="154" t="s">
        <v>97</v>
      </c>
      <c r="E1784" s="153"/>
      <c r="F1784" s="154"/>
      <c r="G1784" s="152" t="s">
        <v>204</v>
      </c>
      <c r="H1784" s="152" t="s">
        <v>106</v>
      </c>
      <c r="I1784" s="152"/>
    </row>
    <row r="1785" customFormat="false" ht="16.5" hidden="false" customHeight="true" outlineLevel="0" collapsed="false">
      <c r="A1785" s="151" t="n">
        <v>46029</v>
      </c>
      <c r="B1785" s="152" t="s">
        <v>60</v>
      </c>
      <c r="C1785" s="153" t="n">
        <v>15115.38</v>
      </c>
      <c r="D1785" s="154" t="s">
        <v>97</v>
      </c>
      <c r="E1785" s="153"/>
      <c r="F1785" s="154"/>
      <c r="G1785" s="152" t="s">
        <v>315</v>
      </c>
      <c r="H1785" s="152" t="s">
        <v>106</v>
      </c>
      <c r="I1785" s="152"/>
    </row>
    <row r="1786" customFormat="false" ht="16.5" hidden="false" customHeight="true" outlineLevel="0" collapsed="false">
      <c r="A1786" s="151" t="n">
        <v>46037</v>
      </c>
      <c r="B1786" s="152" t="s">
        <v>1671</v>
      </c>
      <c r="C1786" s="153" t="n">
        <v>-67.62</v>
      </c>
      <c r="D1786" s="154" t="s">
        <v>97</v>
      </c>
      <c r="E1786" s="153"/>
      <c r="F1786" s="154"/>
      <c r="G1786" s="152" t="s">
        <v>208</v>
      </c>
      <c r="H1786" s="152" t="s">
        <v>106</v>
      </c>
      <c r="I1786" s="152"/>
    </row>
    <row r="1787" customFormat="false" ht="16.5" hidden="false" customHeight="true" outlineLevel="0" collapsed="false">
      <c r="A1787" s="151" t="n">
        <v>46037</v>
      </c>
      <c r="B1787" s="152" t="s">
        <v>1672</v>
      </c>
      <c r="C1787" s="153" t="n">
        <v>-66.63</v>
      </c>
      <c r="D1787" s="154" t="s">
        <v>97</v>
      </c>
      <c r="E1787" s="153"/>
      <c r="F1787" s="154"/>
      <c r="G1787" s="152" t="s">
        <v>171</v>
      </c>
      <c r="H1787" s="152" t="s">
        <v>106</v>
      </c>
      <c r="I1787" s="152"/>
    </row>
    <row r="1788" customFormat="false" ht="16.5" hidden="false" customHeight="true" outlineLevel="0" collapsed="false">
      <c r="A1788" s="151" t="n">
        <v>46037</v>
      </c>
      <c r="B1788" s="152" t="s">
        <v>1673</v>
      </c>
      <c r="C1788" s="153" t="n">
        <v>-31.35</v>
      </c>
      <c r="D1788" s="154" t="s">
        <v>97</v>
      </c>
      <c r="E1788" s="153"/>
      <c r="F1788" s="154"/>
      <c r="G1788" s="152" t="s">
        <v>197</v>
      </c>
      <c r="H1788" s="152" t="s">
        <v>106</v>
      </c>
      <c r="I1788" s="152"/>
    </row>
    <row r="1789" customFormat="false" ht="16.5" hidden="false" customHeight="true" outlineLevel="0" collapsed="false">
      <c r="A1789" s="151" t="n">
        <v>46037</v>
      </c>
      <c r="B1789" s="152" t="s">
        <v>1674</v>
      </c>
      <c r="C1789" s="153" t="n">
        <v>8.02</v>
      </c>
      <c r="D1789" s="154" t="s">
        <v>97</v>
      </c>
      <c r="E1789" s="153"/>
      <c r="F1789" s="154"/>
      <c r="G1789" s="152" t="s">
        <v>171</v>
      </c>
      <c r="H1789" s="152" t="s">
        <v>106</v>
      </c>
      <c r="I1789" s="152"/>
    </row>
    <row r="1790" customFormat="false" ht="16.5" hidden="false" customHeight="true" outlineLevel="0" collapsed="false">
      <c r="A1790" s="151" t="n">
        <v>46035</v>
      </c>
      <c r="B1790" s="152" t="s">
        <v>1675</v>
      </c>
      <c r="C1790" s="153" t="n">
        <v>-109.93</v>
      </c>
      <c r="D1790" s="154" t="s">
        <v>97</v>
      </c>
      <c r="E1790" s="153" t="n">
        <v>-109.93</v>
      </c>
      <c r="F1790" s="154" t="s">
        <v>1676</v>
      </c>
      <c r="G1790" s="152" t="s">
        <v>188</v>
      </c>
      <c r="H1790" s="152" t="s">
        <v>106</v>
      </c>
      <c r="I1790" s="152"/>
    </row>
    <row r="1791" customFormat="false" ht="16.5" hidden="false" customHeight="true" outlineLevel="0" collapsed="false">
      <c r="A1791" s="151" t="n">
        <v>46034</v>
      </c>
      <c r="B1791" s="152" t="s">
        <v>1677</v>
      </c>
      <c r="C1791" s="153" t="n">
        <v>-16.82</v>
      </c>
      <c r="D1791" s="154" t="s">
        <v>97</v>
      </c>
      <c r="E1791" s="153"/>
      <c r="F1791" s="154"/>
      <c r="G1791" s="152" t="s">
        <v>212</v>
      </c>
      <c r="H1791" s="152" t="s">
        <v>106</v>
      </c>
      <c r="I1791" s="152"/>
    </row>
    <row r="1792" customFormat="false" ht="16.5" hidden="false" customHeight="true" outlineLevel="0" collapsed="false">
      <c r="A1792" s="151" t="n">
        <v>46034</v>
      </c>
      <c r="B1792" s="152" t="s">
        <v>1678</v>
      </c>
      <c r="C1792" s="153" t="n">
        <v>-898.38</v>
      </c>
      <c r="D1792" s="154" t="s">
        <v>97</v>
      </c>
      <c r="E1792" s="153"/>
      <c r="F1792" s="154" t="s">
        <v>1679</v>
      </c>
      <c r="G1792" s="152" t="s">
        <v>190</v>
      </c>
      <c r="H1792" s="152" t="s">
        <v>106</v>
      </c>
      <c r="I1792" s="152"/>
    </row>
    <row r="1793" customFormat="false" ht="16.5" hidden="false" customHeight="true" outlineLevel="0" collapsed="false">
      <c r="A1793" s="151" t="n">
        <v>46031</v>
      </c>
      <c r="B1793" s="152" t="s">
        <v>1680</v>
      </c>
      <c r="C1793" s="153" t="n">
        <v>248.36</v>
      </c>
      <c r="D1793" s="154" t="s">
        <v>97</v>
      </c>
      <c r="E1793" s="153"/>
      <c r="F1793" s="154"/>
      <c r="G1793" s="152" t="s">
        <v>198</v>
      </c>
      <c r="H1793" s="152" t="s">
        <v>106</v>
      </c>
      <c r="I1793" s="152"/>
    </row>
    <row r="1794" customFormat="false" ht="16.5" hidden="false" customHeight="true" outlineLevel="0" collapsed="false">
      <c r="A1794" s="151" t="n">
        <v>46031</v>
      </c>
      <c r="B1794" s="152" t="s">
        <v>1681</v>
      </c>
      <c r="C1794" s="153" t="n">
        <v>273.47</v>
      </c>
      <c r="D1794" s="154" t="s">
        <v>97</v>
      </c>
      <c r="E1794" s="153"/>
      <c r="F1794" s="154"/>
      <c r="G1794" s="152" t="s">
        <v>215</v>
      </c>
      <c r="H1794" s="152" t="s">
        <v>106</v>
      </c>
      <c r="I1794" s="152"/>
    </row>
    <row r="1795" customFormat="false" ht="16.5" hidden="false" customHeight="true" outlineLevel="0" collapsed="false">
      <c r="A1795" s="151" t="n">
        <v>46037</v>
      </c>
      <c r="B1795" s="152" t="s">
        <v>60</v>
      </c>
      <c r="C1795" s="153" t="n">
        <v>14454.5</v>
      </c>
      <c r="D1795" s="154" t="s">
        <v>97</v>
      </c>
      <c r="E1795" s="153"/>
      <c r="F1795" s="154"/>
      <c r="G1795" s="152" t="s">
        <v>315</v>
      </c>
      <c r="H1795" s="152" t="s">
        <v>106</v>
      </c>
      <c r="I1795" s="152"/>
    </row>
    <row r="1796" customFormat="false" ht="16.5" hidden="false" customHeight="true" outlineLevel="0" collapsed="false">
      <c r="A1796" s="151" t="n">
        <v>46036</v>
      </c>
      <c r="B1796" s="152" t="s">
        <v>528</v>
      </c>
      <c r="C1796" s="153" t="n">
        <v>898.38</v>
      </c>
      <c r="D1796" s="154" t="s">
        <v>97</v>
      </c>
      <c r="E1796" s="153"/>
      <c r="F1796" s="154" t="s">
        <v>1679</v>
      </c>
      <c r="G1796" s="152" t="s">
        <v>190</v>
      </c>
      <c r="H1796" s="152" t="s">
        <v>122</v>
      </c>
      <c r="I1796" s="152"/>
    </row>
    <row r="1797" customFormat="false" ht="16.5" hidden="false" customHeight="true" outlineLevel="0" collapsed="false">
      <c r="A1797" s="151" t="n">
        <v>46035</v>
      </c>
      <c r="B1797" s="152" t="s">
        <v>1682</v>
      </c>
      <c r="C1797" s="153" t="n">
        <v>-588.83</v>
      </c>
      <c r="D1797" s="154" t="s">
        <v>97</v>
      </c>
      <c r="E1797" s="153"/>
      <c r="F1797" s="154" t="s">
        <v>1683</v>
      </c>
      <c r="G1797" s="152" t="s">
        <v>191</v>
      </c>
      <c r="H1797" s="152" t="s">
        <v>122</v>
      </c>
      <c r="I1797" s="152"/>
    </row>
    <row r="1798" customFormat="false" ht="16.5" hidden="false" customHeight="true" outlineLevel="0" collapsed="false">
      <c r="A1798" s="151" t="n">
        <v>46035</v>
      </c>
      <c r="B1798" s="152" t="s">
        <v>1682</v>
      </c>
      <c r="C1798" s="153" t="n">
        <v>588.83</v>
      </c>
      <c r="D1798" s="154" t="s">
        <v>97</v>
      </c>
      <c r="E1798" s="153"/>
      <c r="F1798" s="154" t="s">
        <v>1683</v>
      </c>
      <c r="G1798" s="152" t="s">
        <v>191</v>
      </c>
      <c r="H1798" s="152" t="s">
        <v>100</v>
      </c>
      <c r="I1798" s="152"/>
    </row>
    <row r="1799" customFormat="false" ht="16.5" hidden="false" customHeight="true" outlineLevel="0" collapsed="false">
      <c r="A1799" s="151" t="n">
        <v>46030</v>
      </c>
      <c r="B1799" s="152" t="s">
        <v>528</v>
      </c>
      <c r="C1799" s="153" t="n">
        <v>498.34</v>
      </c>
      <c r="D1799" s="154" t="s">
        <v>97</v>
      </c>
      <c r="E1799" s="153"/>
      <c r="F1799" s="154" t="s">
        <v>1660</v>
      </c>
      <c r="G1799" s="152" t="s">
        <v>190</v>
      </c>
      <c r="H1799" s="152" t="s">
        <v>122</v>
      </c>
      <c r="I1799" s="152"/>
    </row>
    <row r="1800" customFormat="false" ht="16.5" hidden="false" customHeight="true" outlineLevel="0" collapsed="false">
      <c r="A1800" s="151" t="n">
        <v>46028</v>
      </c>
      <c r="B1800" s="152" t="s">
        <v>1684</v>
      </c>
      <c r="C1800" s="153" t="n">
        <v>6.86</v>
      </c>
      <c r="D1800" s="154" t="s">
        <v>97</v>
      </c>
      <c r="E1800" s="153"/>
      <c r="F1800" s="154"/>
      <c r="G1800" s="152" t="s">
        <v>199</v>
      </c>
      <c r="H1800" s="152" t="s">
        <v>122</v>
      </c>
      <c r="I1800" s="152"/>
    </row>
    <row r="1801" customFormat="false" ht="16.5" hidden="false" customHeight="true" outlineLevel="0" collapsed="false">
      <c r="A1801" s="151" t="n">
        <v>46022</v>
      </c>
      <c r="B1801" s="152" t="s">
        <v>628</v>
      </c>
      <c r="C1801" s="153" t="n">
        <v>21.78</v>
      </c>
      <c r="D1801" s="154" t="s">
        <v>97</v>
      </c>
      <c r="E1801" s="153"/>
      <c r="F1801" s="154"/>
      <c r="G1801" s="152" t="s">
        <v>199</v>
      </c>
      <c r="H1801" s="152" t="s">
        <v>122</v>
      </c>
      <c r="I1801" s="152"/>
    </row>
    <row r="1802" customFormat="false" ht="16.5" hidden="false" customHeight="true" outlineLevel="0" collapsed="false">
      <c r="A1802" s="151" t="n">
        <v>46038</v>
      </c>
      <c r="B1802" s="152" t="s">
        <v>60</v>
      </c>
      <c r="C1802" s="153" t="n">
        <v>11726.91</v>
      </c>
      <c r="D1802" s="154" t="s">
        <v>97</v>
      </c>
      <c r="E1802" s="153"/>
      <c r="F1802" s="154"/>
      <c r="G1802" s="152" t="s">
        <v>315</v>
      </c>
      <c r="H1802" s="152" t="s">
        <v>100</v>
      </c>
      <c r="I1802" s="152"/>
    </row>
    <row r="1803" customFormat="false" ht="16.5" hidden="false" customHeight="true" outlineLevel="0" collapsed="false">
      <c r="A1803" s="151" t="n">
        <v>46038</v>
      </c>
      <c r="B1803" s="152" t="s">
        <v>60</v>
      </c>
      <c r="C1803" s="153" t="n">
        <v>1070.26</v>
      </c>
      <c r="D1803" s="154" t="s">
        <v>97</v>
      </c>
      <c r="E1803" s="153"/>
      <c r="F1803" s="154"/>
      <c r="G1803" s="152" t="s">
        <v>315</v>
      </c>
      <c r="H1803" s="152" t="s">
        <v>122</v>
      </c>
      <c r="I1803" s="152"/>
    </row>
    <row r="1804" customFormat="false" ht="16.5" hidden="false" customHeight="true" outlineLevel="0" collapsed="false">
      <c r="A1804" s="151" t="n">
        <v>46038</v>
      </c>
      <c r="B1804" s="152" t="s">
        <v>1368</v>
      </c>
      <c r="C1804" s="156" t="n">
        <v>0.17721</v>
      </c>
      <c r="D1804" s="154" t="s">
        <v>141</v>
      </c>
      <c r="E1804" s="153" t="n">
        <v>109.93</v>
      </c>
      <c r="F1804" s="154" t="s">
        <v>1676</v>
      </c>
      <c r="G1804" s="152" t="s">
        <v>188</v>
      </c>
      <c r="H1804" s="152" t="s">
        <v>142</v>
      </c>
      <c r="I1804" s="152"/>
    </row>
    <row r="1805" customFormat="false" ht="16.5" hidden="false" customHeight="true" outlineLevel="0" collapsed="false">
      <c r="A1805" s="151" t="n">
        <v>46038</v>
      </c>
      <c r="B1805" s="152" t="s">
        <v>1685</v>
      </c>
      <c r="C1805" s="156" t="n">
        <v>2.3325</v>
      </c>
      <c r="D1805" s="154" t="s">
        <v>141</v>
      </c>
      <c r="E1805" s="153"/>
      <c r="F1805" s="154"/>
      <c r="G1805" s="152" t="s">
        <v>315</v>
      </c>
      <c r="H1805" s="152" t="s">
        <v>142</v>
      </c>
      <c r="I1805" s="152"/>
    </row>
    <row r="1806" customFormat="false" ht="16.5" hidden="false" customHeight="true" outlineLevel="0" collapsed="false">
      <c r="A1806" s="151" t="n">
        <v>46024</v>
      </c>
      <c r="B1806" s="152" t="s">
        <v>692</v>
      </c>
      <c r="C1806" s="153" t="n">
        <v>0</v>
      </c>
      <c r="D1806" s="154" t="s">
        <v>97</v>
      </c>
      <c r="E1806" s="153"/>
      <c r="F1806" s="154"/>
      <c r="G1806" s="152" t="s">
        <v>204</v>
      </c>
      <c r="H1806" s="152" t="s">
        <v>117</v>
      </c>
      <c r="I1806" s="152"/>
    </row>
    <row r="1807" customFormat="false" ht="16.5" hidden="false" customHeight="true" outlineLevel="0" collapsed="false">
      <c r="A1807" s="151" t="n">
        <v>46024</v>
      </c>
      <c r="B1807" s="152" t="s">
        <v>1588</v>
      </c>
      <c r="C1807" s="153" t="n">
        <v>396.56</v>
      </c>
      <c r="D1807" s="154" t="s">
        <v>97</v>
      </c>
      <c r="E1807" s="153"/>
      <c r="F1807" s="154"/>
      <c r="G1807" s="152" t="s">
        <v>315</v>
      </c>
      <c r="H1807" s="152" t="s">
        <v>117</v>
      </c>
      <c r="I1807" s="152"/>
    </row>
    <row r="1808" customFormat="false" ht="16.5" hidden="false" customHeight="true" outlineLevel="0" collapsed="false">
      <c r="A1808" s="151" t="n">
        <v>46024</v>
      </c>
      <c r="B1808" s="152" t="s">
        <v>692</v>
      </c>
      <c r="C1808" s="159" t="n">
        <v>-1.1</v>
      </c>
      <c r="D1808" s="154" t="s">
        <v>103</v>
      </c>
      <c r="E1808" s="153"/>
      <c r="F1808" s="154"/>
      <c r="G1808" s="152" t="s">
        <v>204</v>
      </c>
      <c r="H1808" s="152" t="s">
        <v>125</v>
      </c>
      <c r="I1808" s="152"/>
    </row>
    <row r="1809" customFormat="false" ht="16.5" hidden="false" customHeight="true" outlineLevel="0" collapsed="false">
      <c r="A1809" s="151" t="n">
        <v>46038</v>
      </c>
      <c r="B1809" s="152" t="s">
        <v>1686</v>
      </c>
      <c r="C1809" s="159" t="n">
        <v>-1.99</v>
      </c>
      <c r="D1809" s="154" t="s">
        <v>103</v>
      </c>
      <c r="E1809" s="153"/>
      <c r="F1809" s="154"/>
      <c r="G1809" s="152" t="s">
        <v>223</v>
      </c>
      <c r="H1809" s="152" t="s">
        <v>125</v>
      </c>
      <c r="I1809" s="152"/>
    </row>
    <row r="1810" customFormat="false" ht="16.5" hidden="false" customHeight="true" outlineLevel="0" collapsed="false">
      <c r="A1810" s="151" t="n">
        <v>46038</v>
      </c>
      <c r="B1810" s="152" t="s">
        <v>1686</v>
      </c>
      <c r="C1810" s="159" t="n">
        <v>-4.99</v>
      </c>
      <c r="D1810" s="154" t="s">
        <v>103</v>
      </c>
      <c r="E1810" s="153"/>
      <c r="F1810" s="154"/>
      <c r="G1810" s="152" t="s">
        <v>223</v>
      </c>
      <c r="H1810" s="152" t="s">
        <v>125</v>
      </c>
      <c r="I1810" s="152"/>
    </row>
    <row r="1811" customFormat="false" ht="16.5" hidden="false" customHeight="true" outlineLevel="0" collapsed="false">
      <c r="A1811" s="151" t="n">
        <v>46038</v>
      </c>
      <c r="B1811" s="152" t="s">
        <v>1686</v>
      </c>
      <c r="C1811" s="159" t="n">
        <v>-5.98</v>
      </c>
      <c r="D1811" s="154" t="s">
        <v>103</v>
      </c>
      <c r="E1811" s="153"/>
      <c r="F1811" s="154"/>
      <c r="G1811" s="152" t="s">
        <v>223</v>
      </c>
      <c r="H1811" s="152" t="s">
        <v>125</v>
      </c>
      <c r="I1811" s="152"/>
    </row>
    <row r="1812" customFormat="false" ht="16.5" hidden="false" customHeight="true" outlineLevel="0" collapsed="false">
      <c r="A1812" s="151" t="n">
        <v>46038</v>
      </c>
      <c r="B1812" s="152" t="s">
        <v>1589</v>
      </c>
      <c r="C1812" s="159" t="n">
        <v>6882.29</v>
      </c>
      <c r="D1812" s="154" t="s">
        <v>103</v>
      </c>
      <c r="E1812" s="153"/>
      <c r="F1812" s="154"/>
      <c r="G1812" s="152" t="s">
        <v>315</v>
      </c>
      <c r="H1812" s="152" t="s">
        <v>125</v>
      </c>
      <c r="I1812" s="152"/>
    </row>
    <row r="1813" customFormat="false" ht="16.5" hidden="false" customHeight="true" outlineLevel="0" collapsed="false">
      <c r="A1813" s="151" t="n">
        <v>46041</v>
      </c>
      <c r="B1813" s="152" t="s">
        <v>1687</v>
      </c>
      <c r="C1813" s="153" t="n">
        <v>-4.58</v>
      </c>
      <c r="D1813" s="154" t="s">
        <v>97</v>
      </c>
      <c r="E1813" s="153"/>
      <c r="F1813" s="154"/>
      <c r="G1813" s="152" t="s">
        <v>221</v>
      </c>
      <c r="H1813" s="152" t="s">
        <v>106</v>
      </c>
      <c r="I1813" s="152"/>
    </row>
    <row r="1814" customFormat="false" ht="16.5" hidden="false" customHeight="true" outlineLevel="0" collapsed="false">
      <c r="A1814" s="151" t="n">
        <v>46038</v>
      </c>
      <c r="B1814" s="152" t="s">
        <v>1688</v>
      </c>
      <c r="C1814" s="153" t="n">
        <v>-9.57</v>
      </c>
      <c r="D1814" s="154" t="s">
        <v>97</v>
      </c>
      <c r="E1814" s="153"/>
      <c r="F1814" s="154"/>
      <c r="G1814" s="152" t="s">
        <v>207</v>
      </c>
      <c r="H1814" s="152" t="s">
        <v>106</v>
      </c>
      <c r="I1814" s="152"/>
    </row>
    <row r="1815" customFormat="false" ht="16.5" hidden="false" customHeight="true" outlineLevel="0" collapsed="false">
      <c r="A1815" s="151" t="n">
        <v>46038</v>
      </c>
      <c r="B1815" s="152" t="s">
        <v>1689</v>
      </c>
      <c r="C1815" s="153" t="n">
        <v>-8.83</v>
      </c>
      <c r="D1815" s="154" t="s">
        <v>97</v>
      </c>
      <c r="E1815" s="153"/>
      <c r="F1815" s="154"/>
      <c r="G1815" s="152" t="s">
        <v>207</v>
      </c>
      <c r="H1815" s="152" t="s">
        <v>106</v>
      </c>
      <c r="I1815" s="152"/>
    </row>
    <row r="1816" customFormat="false" ht="16.5" hidden="false" customHeight="true" outlineLevel="0" collapsed="false">
      <c r="A1816" s="151" t="n">
        <v>46038</v>
      </c>
      <c r="B1816" s="152" t="s">
        <v>1690</v>
      </c>
      <c r="C1816" s="153" t="n">
        <v>-8.58</v>
      </c>
      <c r="D1816" s="154" t="s">
        <v>97</v>
      </c>
      <c r="E1816" s="153"/>
      <c r="F1816" s="154"/>
      <c r="G1816" s="152" t="s">
        <v>217</v>
      </c>
      <c r="H1816" s="152" t="s">
        <v>106</v>
      </c>
      <c r="I1816" s="152"/>
    </row>
    <row r="1817" customFormat="false" ht="16.5" hidden="false" customHeight="true" outlineLevel="0" collapsed="false">
      <c r="A1817" s="151" t="n">
        <v>46038</v>
      </c>
      <c r="B1817" s="152" t="s">
        <v>1691</v>
      </c>
      <c r="C1817" s="153" t="n">
        <v>-401.09</v>
      </c>
      <c r="D1817" s="154" t="s">
        <v>97</v>
      </c>
      <c r="E1817" s="153"/>
      <c r="F1817" s="154" t="s">
        <v>1692</v>
      </c>
      <c r="G1817" s="152" t="s">
        <v>190</v>
      </c>
      <c r="H1817" s="152" t="s">
        <v>106</v>
      </c>
      <c r="I1817" s="152"/>
    </row>
    <row r="1818" customFormat="false" ht="16.5" hidden="false" customHeight="true" outlineLevel="0" collapsed="false">
      <c r="A1818" s="151" t="n">
        <v>46038</v>
      </c>
      <c r="B1818" s="152" t="s">
        <v>1693</v>
      </c>
      <c r="C1818" s="153" t="n">
        <v>-40.96</v>
      </c>
      <c r="D1818" s="154" t="s">
        <v>97</v>
      </c>
      <c r="E1818" s="153"/>
      <c r="F1818" s="154" t="s">
        <v>1694</v>
      </c>
      <c r="G1818" s="152" t="s">
        <v>190</v>
      </c>
      <c r="H1818" s="152" t="s">
        <v>106</v>
      </c>
      <c r="I1818" s="152"/>
    </row>
    <row r="1819" customFormat="false" ht="16.5" hidden="false" customHeight="true" outlineLevel="0" collapsed="false">
      <c r="A1819" s="151" t="n">
        <v>46038</v>
      </c>
      <c r="B1819" s="152" t="s">
        <v>1695</v>
      </c>
      <c r="C1819" s="153" t="n">
        <v>-40.15</v>
      </c>
      <c r="D1819" s="154" t="s">
        <v>97</v>
      </c>
      <c r="E1819" s="153"/>
      <c r="F1819" s="154" t="s">
        <v>1696</v>
      </c>
      <c r="G1819" s="152" t="s">
        <v>190</v>
      </c>
      <c r="H1819" s="152" t="s">
        <v>106</v>
      </c>
      <c r="I1819" s="152"/>
    </row>
    <row r="1820" customFormat="false" ht="16.5" hidden="false" customHeight="true" outlineLevel="0" collapsed="false">
      <c r="A1820" s="151" t="n">
        <v>46041</v>
      </c>
      <c r="B1820" s="152" t="s">
        <v>60</v>
      </c>
      <c r="C1820" s="153" t="n">
        <v>13940.74</v>
      </c>
      <c r="D1820" s="154" t="s">
        <v>97</v>
      </c>
      <c r="E1820" s="153"/>
      <c r="F1820" s="154"/>
      <c r="G1820" s="152" t="s">
        <v>315</v>
      </c>
      <c r="H1820" s="152" t="s">
        <v>106</v>
      </c>
      <c r="I1820" s="152"/>
    </row>
    <row r="1821" customFormat="false" ht="16.5" hidden="false" customHeight="true" outlineLevel="0" collapsed="false">
      <c r="A1821" s="151" t="n">
        <v>46041</v>
      </c>
      <c r="B1821" s="152" t="s">
        <v>1697</v>
      </c>
      <c r="C1821" s="153" t="n">
        <v>401.09</v>
      </c>
      <c r="D1821" s="154" t="s">
        <v>97</v>
      </c>
      <c r="E1821" s="153"/>
      <c r="F1821" s="154" t="s">
        <v>1692</v>
      </c>
      <c r="G1821" s="152" t="s">
        <v>190</v>
      </c>
      <c r="H1821" s="152" t="s">
        <v>121</v>
      </c>
      <c r="I1821" s="152"/>
    </row>
    <row r="1822" customFormat="false" ht="16.5" hidden="false" customHeight="true" outlineLevel="0" collapsed="false">
      <c r="A1822" s="151" t="n">
        <v>46043</v>
      </c>
      <c r="B1822" s="152" t="s">
        <v>60</v>
      </c>
      <c r="C1822" s="153" t="n">
        <v>424.31</v>
      </c>
      <c r="D1822" s="154" t="s">
        <v>97</v>
      </c>
      <c r="E1822" s="153"/>
      <c r="F1822" s="154"/>
      <c r="G1822" s="152" t="s">
        <v>315</v>
      </c>
      <c r="H1822" s="152" t="s">
        <v>121</v>
      </c>
      <c r="I1822" s="152"/>
    </row>
    <row r="1823" customFormat="false" ht="16.5" hidden="false" customHeight="true" outlineLevel="0" collapsed="false">
      <c r="A1823" s="151" t="n">
        <v>46041</v>
      </c>
      <c r="B1823" s="152" t="s">
        <v>1283</v>
      </c>
      <c r="C1823" s="153" t="n">
        <v>40.15</v>
      </c>
      <c r="D1823" s="154" t="s">
        <v>97</v>
      </c>
      <c r="E1823" s="153"/>
      <c r="F1823" s="154" t="s">
        <v>1696</v>
      </c>
      <c r="G1823" s="152" t="s">
        <v>190</v>
      </c>
      <c r="H1823" s="152" t="s">
        <v>116</v>
      </c>
      <c r="I1823" s="152"/>
    </row>
    <row r="1824" customFormat="false" ht="16.5" hidden="false" customHeight="true" outlineLevel="0" collapsed="false">
      <c r="A1824" s="151" t="n">
        <v>46043</v>
      </c>
      <c r="B1824" s="152" t="s">
        <v>60</v>
      </c>
      <c r="C1824" s="153" t="n">
        <v>39.7</v>
      </c>
      <c r="D1824" s="154" t="s">
        <v>97</v>
      </c>
      <c r="E1824" s="153"/>
      <c r="F1824" s="154"/>
      <c r="G1824" s="152" t="s">
        <v>315</v>
      </c>
      <c r="H1824" s="152" t="s">
        <v>116</v>
      </c>
      <c r="I1824" s="152"/>
    </row>
    <row r="1825" customFormat="false" ht="16.5" hidden="false" customHeight="true" outlineLevel="0" collapsed="false">
      <c r="A1825" s="151" t="n">
        <v>46041</v>
      </c>
      <c r="B1825" s="152" t="s">
        <v>1267</v>
      </c>
      <c r="C1825" s="153" t="n">
        <v>40.96</v>
      </c>
      <c r="D1825" s="154" t="s">
        <v>97</v>
      </c>
      <c r="E1825" s="153"/>
      <c r="F1825" s="154" t="s">
        <v>1694</v>
      </c>
      <c r="G1825" s="152" t="s">
        <v>190</v>
      </c>
      <c r="H1825" s="152" t="s">
        <v>119</v>
      </c>
      <c r="I1825" s="152"/>
    </row>
    <row r="1826" customFormat="false" ht="16.5" hidden="false" customHeight="true" outlineLevel="0" collapsed="false">
      <c r="A1826" s="151" t="n">
        <v>46041</v>
      </c>
      <c r="B1826" s="152" t="s">
        <v>1698</v>
      </c>
      <c r="C1826" s="153" t="n">
        <v>42.16</v>
      </c>
      <c r="D1826" s="154" t="s">
        <v>97</v>
      </c>
      <c r="E1826" s="153"/>
      <c r="F1826" s="154"/>
      <c r="G1826" s="152" t="s">
        <v>315</v>
      </c>
      <c r="H1826" s="152" t="s">
        <v>119</v>
      </c>
      <c r="I1826" s="152"/>
    </row>
    <row r="1827" customFormat="false" ht="16.5" hidden="false" customHeight="true" outlineLevel="0" collapsed="false">
      <c r="A1827" s="151" t="n">
        <v>46043</v>
      </c>
      <c r="B1827" s="152" t="s">
        <v>60</v>
      </c>
      <c r="C1827" s="153" t="n">
        <v>2164.18</v>
      </c>
      <c r="D1827" s="154" t="s">
        <v>97</v>
      </c>
      <c r="E1827" s="153"/>
      <c r="F1827" s="154"/>
      <c r="G1827" s="152" t="s">
        <v>315</v>
      </c>
      <c r="H1827" s="152" t="s">
        <v>101</v>
      </c>
      <c r="I1827" s="152"/>
    </row>
    <row r="1828" customFormat="false" ht="16.5" hidden="false" customHeight="true" outlineLevel="0" collapsed="false">
      <c r="A1828" s="151" t="n">
        <v>46045</v>
      </c>
      <c r="B1828" s="152" t="s">
        <v>1699</v>
      </c>
      <c r="C1828" s="153" t="n">
        <v>-401.09</v>
      </c>
      <c r="D1828" s="154" t="s">
        <v>97</v>
      </c>
      <c r="E1828" s="153"/>
      <c r="F1828" s="154" t="s">
        <v>1700</v>
      </c>
      <c r="G1828" s="152" t="s">
        <v>190</v>
      </c>
      <c r="H1828" s="152" t="s">
        <v>106</v>
      </c>
      <c r="I1828" s="152"/>
    </row>
    <row r="1829" customFormat="false" ht="16.5" hidden="false" customHeight="true" outlineLevel="0" collapsed="false">
      <c r="A1829" s="151" t="n">
        <v>46045</v>
      </c>
      <c r="B1829" s="152" t="s">
        <v>1701</v>
      </c>
      <c r="C1829" s="153" t="n">
        <v>-180.12</v>
      </c>
      <c r="D1829" s="154" t="s">
        <v>97</v>
      </c>
      <c r="E1829" s="153" t="n">
        <v>-180.12</v>
      </c>
      <c r="F1829" s="154" t="s">
        <v>1702</v>
      </c>
      <c r="G1829" s="152" t="s">
        <v>188</v>
      </c>
      <c r="H1829" s="152" t="s">
        <v>106</v>
      </c>
      <c r="I1829" s="152"/>
    </row>
    <row r="1830" customFormat="false" ht="16.5" hidden="false" customHeight="true" outlineLevel="0" collapsed="false">
      <c r="A1830" s="151" t="n">
        <v>46043</v>
      </c>
      <c r="B1830" s="152" t="s">
        <v>1703</v>
      </c>
      <c r="C1830" s="153" t="n">
        <v>1.8</v>
      </c>
      <c r="D1830" s="154" t="s">
        <v>97</v>
      </c>
      <c r="E1830" s="153"/>
      <c r="F1830" s="154"/>
      <c r="G1830" s="152" t="s">
        <v>197</v>
      </c>
      <c r="H1830" s="152" t="s">
        <v>106</v>
      </c>
      <c r="I1830" s="152"/>
    </row>
    <row r="1831" customFormat="false" ht="16.5" hidden="false" customHeight="true" outlineLevel="0" collapsed="false">
      <c r="A1831" s="151" t="n">
        <v>46045</v>
      </c>
      <c r="B1831" s="152" t="s">
        <v>60</v>
      </c>
      <c r="C1831" s="153" t="n">
        <v>13361.33</v>
      </c>
      <c r="D1831" s="154" t="s">
        <v>97</v>
      </c>
      <c r="E1831" s="153"/>
      <c r="F1831" s="154"/>
      <c r="G1831" s="152" t="s">
        <v>315</v>
      </c>
      <c r="H1831" s="152" t="s">
        <v>106</v>
      </c>
      <c r="I1831" s="152"/>
    </row>
    <row r="1832" customFormat="false" ht="16.5" hidden="false" customHeight="true" outlineLevel="0" collapsed="false">
      <c r="A1832" s="151" t="n">
        <v>45980</v>
      </c>
      <c r="B1832" s="152" t="s">
        <v>549</v>
      </c>
      <c r="C1832" s="153" t="n">
        <v>0.33</v>
      </c>
      <c r="D1832" s="154" t="s">
        <v>97</v>
      </c>
      <c r="E1832" s="153"/>
      <c r="F1832" s="154"/>
      <c r="G1832" s="152" t="s">
        <v>199</v>
      </c>
      <c r="H1832" s="152" t="s">
        <v>122</v>
      </c>
      <c r="I1832" s="152"/>
    </row>
    <row r="1833" customFormat="false" ht="16.5" hidden="false" customHeight="true" outlineLevel="0" collapsed="false">
      <c r="A1833" s="151" t="n">
        <v>46044</v>
      </c>
      <c r="B1833" s="152" t="s">
        <v>1704</v>
      </c>
      <c r="C1833" s="153" t="n">
        <v>-329.37</v>
      </c>
      <c r="D1833" s="154" t="s">
        <v>97</v>
      </c>
      <c r="E1833" s="153"/>
      <c r="F1833" s="154" t="s">
        <v>1705</v>
      </c>
      <c r="G1833" s="152" t="s">
        <v>191</v>
      </c>
      <c r="H1833" s="152" t="s">
        <v>121</v>
      </c>
      <c r="I1833" s="152"/>
    </row>
    <row r="1834" customFormat="false" ht="16.5" hidden="false" customHeight="true" outlineLevel="0" collapsed="false">
      <c r="A1834" s="151" t="n">
        <v>46044</v>
      </c>
      <c r="B1834" s="152" t="s">
        <v>1704</v>
      </c>
      <c r="C1834" s="153" t="n">
        <v>329.37</v>
      </c>
      <c r="D1834" s="154" t="s">
        <v>97</v>
      </c>
      <c r="E1834" s="153"/>
      <c r="F1834" s="154" t="s">
        <v>1705</v>
      </c>
      <c r="G1834" s="152" t="s">
        <v>191</v>
      </c>
      <c r="H1834" s="152" t="s">
        <v>101</v>
      </c>
      <c r="I1834" s="152"/>
    </row>
    <row r="1835" customFormat="false" ht="16.5" hidden="false" customHeight="true" outlineLevel="0" collapsed="false">
      <c r="A1835" s="151" t="n">
        <v>46044</v>
      </c>
      <c r="B1835" s="152" t="s">
        <v>1706</v>
      </c>
      <c r="C1835" s="153" t="n">
        <v>-0.4</v>
      </c>
      <c r="D1835" s="154" t="s">
        <v>97</v>
      </c>
      <c r="E1835" s="153"/>
      <c r="F1835" s="154"/>
      <c r="G1835" s="152" t="s">
        <v>204</v>
      </c>
      <c r="H1835" s="152" t="s">
        <v>121</v>
      </c>
      <c r="I1835" s="152"/>
    </row>
    <row r="1836" customFormat="false" ht="16.5" hidden="false" customHeight="true" outlineLevel="0" collapsed="false">
      <c r="A1836" s="151" t="n">
        <v>46048</v>
      </c>
      <c r="B1836" s="152" t="s">
        <v>60</v>
      </c>
      <c r="C1836" s="153" t="n">
        <v>11664.86</v>
      </c>
      <c r="D1836" s="154" t="s">
        <v>97</v>
      </c>
      <c r="E1836" s="153"/>
      <c r="F1836" s="154"/>
      <c r="G1836" s="152" t="s">
        <v>315</v>
      </c>
      <c r="H1836" s="152" t="s">
        <v>100</v>
      </c>
      <c r="I1836" s="152"/>
    </row>
    <row r="1837" customFormat="false" ht="16.5" hidden="false" customHeight="true" outlineLevel="0" collapsed="false">
      <c r="A1837" s="151" t="n">
        <v>46048</v>
      </c>
      <c r="B1837" s="152" t="s">
        <v>60</v>
      </c>
      <c r="C1837" s="153" t="n">
        <v>1070.6</v>
      </c>
      <c r="D1837" s="154" t="s">
        <v>97</v>
      </c>
      <c r="E1837" s="153"/>
      <c r="F1837" s="154"/>
      <c r="G1837" s="152" t="s">
        <v>315</v>
      </c>
      <c r="H1837" s="152" t="s">
        <v>122</v>
      </c>
      <c r="I1837" s="152"/>
    </row>
    <row r="1838" customFormat="false" ht="16.5" hidden="false" customHeight="true" outlineLevel="0" collapsed="false">
      <c r="A1838" s="151" t="n">
        <v>46048</v>
      </c>
      <c r="B1838" s="152" t="s">
        <v>60</v>
      </c>
      <c r="C1838" s="153" t="n">
        <v>2487.86</v>
      </c>
      <c r="D1838" s="154" t="s">
        <v>97</v>
      </c>
      <c r="E1838" s="153"/>
      <c r="F1838" s="154"/>
      <c r="G1838" s="152" t="s">
        <v>315</v>
      </c>
      <c r="H1838" s="152" t="s">
        <v>101</v>
      </c>
      <c r="I1838" s="152"/>
    </row>
    <row r="1839" customFormat="false" ht="16.5" hidden="false" customHeight="true" outlineLevel="0" collapsed="false">
      <c r="A1839" s="151" t="n">
        <v>46048</v>
      </c>
      <c r="B1839" s="152" t="s">
        <v>60</v>
      </c>
      <c r="C1839" s="153" t="n">
        <v>94.54</v>
      </c>
      <c r="D1839" s="154" t="s">
        <v>97</v>
      </c>
      <c r="E1839" s="153"/>
      <c r="F1839" s="154"/>
      <c r="G1839" s="152" t="s">
        <v>315</v>
      </c>
      <c r="H1839" s="152" t="s">
        <v>121</v>
      </c>
      <c r="I1839" s="152"/>
    </row>
    <row r="1840" customFormat="false" ht="16.5" hidden="false" customHeight="true" outlineLevel="0" collapsed="false">
      <c r="A1840" s="151" t="n">
        <v>46048</v>
      </c>
      <c r="B1840" s="152" t="s">
        <v>1707</v>
      </c>
      <c r="C1840" s="159" t="n">
        <v>27.89</v>
      </c>
      <c r="D1840" s="154" t="s">
        <v>103</v>
      </c>
      <c r="E1840" s="153" t="n">
        <v>23.7</v>
      </c>
      <c r="F1840" s="154" t="s">
        <v>1708</v>
      </c>
      <c r="G1840" s="152" t="s">
        <v>188</v>
      </c>
      <c r="H1840" s="152" t="s">
        <v>131</v>
      </c>
      <c r="I1840" s="152"/>
    </row>
    <row r="1841" customFormat="false" ht="16.5" hidden="false" customHeight="true" outlineLevel="0" collapsed="false">
      <c r="A1841" s="151" t="n">
        <v>46048</v>
      </c>
      <c r="B1841" s="152" t="s">
        <v>1707</v>
      </c>
      <c r="C1841" s="159" t="n">
        <v>471.19</v>
      </c>
      <c r="D1841" s="154" t="s">
        <v>103</v>
      </c>
      <c r="E1841" s="153" t="n">
        <v>401.09</v>
      </c>
      <c r="F1841" s="154" t="s">
        <v>1709</v>
      </c>
      <c r="G1841" s="152" t="s">
        <v>188</v>
      </c>
      <c r="H1841" s="152" t="s">
        <v>131</v>
      </c>
      <c r="I1841" s="152"/>
    </row>
    <row r="1842" customFormat="false" ht="16.5" hidden="false" customHeight="true" outlineLevel="0" collapsed="false">
      <c r="A1842" s="151" t="n">
        <v>46048</v>
      </c>
      <c r="B1842" s="152" t="s">
        <v>1710</v>
      </c>
      <c r="C1842" s="159" t="n">
        <v>-27.85</v>
      </c>
      <c r="D1842" s="154" t="s">
        <v>103</v>
      </c>
      <c r="E1842" s="153" t="n">
        <v>-23.53</v>
      </c>
      <c r="F1842" s="154" t="s">
        <v>1711</v>
      </c>
      <c r="G1842" s="152" t="s">
        <v>191</v>
      </c>
      <c r="H1842" s="152" t="s">
        <v>131</v>
      </c>
      <c r="I1842" s="152"/>
    </row>
    <row r="1843" customFormat="false" ht="16.5" hidden="false" customHeight="true" outlineLevel="0" collapsed="false">
      <c r="A1843" s="151" t="n">
        <v>46048</v>
      </c>
      <c r="B1843" s="152" t="s">
        <v>1710</v>
      </c>
      <c r="C1843" s="159" t="n">
        <v>27.85</v>
      </c>
      <c r="D1843" s="154" t="s">
        <v>103</v>
      </c>
      <c r="E1843" s="153" t="n">
        <v>23.53</v>
      </c>
      <c r="F1843" s="154" t="s">
        <v>1711</v>
      </c>
      <c r="G1843" s="152" t="s">
        <v>191</v>
      </c>
      <c r="H1843" s="152" t="s">
        <v>102</v>
      </c>
      <c r="I1843" s="152"/>
    </row>
    <row r="1844" customFormat="false" ht="16.5" hidden="false" customHeight="true" outlineLevel="0" collapsed="false">
      <c r="A1844" s="151" t="n">
        <v>46048</v>
      </c>
      <c r="B1844" s="152" t="s">
        <v>1710</v>
      </c>
      <c r="C1844" s="159" t="n">
        <v>-470.86</v>
      </c>
      <c r="D1844" s="154" t="s">
        <v>103</v>
      </c>
      <c r="E1844" s="153" t="n">
        <v>-397.82</v>
      </c>
      <c r="F1844" s="154" t="s">
        <v>1712</v>
      </c>
      <c r="G1844" s="152" t="s">
        <v>191</v>
      </c>
      <c r="H1844" s="152" t="s">
        <v>131</v>
      </c>
      <c r="I1844" s="152"/>
    </row>
    <row r="1845" customFormat="false" ht="16.5" hidden="false" customHeight="true" outlineLevel="0" collapsed="false">
      <c r="A1845" s="151" t="n">
        <v>46048</v>
      </c>
      <c r="B1845" s="152" t="s">
        <v>1710</v>
      </c>
      <c r="C1845" s="159" t="n">
        <v>470.86</v>
      </c>
      <c r="D1845" s="154" t="s">
        <v>103</v>
      </c>
      <c r="E1845" s="153" t="n">
        <v>397.82</v>
      </c>
      <c r="F1845" s="154" t="s">
        <v>1712</v>
      </c>
      <c r="G1845" s="152" t="s">
        <v>191</v>
      </c>
      <c r="H1845" s="152" t="s">
        <v>102</v>
      </c>
      <c r="I1845" s="152"/>
    </row>
    <row r="1846" customFormat="false" ht="16.5" hidden="false" customHeight="true" outlineLevel="0" collapsed="false">
      <c r="A1846" s="151" t="n">
        <v>46048</v>
      </c>
      <c r="B1846" s="152" t="s">
        <v>722</v>
      </c>
      <c r="C1846" s="153" t="n">
        <v>-401.09</v>
      </c>
      <c r="D1846" s="154" t="s">
        <v>97</v>
      </c>
      <c r="E1846" s="153" t="n">
        <v>-401.09</v>
      </c>
      <c r="F1846" s="154" t="s">
        <v>1709</v>
      </c>
      <c r="G1846" s="152" t="s">
        <v>188</v>
      </c>
      <c r="H1846" s="152" t="s">
        <v>116</v>
      </c>
      <c r="I1846" s="152"/>
    </row>
    <row r="1847" customFormat="false" ht="16.5" hidden="false" customHeight="true" outlineLevel="0" collapsed="false">
      <c r="A1847" s="151" t="n">
        <v>46048</v>
      </c>
      <c r="B1847" s="152" t="s">
        <v>722</v>
      </c>
      <c r="C1847" s="153" t="n">
        <v>-23.7</v>
      </c>
      <c r="D1847" s="154" t="s">
        <v>97</v>
      </c>
      <c r="E1847" s="153" t="n">
        <v>-23.7</v>
      </c>
      <c r="F1847" s="154" t="s">
        <v>1708</v>
      </c>
      <c r="G1847" s="152" t="s">
        <v>188</v>
      </c>
      <c r="H1847" s="152" t="s">
        <v>116</v>
      </c>
      <c r="I1847" s="152"/>
    </row>
    <row r="1848" customFormat="false" ht="16.5" hidden="false" customHeight="true" outlineLevel="0" collapsed="false">
      <c r="A1848" s="151" t="n">
        <v>46048</v>
      </c>
      <c r="B1848" s="152" t="s">
        <v>1283</v>
      </c>
      <c r="C1848" s="153" t="n">
        <v>401.09</v>
      </c>
      <c r="D1848" s="154" t="s">
        <v>97</v>
      </c>
      <c r="E1848" s="153"/>
      <c r="F1848" s="154" t="s">
        <v>1700</v>
      </c>
      <c r="G1848" s="152" t="s">
        <v>190</v>
      </c>
      <c r="H1848" s="152" t="s">
        <v>116</v>
      </c>
      <c r="I1848" s="152"/>
    </row>
    <row r="1849" customFormat="false" ht="16.5" hidden="false" customHeight="true" outlineLevel="0" collapsed="false">
      <c r="A1849" s="151" t="n">
        <v>46050</v>
      </c>
      <c r="B1849" s="152" t="s">
        <v>1713</v>
      </c>
      <c r="C1849" s="159" t="n">
        <v>67.53</v>
      </c>
      <c r="D1849" s="154" t="s">
        <v>103</v>
      </c>
      <c r="E1849" s="153"/>
      <c r="F1849" s="154"/>
      <c r="G1849" s="152" t="s">
        <v>315</v>
      </c>
      <c r="H1849" s="152" t="s">
        <v>131</v>
      </c>
      <c r="I1849" s="152"/>
    </row>
    <row r="1850" customFormat="false" ht="16.5" hidden="false" customHeight="true" outlineLevel="0" collapsed="false">
      <c r="A1850" s="151" t="n">
        <v>46050</v>
      </c>
      <c r="B1850" s="152" t="s">
        <v>1713</v>
      </c>
      <c r="C1850" s="153" t="n">
        <v>16</v>
      </c>
      <c r="D1850" s="154" t="s">
        <v>97</v>
      </c>
      <c r="E1850" s="153"/>
      <c r="F1850" s="154"/>
      <c r="G1850" s="152" t="s">
        <v>315</v>
      </c>
      <c r="H1850" s="152" t="s">
        <v>116</v>
      </c>
      <c r="I1850" s="152"/>
    </row>
    <row r="1851" customFormat="false" ht="16.5" hidden="false" customHeight="true" outlineLevel="0" collapsed="false">
      <c r="A1851" s="151" t="n">
        <v>46050</v>
      </c>
      <c r="B1851" s="152" t="s">
        <v>60</v>
      </c>
      <c r="C1851" s="159" t="n">
        <v>710.46</v>
      </c>
      <c r="D1851" s="154" t="s">
        <v>103</v>
      </c>
      <c r="E1851" s="153"/>
      <c r="F1851" s="154"/>
      <c r="G1851" s="152" t="s">
        <v>315</v>
      </c>
      <c r="H1851" s="152" t="s">
        <v>102</v>
      </c>
      <c r="I1851" s="152"/>
    </row>
    <row r="1852" customFormat="false" ht="16.5" hidden="false" customHeight="true" outlineLevel="0" collapsed="false">
      <c r="A1852" s="151" t="n">
        <v>46052</v>
      </c>
      <c r="B1852" s="152" t="s">
        <v>1714</v>
      </c>
      <c r="C1852" s="153" t="n">
        <v>-383.22</v>
      </c>
      <c r="D1852" s="154" t="s">
        <v>97</v>
      </c>
      <c r="E1852" s="153"/>
      <c r="F1852" s="154" t="s">
        <v>1715</v>
      </c>
      <c r="G1852" s="152" t="s">
        <v>191</v>
      </c>
      <c r="H1852" s="152" t="s">
        <v>122</v>
      </c>
      <c r="I1852" s="152"/>
    </row>
    <row r="1853" customFormat="false" ht="16.5" hidden="false" customHeight="true" outlineLevel="0" collapsed="false">
      <c r="A1853" s="151" t="n">
        <v>46052</v>
      </c>
      <c r="B1853" s="152" t="s">
        <v>1714</v>
      </c>
      <c r="C1853" s="153" t="n">
        <v>383.22</v>
      </c>
      <c r="D1853" s="154" t="s">
        <v>97</v>
      </c>
      <c r="E1853" s="153"/>
      <c r="F1853" s="154" t="s">
        <v>1715</v>
      </c>
      <c r="G1853" s="152" t="s">
        <v>191</v>
      </c>
      <c r="H1853" s="152" t="s">
        <v>100</v>
      </c>
      <c r="I1853" s="152"/>
    </row>
    <row r="1854" customFormat="false" ht="16.5" hidden="false" customHeight="true" outlineLevel="0" collapsed="false">
      <c r="A1854" s="151" t="n">
        <v>46051</v>
      </c>
      <c r="B1854" s="152" t="s">
        <v>1716</v>
      </c>
      <c r="C1854" s="153" t="n">
        <v>-319.76</v>
      </c>
      <c r="D1854" s="154" t="s">
        <v>97</v>
      </c>
      <c r="E1854" s="153"/>
      <c r="F1854" s="154" t="s">
        <v>1717</v>
      </c>
      <c r="G1854" s="152" t="s">
        <v>191</v>
      </c>
      <c r="H1854" s="152" t="s">
        <v>122</v>
      </c>
      <c r="I1854" s="152"/>
    </row>
    <row r="1855" customFormat="false" ht="16.5" hidden="false" customHeight="true" outlineLevel="0" collapsed="false">
      <c r="A1855" s="151" t="n">
        <v>46051</v>
      </c>
      <c r="B1855" s="152" t="s">
        <v>1716</v>
      </c>
      <c r="C1855" s="153" t="n">
        <v>319.76</v>
      </c>
      <c r="D1855" s="154" t="s">
        <v>97</v>
      </c>
      <c r="E1855" s="153"/>
      <c r="F1855" s="154" t="s">
        <v>1717</v>
      </c>
      <c r="G1855" s="152" t="s">
        <v>191</v>
      </c>
      <c r="H1855" s="152" t="s">
        <v>100</v>
      </c>
      <c r="I1855" s="152"/>
    </row>
    <row r="1856" customFormat="false" ht="16.5" hidden="false" customHeight="true" outlineLevel="0" collapsed="false">
      <c r="A1856" s="151" t="n">
        <v>46055</v>
      </c>
      <c r="B1856" s="152" t="s">
        <v>1718</v>
      </c>
      <c r="C1856" s="153" t="n">
        <v>1.04</v>
      </c>
      <c r="D1856" s="154" t="s">
        <v>97</v>
      </c>
      <c r="E1856" s="153"/>
      <c r="F1856" s="154"/>
      <c r="G1856" s="152" t="s">
        <v>213</v>
      </c>
      <c r="H1856" s="152" t="s">
        <v>106</v>
      </c>
      <c r="I1856" s="152"/>
    </row>
    <row r="1857" customFormat="false" ht="16.5" hidden="false" customHeight="true" outlineLevel="0" collapsed="false">
      <c r="A1857" s="151" t="n">
        <v>46055</v>
      </c>
      <c r="B1857" s="152" t="s">
        <v>1719</v>
      </c>
      <c r="C1857" s="153" t="n">
        <v>27.32</v>
      </c>
      <c r="D1857" s="154" t="s">
        <v>97</v>
      </c>
      <c r="E1857" s="153"/>
      <c r="F1857" s="154"/>
      <c r="G1857" s="152" t="s">
        <v>224</v>
      </c>
      <c r="H1857" s="152" t="s">
        <v>106</v>
      </c>
      <c r="I1857" s="152"/>
    </row>
    <row r="1858" customFormat="false" ht="16.5" hidden="false" customHeight="true" outlineLevel="0" collapsed="false">
      <c r="A1858" s="151" t="n">
        <v>46055</v>
      </c>
      <c r="B1858" s="152" t="s">
        <v>606</v>
      </c>
      <c r="C1858" s="153" t="n">
        <v>-339.37</v>
      </c>
      <c r="D1858" s="154" t="s">
        <v>97</v>
      </c>
      <c r="E1858" s="153"/>
      <c r="F1858" s="154"/>
      <c r="G1858" s="152" t="s">
        <v>162</v>
      </c>
      <c r="H1858" s="152" t="s">
        <v>106</v>
      </c>
      <c r="I1858" s="152"/>
    </row>
    <row r="1859" customFormat="false" ht="16.5" hidden="false" customHeight="true" outlineLevel="0" collapsed="false">
      <c r="A1859" s="151" t="n">
        <v>46055</v>
      </c>
      <c r="B1859" s="152" t="s">
        <v>1720</v>
      </c>
      <c r="C1859" s="153" t="n">
        <v>616.41</v>
      </c>
      <c r="D1859" s="154" t="s">
        <v>97</v>
      </c>
      <c r="E1859" s="153"/>
      <c r="F1859" s="154"/>
      <c r="G1859" s="152" t="s">
        <v>194</v>
      </c>
      <c r="H1859" s="152" t="s">
        <v>106</v>
      </c>
      <c r="I1859" s="152"/>
    </row>
    <row r="1860" customFormat="false" ht="16.5" hidden="false" customHeight="true" outlineLevel="0" collapsed="false">
      <c r="A1860" s="151" t="n">
        <v>46055</v>
      </c>
      <c r="B1860" s="152" t="s">
        <v>1721</v>
      </c>
      <c r="C1860" s="153" t="n">
        <v>275.25</v>
      </c>
      <c r="D1860" s="154" t="s">
        <v>97</v>
      </c>
      <c r="E1860" s="153"/>
      <c r="F1860" s="154"/>
      <c r="G1860" s="152" t="s">
        <v>206</v>
      </c>
      <c r="H1860" s="152" t="s">
        <v>106</v>
      </c>
      <c r="I1860" s="152"/>
    </row>
    <row r="1861" customFormat="false" ht="16.5" hidden="false" customHeight="true" outlineLevel="0" collapsed="false">
      <c r="A1861" s="151" t="n">
        <v>46055</v>
      </c>
      <c r="B1861" s="152" t="s">
        <v>1722</v>
      </c>
      <c r="C1861" s="153" t="n">
        <v>103.44</v>
      </c>
      <c r="D1861" s="154" t="s">
        <v>97</v>
      </c>
      <c r="E1861" s="153"/>
      <c r="F1861" s="154"/>
      <c r="G1861" s="152" t="s">
        <v>206</v>
      </c>
      <c r="H1861" s="152" t="s">
        <v>106</v>
      </c>
      <c r="I1861" s="152"/>
    </row>
    <row r="1862" customFormat="false" ht="16.5" hidden="false" customHeight="true" outlineLevel="0" collapsed="false">
      <c r="A1862" s="151" t="n">
        <v>46055</v>
      </c>
      <c r="B1862" s="152" t="s">
        <v>1723</v>
      </c>
      <c r="C1862" s="153" t="n">
        <v>-44.92</v>
      </c>
      <c r="D1862" s="154" t="s">
        <v>97</v>
      </c>
      <c r="E1862" s="153"/>
      <c r="F1862" s="154"/>
      <c r="G1862" s="152" t="s">
        <v>213</v>
      </c>
      <c r="H1862" s="152" t="s">
        <v>106</v>
      </c>
      <c r="I1862" s="152"/>
    </row>
    <row r="1863" customFormat="false" ht="16.5" hidden="false" customHeight="true" outlineLevel="0" collapsed="false">
      <c r="A1863" s="151" t="n">
        <v>46055</v>
      </c>
      <c r="B1863" s="152" t="s">
        <v>1724</v>
      </c>
      <c r="C1863" s="153" t="n">
        <v>-33.71</v>
      </c>
      <c r="D1863" s="154" t="s">
        <v>97</v>
      </c>
      <c r="E1863" s="153"/>
      <c r="F1863" s="154"/>
      <c r="G1863" s="152" t="s">
        <v>213</v>
      </c>
      <c r="H1863" s="152" t="s">
        <v>106</v>
      </c>
      <c r="I1863" s="152"/>
    </row>
    <row r="1864" customFormat="false" ht="16.5" hidden="false" customHeight="true" outlineLevel="0" collapsed="false">
      <c r="A1864" s="151" t="n">
        <v>46055</v>
      </c>
      <c r="B1864" s="152" t="s">
        <v>1725</v>
      </c>
      <c r="C1864" s="153" t="n">
        <v>-26.08</v>
      </c>
      <c r="D1864" s="154" t="s">
        <v>97</v>
      </c>
      <c r="E1864" s="153"/>
      <c r="F1864" s="154"/>
      <c r="G1864" s="152" t="s">
        <v>213</v>
      </c>
      <c r="H1864" s="152" t="s">
        <v>106</v>
      </c>
      <c r="I1864" s="152"/>
    </row>
    <row r="1865" customFormat="false" ht="16.5" hidden="false" customHeight="true" outlineLevel="0" collapsed="false">
      <c r="A1865" s="151" t="n">
        <v>46055</v>
      </c>
      <c r="B1865" s="152" t="s">
        <v>1726</v>
      </c>
      <c r="C1865" s="153" t="n">
        <v>-23.27</v>
      </c>
      <c r="D1865" s="154" t="s">
        <v>97</v>
      </c>
      <c r="E1865" s="153"/>
      <c r="F1865" s="154"/>
      <c r="G1865" s="152" t="s">
        <v>213</v>
      </c>
      <c r="H1865" s="152" t="s">
        <v>106</v>
      </c>
      <c r="I1865" s="152"/>
    </row>
    <row r="1866" customFormat="false" ht="16.5" hidden="false" customHeight="true" outlineLevel="0" collapsed="false">
      <c r="A1866" s="151" t="n">
        <v>46055</v>
      </c>
      <c r="B1866" s="152" t="s">
        <v>1727</v>
      </c>
      <c r="C1866" s="153" t="n">
        <v>-19.3</v>
      </c>
      <c r="D1866" s="154" t="s">
        <v>97</v>
      </c>
      <c r="E1866" s="153"/>
      <c r="F1866" s="154"/>
      <c r="G1866" s="152" t="s">
        <v>213</v>
      </c>
      <c r="H1866" s="152" t="s">
        <v>106</v>
      </c>
      <c r="I1866" s="152"/>
    </row>
    <row r="1867" customFormat="false" ht="16.5" hidden="false" customHeight="true" outlineLevel="0" collapsed="false">
      <c r="A1867" s="151" t="n">
        <v>46055</v>
      </c>
      <c r="B1867" s="152" t="s">
        <v>1728</v>
      </c>
      <c r="C1867" s="153" t="n">
        <v>-17.16</v>
      </c>
      <c r="D1867" s="154" t="s">
        <v>97</v>
      </c>
      <c r="E1867" s="153"/>
      <c r="F1867" s="154"/>
      <c r="G1867" s="152" t="s">
        <v>164</v>
      </c>
      <c r="H1867" s="152" t="s">
        <v>106</v>
      </c>
      <c r="I1867" s="152"/>
    </row>
    <row r="1868" customFormat="false" ht="16.5" hidden="false" customHeight="true" outlineLevel="0" collapsed="false">
      <c r="A1868" s="151" t="n">
        <v>46055</v>
      </c>
      <c r="B1868" s="152" t="s">
        <v>1729</v>
      </c>
      <c r="C1868" s="153" t="n">
        <v>-9.84</v>
      </c>
      <c r="D1868" s="154" t="s">
        <v>97</v>
      </c>
      <c r="E1868" s="153"/>
      <c r="F1868" s="154"/>
      <c r="G1868" s="152" t="s">
        <v>42</v>
      </c>
      <c r="H1868" s="152" t="s">
        <v>106</v>
      </c>
      <c r="I1868" s="152"/>
    </row>
    <row r="1869" customFormat="false" ht="16.5" hidden="false" customHeight="true" outlineLevel="0" collapsed="false">
      <c r="A1869" s="151" t="n">
        <v>46055</v>
      </c>
      <c r="B1869" s="152" t="s">
        <v>1730</v>
      </c>
      <c r="C1869" s="153" t="n">
        <v>-9.32</v>
      </c>
      <c r="D1869" s="154" t="s">
        <v>97</v>
      </c>
      <c r="E1869" s="153"/>
      <c r="F1869" s="154"/>
      <c r="G1869" s="152" t="s">
        <v>164</v>
      </c>
      <c r="H1869" s="152" t="s">
        <v>106</v>
      </c>
      <c r="I1869" s="152"/>
    </row>
    <row r="1870" customFormat="false" ht="16.5" hidden="false" customHeight="true" outlineLevel="0" collapsed="false">
      <c r="A1870" s="151" t="n">
        <v>46055</v>
      </c>
      <c r="B1870" s="152" t="s">
        <v>1731</v>
      </c>
      <c r="C1870" s="153" t="n">
        <v>-8.98</v>
      </c>
      <c r="D1870" s="154" t="s">
        <v>97</v>
      </c>
      <c r="E1870" s="153"/>
      <c r="F1870" s="154"/>
      <c r="G1870" s="152" t="s">
        <v>231</v>
      </c>
      <c r="H1870" s="152" t="s">
        <v>106</v>
      </c>
      <c r="I1870" s="152"/>
    </row>
    <row r="1871" customFormat="false" ht="16.5" hidden="false" customHeight="true" outlineLevel="0" collapsed="false">
      <c r="A1871" s="151" t="n">
        <v>46055</v>
      </c>
      <c r="B1871" s="152" t="s">
        <v>1732</v>
      </c>
      <c r="C1871" s="153" t="n">
        <v>-8.02</v>
      </c>
      <c r="D1871" s="154" t="s">
        <v>97</v>
      </c>
      <c r="E1871" s="153"/>
      <c r="F1871" s="154"/>
      <c r="G1871" s="152" t="s">
        <v>164</v>
      </c>
      <c r="H1871" s="152" t="s">
        <v>106</v>
      </c>
      <c r="I1871" s="152"/>
    </row>
    <row r="1872" customFormat="false" ht="16.5" hidden="false" customHeight="true" outlineLevel="0" collapsed="false">
      <c r="A1872" s="151" t="n">
        <v>46055</v>
      </c>
      <c r="B1872" s="152" t="s">
        <v>1733</v>
      </c>
      <c r="C1872" s="153" t="n">
        <v>-7.12</v>
      </c>
      <c r="D1872" s="154" t="s">
        <v>97</v>
      </c>
      <c r="E1872" s="153"/>
      <c r="F1872" s="154"/>
      <c r="G1872" s="152" t="s">
        <v>167</v>
      </c>
      <c r="H1872" s="152" t="s">
        <v>106</v>
      </c>
      <c r="I1872" s="152"/>
    </row>
    <row r="1873" customFormat="false" ht="16.5" hidden="false" customHeight="true" outlineLevel="0" collapsed="false">
      <c r="A1873" s="151" t="n">
        <v>46055</v>
      </c>
      <c r="B1873" s="152" t="s">
        <v>1734</v>
      </c>
      <c r="C1873" s="153" t="n">
        <v>-6.94</v>
      </c>
      <c r="D1873" s="154" t="s">
        <v>97</v>
      </c>
      <c r="E1873" s="153"/>
      <c r="F1873" s="154"/>
      <c r="G1873" s="152" t="s">
        <v>231</v>
      </c>
      <c r="H1873" s="152" t="s">
        <v>106</v>
      </c>
      <c r="I1873" s="152"/>
    </row>
    <row r="1874" customFormat="false" ht="16.5" hidden="false" customHeight="true" outlineLevel="0" collapsed="false">
      <c r="A1874" s="151" t="n">
        <v>46055</v>
      </c>
      <c r="B1874" s="152" t="s">
        <v>1735</v>
      </c>
      <c r="C1874" s="153" t="n">
        <v>-5.8</v>
      </c>
      <c r="D1874" s="154" t="s">
        <v>97</v>
      </c>
      <c r="E1874" s="153"/>
      <c r="F1874" s="154"/>
      <c r="G1874" s="152" t="s">
        <v>231</v>
      </c>
      <c r="H1874" s="152" t="s">
        <v>106</v>
      </c>
      <c r="I1874" s="152"/>
    </row>
    <row r="1875" customFormat="false" ht="16.5" hidden="false" customHeight="true" outlineLevel="0" collapsed="false">
      <c r="A1875" s="151" t="n">
        <v>46055</v>
      </c>
      <c r="B1875" s="152" t="s">
        <v>1736</v>
      </c>
      <c r="C1875" s="153" t="n">
        <v>-5.25</v>
      </c>
      <c r="D1875" s="154" t="s">
        <v>97</v>
      </c>
      <c r="E1875" s="153"/>
      <c r="F1875" s="154"/>
      <c r="G1875" s="152" t="s">
        <v>168</v>
      </c>
      <c r="H1875" s="152" t="s">
        <v>106</v>
      </c>
      <c r="I1875" s="152"/>
    </row>
    <row r="1876" customFormat="false" ht="16.5" hidden="false" customHeight="true" outlineLevel="0" collapsed="false">
      <c r="A1876" s="151" t="n">
        <v>46055</v>
      </c>
      <c r="B1876" s="152" t="s">
        <v>1737</v>
      </c>
      <c r="C1876" s="153" t="n">
        <v>-4.66</v>
      </c>
      <c r="D1876" s="154" t="s">
        <v>97</v>
      </c>
      <c r="E1876" s="153"/>
      <c r="F1876" s="154"/>
      <c r="G1876" s="152" t="s">
        <v>167</v>
      </c>
      <c r="H1876" s="152" t="s">
        <v>106</v>
      </c>
      <c r="I1876" s="152"/>
    </row>
    <row r="1877" customFormat="false" ht="16.5" hidden="false" customHeight="true" outlineLevel="0" collapsed="false">
      <c r="A1877" s="151" t="n">
        <v>46055</v>
      </c>
      <c r="B1877" s="152" t="s">
        <v>1738</v>
      </c>
      <c r="C1877" s="153" t="n">
        <v>-3.24</v>
      </c>
      <c r="D1877" s="154" t="s">
        <v>97</v>
      </c>
      <c r="E1877" s="153"/>
      <c r="F1877" s="154"/>
      <c r="G1877" s="152" t="s">
        <v>42</v>
      </c>
      <c r="H1877" s="152" t="s">
        <v>106</v>
      </c>
      <c r="I1877" s="152"/>
    </row>
    <row r="1878" customFormat="false" ht="16.5" hidden="false" customHeight="true" outlineLevel="0" collapsed="false">
      <c r="A1878" s="151" t="n">
        <v>46055</v>
      </c>
      <c r="B1878" s="152" t="s">
        <v>1739</v>
      </c>
      <c r="C1878" s="153" t="n">
        <v>-2.76</v>
      </c>
      <c r="D1878" s="154" t="s">
        <v>97</v>
      </c>
      <c r="E1878" s="153"/>
      <c r="F1878" s="154"/>
      <c r="G1878" s="152" t="s">
        <v>164</v>
      </c>
      <c r="H1878" s="152" t="s">
        <v>106</v>
      </c>
      <c r="I1878" s="152"/>
    </row>
    <row r="1879" customFormat="false" ht="16.5" hidden="false" customHeight="true" outlineLevel="0" collapsed="false">
      <c r="A1879" s="151" t="n">
        <v>46055</v>
      </c>
      <c r="B1879" s="152" t="s">
        <v>1740</v>
      </c>
      <c r="C1879" s="153" t="n">
        <v>-2.45</v>
      </c>
      <c r="D1879" s="154" t="s">
        <v>97</v>
      </c>
      <c r="E1879" s="153"/>
      <c r="F1879" s="154"/>
      <c r="G1879" s="152" t="s">
        <v>42</v>
      </c>
      <c r="H1879" s="152" t="s">
        <v>106</v>
      </c>
      <c r="I1879" s="152"/>
    </row>
    <row r="1880" customFormat="false" ht="16.5" hidden="false" customHeight="true" outlineLevel="0" collapsed="false">
      <c r="A1880" s="151" t="n">
        <v>46055</v>
      </c>
      <c r="B1880" s="152" t="s">
        <v>1741</v>
      </c>
      <c r="C1880" s="153" t="n">
        <v>-1.99</v>
      </c>
      <c r="D1880" s="154" t="s">
        <v>97</v>
      </c>
      <c r="E1880" s="153"/>
      <c r="F1880" s="154"/>
      <c r="G1880" s="152" t="s">
        <v>42</v>
      </c>
      <c r="H1880" s="152" t="s">
        <v>106</v>
      </c>
      <c r="I1880" s="152"/>
    </row>
    <row r="1881" customFormat="false" ht="16.5" hidden="false" customHeight="true" outlineLevel="0" collapsed="false">
      <c r="A1881" s="151" t="n">
        <v>46055</v>
      </c>
      <c r="B1881" s="152" t="s">
        <v>1742</v>
      </c>
      <c r="C1881" s="153" t="n">
        <v>-1.8</v>
      </c>
      <c r="D1881" s="154" t="s">
        <v>97</v>
      </c>
      <c r="E1881" s="153"/>
      <c r="F1881" s="154"/>
      <c r="G1881" s="152" t="s">
        <v>167</v>
      </c>
      <c r="H1881" s="152" t="s">
        <v>106</v>
      </c>
      <c r="I1881" s="152"/>
    </row>
    <row r="1882" customFormat="false" ht="16.5" hidden="false" customHeight="true" outlineLevel="0" collapsed="false">
      <c r="A1882" s="151" t="n">
        <v>46055</v>
      </c>
      <c r="B1882" s="152" t="s">
        <v>1743</v>
      </c>
      <c r="C1882" s="153" t="n">
        <v>-0.99</v>
      </c>
      <c r="D1882" s="154" t="s">
        <v>97</v>
      </c>
      <c r="E1882" s="153"/>
      <c r="F1882" s="154"/>
      <c r="G1882" s="152" t="s">
        <v>42</v>
      </c>
      <c r="H1882" s="152" t="s">
        <v>106</v>
      </c>
      <c r="I1882" s="152"/>
    </row>
    <row r="1883" customFormat="false" ht="16.5" hidden="false" customHeight="true" outlineLevel="0" collapsed="false">
      <c r="A1883" s="151" t="n">
        <v>46055</v>
      </c>
      <c r="B1883" s="152" t="s">
        <v>1744</v>
      </c>
      <c r="C1883" s="153" t="n">
        <v>-0.99</v>
      </c>
      <c r="D1883" s="154" t="s">
        <v>97</v>
      </c>
      <c r="E1883" s="153"/>
      <c r="F1883" s="154"/>
      <c r="G1883" s="152" t="s">
        <v>42</v>
      </c>
      <c r="H1883" s="152" t="s">
        <v>106</v>
      </c>
      <c r="I1883" s="152"/>
    </row>
    <row r="1884" customFormat="false" ht="16.5" hidden="false" customHeight="true" outlineLevel="0" collapsed="false">
      <c r="A1884" s="151" t="n">
        <v>46055</v>
      </c>
      <c r="B1884" s="152" t="s">
        <v>1745</v>
      </c>
      <c r="C1884" s="153" t="n">
        <v>-0.71</v>
      </c>
      <c r="D1884" s="154" t="s">
        <v>97</v>
      </c>
      <c r="E1884" s="153"/>
      <c r="F1884" s="154"/>
      <c r="G1884" s="152" t="s">
        <v>213</v>
      </c>
      <c r="H1884" s="152" t="s">
        <v>106</v>
      </c>
      <c r="I1884" s="152"/>
    </row>
    <row r="1885" customFormat="false" ht="16.5" hidden="false" customHeight="true" outlineLevel="0" collapsed="false">
      <c r="A1885" s="151" t="n">
        <v>46055</v>
      </c>
      <c r="B1885" s="152" t="s">
        <v>1746</v>
      </c>
      <c r="C1885" s="153" t="n">
        <v>-0.36</v>
      </c>
      <c r="D1885" s="154" t="s">
        <v>97</v>
      </c>
      <c r="E1885" s="153"/>
      <c r="F1885" s="154"/>
      <c r="G1885" s="152" t="s">
        <v>231</v>
      </c>
      <c r="H1885" s="152" t="s">
        <v>106</v>
      </c>
      <c r="I1885" s="152"/>
    </row>
    <row r="1886" customFormat="false" ht="16.5" hidden="false" customHeight="true" outlineLevel="0" collapsed="false">
      <c r="A1886" s="151" t="n">
        <v>46055</v>
      </c>
      <c r="B1886" s="152" t="s">
        <v>1747</v>
      </c>
      <c r="C1886" s="153" t="n">
        <v>-0.36</v>
      </c>
      <c r="D1886" s="154" t="s">
        <v>97</v>
      </c>
      <c r="E1886" s="153"/>
      <c r="F1886" s="154"/>
      <c r="G1886" s="152" t="s">
        <v>231</v>
      </c>
      <c r="H1886" s="152" t="s">
        <v>106</v>
      </c>
      <c r="I1886" s="152"/>
    </row>
    <row r="1887" customFormat="false" ht="16.5" hidden="false" customHeight="true" outlineLevel="0" collapsed="false">
      <c r="A1887" s="151" t="n">
        <v>46055</v>
      </c>
      <c r="B1887" s="152" t="s">
        <v>1748</v>
      </c>
      <c r="C1887" s="153" t="n">
        <v>-0.36</v>
      </c>
      <c r="D1887" s="154" t="s">
        <v>97</v>
      </c>
      <c r="E1887" s="153"/>
      <c r="F1887" s="154"/>
      <c r="G1887" s="152" t="s">
        <v>231</v>
      </c>
      <c r="H1887" s="152" t="s">
        <v>106</v>
      </c>
      <c r="I1887" s="152"/>
    </row>
    <row r="1888" customFormat="false" ht="16.5" hidden="false" customHeight="true" outlineLevel="0" collapsed="false">
      <c r="A1888" s="151" t="n">
        <v>46055</v>
      </c>
      <c r="B1888" s="152" t="s">
        <v>1749</v>
      </c>
      <c r="C1888" s="153" t="n">
        <v>-0.36</v>
      </c>
      <c r="D1888" s="154" t="s">
        <v>97</v>
      </c>
      <c r="E1888" s="153"/>
      <c r="F1888" s="154"/>
      <c r="G1888" s="152" t="s">
        <v>231</v>
      </c>
      <c r="H1888" s="152" t="s">
        <v>106</v>
      </c>
      <c r="I1888" s="152"/>
    </row>
    <row r="1889" customFormat="false" ht="16.5" hidden="false" customHeight="true" outlineLevel="0" collapsed="false">
      <c r="A1889" s="151" t="n">
        <v>46051</v>
      </c>
      <c r="B1889" s="152" t="s">
        <v>1750</v>
      </c>
      <c r="C1889" s="153" t="n">
        <v>-1.6</v>
      </c>
      <c r="D1889" s="154" t="s">
        <v>97</v>
      </c>
      <c r="E1889" s="153"/>
      <c r="F1889" s="154"/>
      <c r="G1889" s="152" t="s">
        <v>219</v>
      </c>
      <c r="H1889" s="152" t="s">
        <v>106</v>
      </c>
      <c r="I1889" s="152"/>
    </row>
    <row r="1890" customFormat="false" ht="16.5" hidden="false" customHeight="true" outlineLevel="0" collapsed="false">
      <c r="A1890" s="151" t="n">
        <v>46050</v>
      </c>
      <c r="B1890" s="152" t="s">
        <v>1751</v>
      </c>
      <c r="C1890" s="153" t="n">
        <v>-23.16</v>
      </c>
      <c r="D1890" s="154" t="s">
        <v>97</v>
      </c>
      <c r="E1890" s="153"/>
      <c r="F1890" s="154"/>
      <c r="G1890" s="152" t="s">
        <v>202</v>
      </c>
      <c r="H1890" s="152" t="s">
        <v>106</v>
      </c>
      <c r="I1890" s="152"/>
    </row>
    <row r="1891" customFormat="false" ht="16.5" hidden="false" customHeight="true" outlineLevel="0" collapsed="false">
      <c r="A1891" s="151" t="n">
        <v>46048</v>
      </c>
      <c r="B1891" s="152" t="s">
        <v>1752</v>
      </c>
      <c r="C1891" s="153" t="n">
        <v>-1.99</v>
      </c>
      <c r="D1891" s="154" t="s">
        <v>97</v>
      </c>
      <c r="E1891" s="153"/>
      <c r="F1891" s="154"/>
      <c r="G1891" s="152" t="s">
        <v>226</v>
      </c>
      <c r="H1891" s="152" t="s">
        <v>106</v>
      </c>
      <c r="I1891" s="152"/>
    </row>
    <row r="1892" customFormat="false" ht="16.5" hidden="false" customHeight="true" outlineLevel="0" collapsed="false">
      <c r="A1892" s="151" t="n">
        <v>46051</v>
      </c>
      <c r="B1892" s="152" t="s">
        <v>1589</v>
      </c>
      <c r="C1892" s="159" t="n">
        <v>6882.29</v>
      </c>
      <c r="D1892" s="154" t="s">
        <v>103</v>
      </c>
      <c r="E1892" s="153"/>
      <c r="F1892" s="154"/>
      <c r="G1892" s="152" t="s">
        <v>315</v>
      </c>
      <c r="H1892" s="152" t="s">
        <v>125</v>
      </c>
      <c r="I1892" s="152"/>
    </row>
    <row r="1893" customFormat="false" ht="16.5" hidden="false" customHeight="true" outlineLevel="0" collapsed="false">
      <c r="A1893" s="151" t="n">
        <v>46055</v>
      </c>
      <c r="B1893" s="152" t="s">
        <v>60</v>
      </c>
      <c r="C1893" s="153" t="n">
        <v>13771.93</v>
      </c>
      <c r="D1893" s="154" t="s">
        <v>97</v>
      </c>
      <c r="E1893" s="153"/>
      <c r="F1893" s="154"/>
      <c r="G1893" s="152" t="s">
        <v>315</v>
      </c>
      <c r="H1893" s="152" t="s">
        <v>106</v>
      </c>
      <c r="I1893" s="152"/>
    </row>
    <row r="1894" customFormat="false" ht="16.5" hidden="false" customHeight="true" outlineLevel="0" collapsed="false">
      <c r="A1894" s="151" t="n">
        <v>46055</v>
      </c>
      <c r="B1894" s="152" t="s">
        <v>60</v>
      </c>
      <c r="C1894" s="153" t="n">
        <v>17694.36</v>
      </c>
      <c r="D1894" s="154" t="s">
        <v>97</v>
      </c>
      <c r="E1894" s="153"/>
      <c r="F1894" s="154"/>
      <c r="G1894" s="152" t="s">
        <v>315</v>
      </c>
      <c r="H1894" s="152" t="s">
        <v>99</v>
      </c>
      <c r="I1894" s="152"/>
    </row>
    <row r="1895" customFormat="false" ht="16.5" hidden="false" customHeight="true" outlineLevel="0" collapsed="false">
      <c r="A1895" s="151" t="n">
        <v>46057</v>
      </c>
      <c r="B1895" s="152" t="s">
        <v>60</v>
      </c>
      <c r="C1895" s="153" t="n">
        <v>367.62</v>
      </c>
      <c r="D1895" s="154" t="s">
        <v>97</v>
      </c>
      <c r="E1895" s="153"/>
      <c r="F1895" s="154"/>
      <c r="G1895" s="152" t="s">
        <v>315</v>
      </c>
      <c r="H1895" s="152" t="s">
        <v>122</v>
      </c>
      <c r="I1895" s="152"/>
    </row>
    <row r="1896" customFormat="false" ht="16.5" hidden="false" customHeight="true" outlineLevel="0" collapsed="false">
      <c r="A1896" s="151" t="n">
        <v>46057</v>
      </c>
      <c r="B1896" s="152" t="s">
        <v>1753</v>
      </c>
      <c r="C1896" s="153" t="n">
        <v>99.97</v>
      </c>
      <c r="D1896" s="154" t="s">
        <v>97</v>
      </c>
      <c r="E1896" s="153"/>
      <c r="F1896" s="154" t="s">
        <v>1754</v>
      </c>
      <c r="G1896" s="152" t="s">
        <v>190</v>
      </c>
      <c r="H1896" s="152" t="s">
        <v>106</v>
      </c>
      <c r="I1896" s="152"/>
    </row>
    <row r="1897" customFormat="false" ht="16.5" hidden="false" customHeight="true" outlineLevel="0" collapsed="false">
      <c r="A1897" s="151" t="n">
        <v>46057</v>
      </c>
      <c r="B1897" s="152"/>
      <c r="C1897" s="153" t="n">
        <v>-99.97</v>
      </c>
      <c r="D1897" s="154" t="s">
        <v>97</v>
      </c>
      <c r="E1897" s="153"/>
      <c r="F1897" s="154" t="s">
        <v>1754</v>
      </c>
      <c r="G1897" s="152" t="s">
        <v>190</v>
      </c>
      <c r="H1897" s="152" t="s">
        <v>133</v>
      </c>
      <c r="I1897" s="152"/>
    </row>
    <row r="1898" customFormat="false" ht="16.5" hidden="false" customHeight="true" outlineLevel="0" collapsed="false">
      <c r="A1898" s="151" t="n">
        <v>46057</v>
      </c>
      <c r="B1898" s="152" t="s">
        <v>60</v>
      </c>
      <c r="C1898" s="153" t="n">
        <v>7900.42</v>
      </c>
      <c r="D1898" s="154" t="s">
        <v>97</v>
      </c>
      <c r="E1898" s="153"/>
      <c r="F1898" s="154"/>
      <c r="G1898" s="152" t="s">
        <v>315</v>
      </c>
      <c r="H1898" s="152" t="s">
        <v>133</v>
      </c>
      <c r="I1898" s="152"/>
    </row>
    <row r="1899" customFormat="false" ht="16.5" hidden="false" customHeight="true" outlineLevel="0" collapsed="false">
      <c r="A1899" s="151" t="n">
        <v>46057</v>
      </c>
      <c r="B1899" s="152" t="s">
        <v>1755</v>
      </c>
      <c r="C1899" s="153" t="n">
        <v>-0.27</v>
      </c>
      <c r="D1899" s="154" t="s">
        <v>97</v>
      </c>
      <c r="E1899" s="153"/>
      <c r="F1899" s="154"/>
      <c r="G1899" s="152" t="s">
        <v>42</v>
      </c>
      <c r="H1899" s="152" t="s">
        <v>106</v>
      </c>
      <c r="I1899" s="152"/>
    </row>
    <row r="1900" customFormat="false" ht="16.5" hidden="false" customHeight="true" outlineLevel="0" collapsed="false">
      <c r="A1900" s="151" t="n">
        <v>46057</v>
      </c>
      <c r="B1900" s="152" t="s">
        <v>60</v>
      </c>
      <c r="C1900" s="153" t="n">
        <v>13871.63</v>
      </c>
      <c r="D1900" s="154" t="s">
        <v>97</v>
      </c>
      <c r="E1900" s="153"/>
      <c r="F1900" s="154"/>
      <c r="G1900" s="152" t="s">
        <v>315</v>
      </c>
      <c r="H1900" s="152" t="s">
        <v>106</v>
      </c>
      <c r="I1900" s="152"/>
    </row>
    <row r="1901" customFormat="false" ht="16.5" hidden="false" customHeight="true" outlineLevel="0" collapsed="false">
      <c r="A1901" s="151" t="n">
        <v>46051</v>
      </c>
      <c r="B1901" s="152" t="s">
        <v>1368</v>
      </c>
      <c r="C1901" s="156" t="n">
        <v>0.19911</v>
      </c>
      <c r="D1901" s="154" t="s">
        <v>141</v>
      </c>
      <c r="E1901" s="153"/>
      <c r="F1901" s="154"/>
      <c r="G1901" s="152" t="s">
        <v>223</v>
      </c>
      <c r="H1901" s="152" t="s">
        <v>142</v>
      </c>
      <c r="I1901" s="152"/>
    </row>
    <row r="1902" customFormat="false" ht="16.5" hidden="false" customHeight="true" outlineLevel="0" collapsed="false">
      <c r="A1902" s="151" t="n">
        <v>46062</v>
      </c>
      <c r="B1902" s="152" t="s">
        <v>1368</v>
      </c>
      <c r="C1902" s="156" t="n">
        <v>0.39412</v>
      </c>
      <c r="D1902" s="154" t="s">
        <v>141</v>
      </c>
      <c r="E1902" s="153" t="n">
        <v>180.12</v>
      </c>
      <c r="F1902" s="154" t="s">
        <v>1702</v>
      </c>
      <c r="G1902" s="152" t="s">
        <v>188</v>
      </c>
      <c r="H1902" s="152" t="s">
        <v>142</v>
      </c>
      <c r="I1902" s="152"/>
    </row>
    <row r="1903" customFormat="false" ht="16.5" hidden="false" customHeight="true" outlineLevel="0" collapsed="false">
      <c r="A1903" s="151" t="n">
        <v>46063</v>
      </c>
      <c r="B1903" s="152" t="s">
        <v>60</v>
      </c>
      <c r="C1903" s="156" t="n">
        <v>2.92573</v>
      </c>
      <c r="D1903" s="154" t="s">
        <v>141</v>
      </c>
      <c r="E1903" s="153"/>
      <c r="F1903" s="154"/>
      <c r="G1903" s="152" t="s">
        <v>315</v>
      </c>
      <c r="H1903" s="152" t="s">
        <v>142</v>
      </c>
      <c r="I1903" s="152"/>
    </row>
    <row r="1904" customFormat="false" ht="16.5" hidden="false" customHeight="true" outlineLevel="0" collapsed="false">
      <c r="A1904" s="151" t="n">
        <v>46056</v>
      </c>
      <c r="B1904" s="152" t="s">
        <v>692</v>
      </c>
      <c r="C1904" s="159" t="n">
        <v>-1.1</v>
      </c>
      <c r="D1904" s="154" t="s">
        <v>103</v>
      </c>
      <c r="E1904" s="153"/>
      <c r="F1904" s="154"/>
      <c r="G1904" s="152" t="s">
        <v>204</v>
      </c>
      <c r="H1904" s="152" t="s">
        <v>125</v>
      </c>
      <c r="I1904" s="152"/>
    </row>
    <row r="1905" customFormat="false" ht="16.5" hidden="false" customHeight="true" outlineLevel="0" collapsed="false">
      <c r="A1905" s="151" t="n">
        <v>46056</v>
      </c>
      <c r="B1905" s="152" t="s">
        <v>692</v>
      </c>
      <c r="C1905" s="153" t="n">
        <v>0</v>
      </c>
      <c r="D1905" s="154" t="s">
        <v>97</v>
      </c>
      <c r="E1905" s="153"/>
      <c r="F1905" s="154"/>
      <c r="G1905" s="152" t="s">
        <v>204</v>
      </c>
      <c r="H1905" s="152" t="s">
        <v>117</v>
      </c>
      <c r="I1905" s="152"/>
    </row>
    <row r="1906" customFormat="false" ht="16.5" hidden="false" customHeight="true" outlineLevel="0" collapsed="false">
      <c r="A1906" s="151" t="n">
        <v>46056</v>
      </c>
      <c r="B1906" s="152" t="s">
        <v>1588</v>
      </c>
      <c r="C1906" s="153" t="n">
        <v>396.56</v>
      </c>
      <c r="D1906" s="154" t="s">
        <v>97</v>
      </c>
      <c r="E1906" s="153"/>
      <c r="F1906" s="154"/>
      <c r="G1906" s="152" t="s">
        <v>315</v>
      </c>
      <c r="H1906" s="152" t="s">
        <v>117</v>
      </c>
      <c r="I1906" s="152"/>
    </row>
    <row r="1907" customFormat="false" ht="16.5" hidden="false" customHeight="true" outlineLevel="0" collapsed="false">
      <c r="A1907" s="151" t="n">
        <v>46065</v>
      </c>
      <c r="B1907" s="152" t="s">
        <v>1756</v>
      </c>
      <c r="C1907" s="159" t="n">
        <v>-998.9</v>
      </c>
      <c r="D1907" s="154" t="s">
        <v>103</v>
      </c>
      <c r="E1907" s="153" t="n">
        <v>-847.71</v>
      </c>
      <c r="F1907" s="154" t="s">
        <v>1757</v>
      </c>
      <c r="G1907" s="152" t="s">
        <v>188</v>
      </c>
      <c r="H1907" s="152" t="s">
        <v>125</v>
      </c>
      <c r="I1907" s="152"/>
    </row>
    <row r="1908" customFormat="false" ht="16.5" hidden="false" customHeight="true" outlineLevel="0" collapsed="false">
      <c r="A1908" s="151" t="n">
        <v>46065</v>
      </c>
      <c r="B1908" s="152" t="s">
        <v>1589</v>
      </c>
      <c r="C1908" s="159" t="n">
        <v>5882.29</v>
      </c>
      <c r="D1908" s="154" t="s">
        <v>103</v>
      </c>
      <c r="E1908" s="153"/>
      <c r="F1908" s="154"/>
      <c r="G1908" s="152" t="s">
        <v>315</v>
      </c>
      <c r="H1908" s="152" t="s">
        <v>125</v>
      </c>
      <c r="I1908" s="152"/>
    </row>
    <row r="1909" customFormat="false" ht="16.5" hidden="false" customHeight="true" outlineLevel="0" collapsed="false">
      <c r="A1909" s="151" t="n">
        <v>46065</v>
      </c>
      <c r="B1909" s="152" t="s">
        <v>1756</v>
      </c>
      <c r="C1909" s="165" t="n">
        <v>767.72</v>
      </c>
      <c r="D1909" s="154" t="s">
        <v>124</v>
      </c>
      <c r="E1909" s="153" t="n">
        <v>847.71</v>
      </c>
      <c r="F1909" s="154" t="s">
        <v>1757</v>
      </c>
      <c r="G1909" s="152" t="s">
        <v>188</v>
      </c>
      <c r="H1909" s="152" t="s">
        <v>123</v>
      </c>
      <c r="I1909" s="152"/>
    </row>
    <row r="1910" customFormat="false" ht="16.5" hidden="false" customHeight="true" outlineLevel="0" collapsed="false">
      <c r="A1910" s="151" t="n">
        <v>46064</v>
      </c>
      <c r="B1910" s="152" t="s">
        <v>1758</v>
      </c>
      <c r="C1910" s="165" t="n">
        <v>0</v>
      </c>
      <c r="D1910" s="154" t="s">
        <v>124</v>
      </c>
      <c r="E1910" s="153"/>
      <c r="F1910" s="154"/>
      <c r="G1910" s="152" t="s">
        <v>315</v>
      </c>
      <c r="H1910" s="152" t="s">
        <v>123</v>
      </c>
      <c r="I1910" s="152"/>
    </row>
    <row r="1911" customFormat="false" ht="16.5" hidden="false" customHeight="true" outlineLevel="0" collapsed="false">
      <c r="A1911" s="151" t="n">
        <v>46065</v>
      </c>
      <c r="B1911" s="152" t="s">
        <v>1758</v>
      </c>
      <c r="C1911" s="165" t="n">
        <v>767.72</v>
      </c>
      <c r="D1911" s="154" t="s">
        <v>124</v>
      </c>
      <c r="E1911" s="153"/>
      <c r="F1911" s="154"/>
      <c r="G1911" s="152" t="s">
        <v>315</v>
      </c>
      <c r="H1911" s="152" t="s">
        <v>123</v>
      </c>
      <c r="I1911" s="152"/>
    </row>
    <row r="1912" customFormat="false" ht="16.5" hidden="false" customHeight="true" outlineLevel="0" collapsed="false">
      <c r="A1912" s="151" t="n">
        <v>46066</v>
      </c>
      <c r="B1912" s="152" t="s">
        <v>1759</v>
      </c>
      <c r="C1912" s="164" t="n">
        <v>1.46</v>
      </c>
      <c r="D1912" s="154" t="s">
        <v>1657</v>
      </c>
      <c r="E1912" s="153" t="n">
        <v>117.81</v>
      </c>
      <c r="F1912" s="154" t="s">
        <v>1760</v>
      </c>
      <c r="G1912" s="152" t="s">
        <v>189</v>
      </c>
      <c r="H1912" s="152" t="s">
        <v>149</v>
      </c>
      <c r="I1912" s="152"/>
    </row>
    <row r="1913" customFormat="false" ht="16.5" hidden="false" customHeight="true" outlineLevel="0" collapsed="false">
      <c r="A1913" s="151" t="n">
        <v>46066</v>
      </c>
      <c r="B1913" s="152" t="s">
        <v>60</v>
      </c>
      <c r="C1913" s="164" t="n">
        <v>106.16</v>
      </c>
      <c r="D1913" s="154" t="s">
        <v>1657</v>
      </c>
      <c r="E1913" s="153"/>
      <c r="F1913" s="154"/>
      <c r="G1913" s="152" t="s">
        <v>315</v>
      </c>
      <c r="H1913" s="152" t="s">
        <v>149</v>
      </c>
      <c r="I1913" s="152"/>
    </row>
    <row r="1914" customFormat="false" ht="16.5" hidden="false" customHeight="true" outlineLevel="0" collapsed="false">
      <c r="A1914" s="151" t="n">
        <v>46058</v>
      </c>
      <c r="B1914" s="152" t="s">
        <v>1761</v>
      </c>
      <c r="C1914" s="153" t="n">
        <v>-48.98</v>
      </c>
      <c r="D1914" s="154" t="s">
        <v>97</v>
      </c>
      <c r="E1914" s="153"/>
      <c r="F1914" s="154"/>
      <c r="G1914" s="152" t="s">
        <v>197</v>
      </c>
      <c r="H1914" s="152" t="s">
        <v>106</v>
      </c>
      <c r="I1914" s="152"/>
    </row>
    <row r="1915" customFormat="false" ht="16.5" hidden="false" customHeight="true" outlineLevel="0" collapsed="false">
      <c r="A1915" s="151" t="n">
        <v>46058</v>
      </c>
      <c r="B1915" s="152" t="s">
        <v>1762</v>
      </c>
      <c r="C1915" s="153" t="n">
        <v>-45.84</v>
      </c>
      <c r="D1915" s="154" t="s">
        <v>97</v>
      </c>
      <c r="E1915" s="153"/>
      <c r="F1915" s="154"/>
      <c r="G1915" s="152" t="s">
        <v>203</v>
      </c>
      <c r="H1915" s="152" t="s">
        <v>106</v>
      </c>
      <c r="I1915" s="152"/>
    </row>
    <row r="1916" customFormat="false" ht="16.5" hidden="false" customHeight="true" outlineLevel="0" collapsed="false">
      <c r="A1916" s="151" t="n">
        <v>46058</v>
      </c>
      <c r="B1916" s="152" t="s">
        <v>1763</v>
      </c>
      <c r="C1916" s="153" t="n">
        <v>99.97</v>
      </c>
      <c r="D1916" s="154" t="s">
        <v>97</v>
      </c>
      <c r="E1916" s="153"/>
      <c r="F1916" s="154" t="s">
        <v>1764</v>
      </c>
      <c r="G1916" s="152" t="s">
        <v>190</v>
      </c>
      <c r="H1916" s="152" t="s">
        <v>106</v>
      </c>
      <c r="I1916" s="152"/>
    </row>
    <row r="1917" customFormat="false" ht="16.5" hidden="false" customHeight="true" outlineLevel="0" collapsed="false">
      <c r="A1917" s="151" t="n">
        <v>46058</v>
      </c>
      <c r="B1917" s="152"/>
      <c r="C1917" s="153" t="n">
        <v>-99.97</v>
      </c>
      <c r="D1917" s="154" t="s">
        <v>97</v>
      </c>
      <c r="E1917" s="153"/>
      <c r="F1917" s="154" t="s">
        <v>1764</v>
      </c>
      <c r="G1917" s="152" t="s">
        <v>190</v>
      </c>
      <c r="H1917" s="152" t="s">
        <v>132</v>
      </c>
      <c r="I1917" s="152"/>
    </row>
    <row r="1918" customFormat="false" ht="16.5" hidden="false" customHeight="true" outlineLevel="0" collapsed="false">
      <c r="A1918" s="151" t="n">
        <v>46058</v>
      </c>
      <c r="B1918" s="152" t="s">
        <v>60</v>
      </c>
      <c r="C1918" s="153" t="n">
        <v>21193.42</v>
      </c>
      <c r="D1918" s="154" t="s">
        <v>97</v>
      </c>
      <c r="E1918" s="153"/>
      <c r="F1918" s="154"/>
      <c r="G1918" s="152" t="s">
        <v>315</v>
      </c>
      <c r="H1918" s="152" t="s">
        <v>132</v>
      </c>
      <c r="I1918" s="152"/>
    </row>
    <row r="1919" customFormat="false" ht="16.5" hidden="false" customHeight="true" outlineLevel="0" collapsed="false">
      <c r="A1919" s="151" t="n">
        <v>46059</v>
      </c>
      <c r="B1919" s="152" t="s">
        <v>1765</v>
      </c>
      <c r="C1919" s="153" t="n">
        <v>-5.39</v>
      </c>
      <c r="D1919" s="154" t="s">
        <v>97</v>
      </c>
      <c r="E1919" s="153"/>
      <c r="F1919" s="154"/>
      <c r="G1919" s="152" t="s">
        <v>218</v>
      </c>
      <c r="H1919" s="152" t="s">
        <v>106</v>
      </c>
      <c r="I1919" s="152"/>
    </row>
    <row r="1920" customFormat="false" ht="16.5" hidden="false" customHeight="true" outlineLevel="0" collapsed="false">
      <c r="A1920" s="151" t="n">
        <v>46062</v>
      </c>
      <c r="B1920" s="152" t="s">
        <v>1766</v>
      </c>
      <c r="C1920" s="153" t="n">
        <v>252.08</v>
      </c>
      <c r="D1920" s="154" t="s">
        <v>97</v>
      </c>
      <c r="E1920" s="153"/>
      <c r="F1920" s="154"/>
      <c r="G1920" s="152" t="s">
        <v>198</v>
      </c>
      <c r="H1920" s="152" t="s">
        <v>106</v>
      </c>
      <c r="I1920" s="152"/>
    </row>
    <row r="1921" customFormat="false" ht="16.5" hidden="false" customHeight="true" outlineLevel="0" collapsed="false">
      <c r="A1921" s="151" t="n">
        <v>46062</v>
      </c>
      <c r="B1921" s="152" t="s">
        <v>1767</v>
      </c>
      <c r="C1921" s="153" t="n">
        <v>276.78</v>
      </c>
      <c r="D1921" s="154" t="s">
        <v>97</v>
      </c>
      <c r="E1921" s="153"/>
      <c r="F1921" s="154"/>
      <c r="G1921" s="152" t="s">
        <v>215</v>
      </c>
      <c r="H1921" s="152" t="s">
        <v>106</v>
      </c>
      <c r="I1921" s="152"/>
    </row>
    <row r="1922" customFormat="false" ht="16.5" hidden="false" customHeight="true" outlineLevel="0" collapsed="false">
      <c r="A1922" s="151" t="n">
        <v>46063</v>
      </c>
      <c r="B1922" s="152" t="s">
        <v>1768</v>
      </c>
      <c r="C1922" s="153" t="n">
        <v>-16.82</v>
      </c>
      <c r="D1922" s="154" t="s">
        <v>97</v>
      </c>
      <c r="E1922" s="153"/>
      <c r="F1922" s="154"/>
      <c r="G1922" s="152" t="s">
        <v>212</v>
      </c>
      <c r="H1922" s="152" t="s">
        <v>106</v>
      </c>
      <c r="I1922" s="152"/>
    </row>
    <row r="1923" customFormat="false" ht="16.5" hidden="false" customHeight="true" outlineLevel="0" collapsed="false">
      <c r="A1923" s="151" t="n">
        <v>46066</v>
      </c>
      <c r="B1923" s="152" t="s">
        <v>1769</v>
      </c>
      <c r="C1923" s="153" t="n">
        <v>-8.58</v>
      </c>
      <c r="D1923" s="154" t="s">
        <v>97</v>
      </c>
      <c r="E1923" s="153"/>
      <c r="F1923" s="154"/>
      <c r="G1923" s="152" t="s">
        <v>217</v>
      </c>
      <c r="H1923" s="152" t="s">
        <v>106</v>
      </c>
      <c r="I1923" s="152"/>
    </row>
    <row r="1924" customFormat="false" ht="16.5" hidden="false" customHeight="true" outlineLevel="0" collapsed="false">
      <c r="A1924" s="151" t="n">
        <v>46066</v>
      </c>
      <c r="B1924" s="152" t="s">
        <v>1770</v>
      </c>
      <c r="C1924" s="153" t="n">
        <v>214.11</v>
      </c>
      <c r="D1924" s="154" t="s">
        <v>97</v>
      </c>
      <c r="E1924" s="153"/>
      <c r="F1924" s="154"/>
      <c r="G1924" s="152" t="s">
        <v>201</v>
      </c>
      <c r="H1924" s="152" t="s">
        <v>106</v>
      </c>
      <c r="I1924" s="152"/>
    </row>
    <row r="1925" customFormat="false" ht="16.5" hidden="false" customHeight="true" outlineLevel="0" collapsed="false">
      <c r="A1925" s="151" t="n">
        <v>46066</v>
      </c>
      <c r="B1925" s="152" t="s">
        <v>60</v>
      </c>
      <c r="C1925" s="153" t="n">
        <v>14588.96</v>
      </c>
      <c r="D1925" s="154" t="s">
        <v>97</v>
      </c>
      <c r="E1925" s="153"/>
      <c r="F1925" s="154"/>
      <c r="G1925" s="152" t="s">
        <v>315</v>
      </c>
      <c r="H1925" s="152" t="s">
        <v>106</v>
      </c>
      <c r="I1925" s="152"/>
    </row>
    <row r="1926" customFormat="false" ht="16.5" hidden="false" customHeight="true" outlineLevel="0" collapsed="false">
      <c r="A1926" s="151" t="n">
        <v>46073</v>
      </c>
      <c r="B1926" s="152" t="s">
        <v>1771</v>
      </c>
      <c r="C1926" s="164" t="n">
        <v>0.58</v>
      </c>
      <c r="D1926" s="154" t="s">
        <v>1657</v>
      </c>
      <c r="E1926" s="153" t="n">
        <v>70.77</v>
      </c>
      <c r="F1926" s="154" t="s">
        <v>1772</v>
      </c>
      <c r="G1926" s="152" t="s">
        <v>189</v>
      </c>
      <c r="H1926" s="152" t="s">
        <v>149</v>
      </c>
      <c r="I1926" s="152"/>
    </row>
    <row r="1927" customFormat="false" ht="16.5" hidden="false" customHeight="true" outlineLevel="0" collapsed="false">
      <c r="A1927" s="151" t="n">
        <v>46073</v>
      </c>
      <c r="B1927" s="152"/>
      <c r="C1927" s="164" t="n">
        <v>106.74</v>
      </c>
      <c r="D1927" s="154" t="s">
        <v>1657</v>
      </c>
      <c r="E1927" s="153"/>
      <c r="F1927" s="154"/>
      <c r="G1927" s="152" t="s">
        <v>315</v>
      </c>
      <c r="H1927" s="152" t="s">
        <v>149</v>
      </c>
      <c r="I1927" s="152"/>
    </row>
    <row r="1928" customFormat="false" ht="16.5" hidden="false" customHeight="true" outlineLevel="0" collapsed="false">
      <c r="A1928" s="151" t="n">
        <v>46069</v>
      </c>
      <c r="B1928" s="152" t="s">
        <v>1773</v>
      </c>
      <c r="C1928" s="153" t="n">
        <v>-67.62</v>
      </c>
      <c r="D1928" s="154" t="s">
        <v>97</v>
      </c>
      <c r="E1928" s="153"/>
      <c r="F1928" s="154"/>
      <c r="G1928" s="152" t="s">
        <v>208</v>
      </c>
      <c r="H1928" s="152" t="s">
        <v>106</v>
      </c>
      <c r="I1928" s="152"/>
    </row>
    <row r="1929" customFormat="false" ht="16.5" hidden="false" customHeight="true" outlineLevel="0" collapsed="false">
      <c r="A1929" s="151" t="n">
        <v>46069</v>
      </c>
      <c r="B1929" s="152" t="s">
        <v>1774</v>
      </c>
      <c r="C1929" s="153" t="n">
        <v>-66.63</v>
      </c>
      <c r="D1929" s="154" t="s">
        <v>97</v>
      </c>
      <c r="E1929" s="153"/>
      <c r="F1929" s="154"/>
      <c r="G1929" s="152" t="s">
        <v>171</v>
      </c>
      <c r="H1929" s="152" t="s">
        <v>106</v>
      </c>
      <c r="I1929" s="152"/>
    </row>
    <row r="1930" customFormat="false" ht="16.5" hidden="false" customHeight="true" outlineLevel="0" collapsed="false">
      <c r="A1930" s="151" t="n">
        <v>46069</v>
      </c>
      <c r="B1930" s="152" t="s">
        <v>1775</v>
      </c>
      <c r="C1930" s="153" t="n">
        <v>-31.35</v>
      </c>
      <c r="D1930" s="154" t="s">
        <v>97</v>
      </c>
      <c r="E1930" s="153"/>
      <c r="F1930" s="154"/>
      <c r="G1930" s="152" t="s">
        <v>197</v>
      </c>
      <c r="H1930" s="152" t="s">
        <v>106</v>
      </c>
      <c r="I1930" s="152"/>
    </row>
    <row r="1931" customFormat="false" ht="16.5" hidden="false" customHeight="true" outlineLevel="0" collapsed="false">
      <c r="A1931" s="151" t="n">
        <v>46070</v>
      </c>
      <c r="B1931" s="152" t="s">
        <v>1776</v>
      </c>
      <c r="C1931" s="153" t="n">
        <v>-9.57</v>
      </c>
      <c r="D1931" s="154" t="s">
        <v>97</v>
      </c>
      <c r="E1931" s="153"/>
      <c r="F1931" s="154"/>
      <c r="G1931" s="152" t="s">
        <v>207</v>
      </c>
      <c r="H1931" s="152" t="s">
        <v>106</v>
      </c>
      <c r="I1931" s="152"/>
    </row>
    <row r="1932" customFormat="false" ht="16.5" hidden="false" customHeight="true" outlineLevel="0" collapsed="false">
      <c r="A1932" s="151" t="n">
        <v>46070</v>
      </c>
      <c r="B1932" s="152" t="s">
        <v>1777</v>
      </c>
      <c r="C1932" s="153" t="n">
        <v>-8.83</v>
      </c>
      <c r="D1932" s="154" t="s">
        <v>97</v>
      </c>
      <c r="E1932" s="153"/>
      <c r="F1932" s="154"/>
      <c r="G1932" s="152" t="s">
        <v>207</v>
      </c>
      <c r="H1932" s="152" t="s">
        <v>106</v>
      </c>
      <c r="I1932" s="152"/>
    </row>
    <row r="1933" customFormat="false" ht="16.5" hidden="false" customHeight="true" outlineLevel="0" collapsed="false">
      <c r="A1933" s="151" t="n">
        <v>46071</v>
      </c>
      <c r="B1933" s="152" t="s">
        <v>1778</v>
      </c>
      <c r="C1933" s="159" t="n">
        <v>-998.9</v>
      </c>
      <c r="D1933" s="154" t="s">
        <v>103</v>
      </c>
      <c r="E1933" s="153" t="n">
        <v>-842.77</v>
      </c>
      <c r="F1933" s="154" t="s">
        <v>1779</v>
      </c>
      <c r="G1933" s="152" t="s">
        <v>188</v>
      </c>
      <c r="H1933" s="152" t="s">
        <v>125</v>
      </c>
      <c r="I1933" s="152"/>
    </row>
    <row r="1934" customFormat="false" ht="16.5" hidden="false" customHeight="true" outlineLevel="0" collapsed="false">
      <c r="A1934" s="151" t="n">
        <v>46071</v>
      </c>
      <c r="B1934" s="152" t="s">
        <v>1778</v>
      </c>
      <c r="C1934" s="165" t="n">
        <v>770.44</v>
      </c>
      <c r="D1934" s="154" t="s">
        <v>124</v>
      </c>
      <c r="E1934" s="153" t="n">
        <v>842.77</v>
      </c>
      <c r="F1934" s="154" t="s">
        <v>1779</v>
      </c>
      <c r="G1934" s="152" t="s">
        <v>188</v>
      </c>
      <c r="H1934" s="152" t="s">
        <v>123</v>
      </c>
      <c r="I1934" s="152"/>
    </row>
    <row r="1935" customFormat="false" ht="16.5" hidden="false" customHeight="true" outlineLevel="0" collapsed="false">
      <c r="A1935" s="151" t="n">
        <v>46071</v>
      </c>
      <c r="B1935" s="152" t="s">
        <v>1589</v>
      </c>
      <c r="C1935" s="159" t="n">
        <v>4883.39</v>
      </c>
      <c r="D1935" s="154" t="s">
        <v>103</v>
      </c>
      <c r="E1935" s="153"/>
      <c r="F1935" s="154"/>
      <c r="G1935" s="152" t="s">
        <v>315</v>
      </c>
      <c r="H1935" s="152" t="s">
        <v>125</v>
      </c>
      <c r="I1935" s="152"/>
    </row>
    <row r="1936" customFormat="false" ht="16.5" hidden="false" customHeight="true" outlineLevel="0" collapsed="false">
      <c r="A1936" s="151" t="n">
        <v>46071</v>
      </c>
      <c r="B1936" s="152" t="s">
        <v>1758</v>
      </c>
      <c r="C1936" s="165" t="n">
        <v>1538.16</v>
      </c>
      <c r="D1936" s="154" t="s">
        <v>124</v>
      </c>
      <c r="E1936" s="153"/>
      <c r="F1936" s="154"/>
      <c r="G1936" s="152" t="s">
        <v>315</v>
      </c>
      <c r="H1936" s="152" t="s">
        <v>123</v>
      </c>
      <c r="I1936" s="152"/>
    </row>
    <row r="1937" customFormat="false" ht="16.5" hidden="false" customHeight="true" outlineLevel="0" collapsed="false">
      <c r="A1937" s="151" t="n">
        <v>46073</v>
      </c>
      <c r="B1937" s="152" t="s">
        <v>1780</v>
      </c>
      <c r="C1937" s="153" t="n">
        <v>-4.58</v>
      </c>
      <c r="D1937" s="154" t="s">
        <v>97</v>
      </c>
      <c r="E1937" s="153"/>
      <c r="F1937" s="154"/>
      <c r="G1937" s="152" t="s">
        <v>221</v>
      </c>
      <c r="H1937" s="152" t="s">
        <v>106</v>
      </c>
      <c r="I1937" s="152"/>
    </row>
    <row r="1938" customFormat="false" ht="16.5" hidden="false" customHeight="true" outlineLevel="0" collapsed="false">
      <c r="A1938" s="151" t="n">
        <v>46073</v>
      </c>
      <c r="B1938" s="152" t="s">
        <v>60</v>
      </c>
      <c r="C1938" s="153" t="n">
        <v>14400.38</v>
      </c>
      <c r="D1938" s="154" t="s">
        <v>97</v>
      </c>
      <c r="E1938" s="153"/>
      <c r="F1938" s="154"/>
      <c r="G1938" s="152" t="s">
        <v>315</v>
      </c>
      <c r="H1938" s="152" t="s">
        <v>106</v>
      </c>
      <c r="I1938" s="152"/>
    </row>
    <row r="1939" customFormat="false" ht="16.5" hidden="false" customHeight="true" outlineLevel="0" collapsed="false">
      <c r="A1939" s="151" t="n">
        <v>46074</v>
      </c>
      <c r="B1939" s="152" t="s">
        <v>733</v>
      </c>
      <c r="C1939" s="153" t="n">
        <v>-2.79</v>
      </c>
      <c r="D1939" s="154" t="s">
        <v>97</v>
      </c>
      <c r="E1939" s="153"/>
      <c r="F1939" s="154"/>
      <c r="G1939" s="152" t="s">
        <v>12</v>
      </c>
      <c r="H1939" s="152" t="s">
        <v>106</v>
      </c>
      <c r="I1939" s="152"/>
    </row>
    <row r="1940" customFormat="false" ht="16.5" hidden="false" customHeight="true" outlineLevel="0" collapsed="false">
      <c r="A1940" s="151" t="n">
        <v>46074</v>
      </c>
      <c r="B1940" s="152" t="s">
        <v>60</v>
      </c>
      <c r="C1940" s="153" t="n">
        <v>14397.59</v>
      </c>
      <c r="D1940" s="154" t="s">
        <v>97</v>
      </c>
      <c r="E1940" s="153"/>
      <c r="F1940" s="154"/>
      <c r="G1940" s="152" t="s">
        <v>315</v>
      </c>
      <c r="H1940" s="152" t="s">
        <v>106</v>
      </c>
      <c r="I1940" s="152"/>
    </row>
    <row r="1941" customFormat="false" ht="16.5" hidden="false" customHeight="true" outlineLevel="0" collapsed="false">
      <c r="A1941" s="151" t="n">
        <v>46079</v>
      </c>
      <c r="B1941" s="152" t="s">
        <v>1781</v>
      </c>
      <c r="C1941" s="164" t="n">
        <v>0.44</v>
      </c>
      <c r="D1941" s="154" t="s">
        <v>1657</v>
      </c>
      <c r="E1941" s="153" t="n">
        <v>53.12</v>
      </c>
      <c r="F1941" s="154" t="s">
        <v>12</v>
      </c>
      <c r="G1941" s="152" t="s">
        <v>189</v>
      </c>
      <c r="H1941" s="152" t="s">
        <v>149</v>
      </c>
      <c r="I1941" s="152"/>
    </row>
    <row r="1942" customFormat="false" ht="16.5" hidden="false" customHeight="true" outlineLevel="0" collapsed="false">
      <c r="A1942" s="151" t="n">
        <v>46079</v>
      </c>
      <c r="B1942" s="152"/>
      <c r="C1942" s="164" t="n">
        <v>107.18</v>
      </c>
      <c r="D1942" s="154" t="s">
        <v>1657</v>
      </c>
      <c r="E1942" s="153"/>
      <c r="F1942" s="154"/>
      <c r="G1942" s="152" t="s">
        <v>315</v>
      </c>
      <c r="H1942" s="152" t="s">
        <v>149</v>
      </c>
      <c r="I1942" s="152"/>
    </row>
    <row r="1943" customFormat="false" ht="16.5" hidden="false" customHeight="true" outlineLevel="0" collapsed="false">
      <c r="A1943" s="151" t="n">
        <v>46053</v>
      </c>
      <c r="B1943" s="152" t="s">
        <v>1782</v>
      </c>
      <c r="C1943" s="153" t="n">
        <v>-0.5</v>
      </c>
      <c r="D1943" s="154" t="s">
        <v>97</v>
      </c>
      <c r="E1943" s="153"/>
      <c r="F1943" s="154"/>
      <c r="G1943" s="152" t="s">
        <v>204</v>
      </c>
      <c r="H1943" s="152" t="s">
        <v>121</v>
      </c>
      <c r="I1943" s="152"/>
    </row>
    <row r="1944" customFormat="false" ht="16.5" hidden="false" customHeight="true" outlineLevel="0" collapsed="false">
      <c r="A1944" s="151" t="n">
        <v>46053</v>
      </c>
      <c r="B1944" s="152" t="s">
        <v>1783</v>
      </c>
      <c r="C1944" s="153" t="n">
        <v>-0.5</v>
      </c>
      <c r="D1944" s="154" t="s">
        <v>97</v>
      </c>
      <c r="E1944" s="153"/>
      <c r="F1944" s="154"/>
      <c r="G1944" s="152" t="s">
        <v>204</v>
      </c>
      <c r="H1944" s="152" t="s">
        <v>121</v>
      </c>
      <c r="I1944" s="152"/>
    </row>
    <row r="1945" customFormat="false" ht="16.5" hidden="false" customHeight="true" outlineLevel="0" collapsed="false">
      <c r="A1945" s="151" t="n">
        <v>46079</v>
      </c>
      <c r="B1945" s="152" t="s">
        <v>1784</v>
      </c>
      <c r="C1945" s="153" t="n">
        <v>-1.99</v>
      </c>
      <c r="D1945" s="154" t="s">
        <v>97</v>
      </c>
      <c r="E1945" s="153"/>
      <c r="F1945" s="154"/>
      <c r="G1945" s="152" t="s">
        <v>226</v>
      </c>
      <c r="H1945" s="152" t="s">
        <v>106</v>
      </c>
      <c r="I1945" s="152"/>
    </row>
    <row r="1946" customFormat="false" ht="16.5" hidden="false" customHeight="true" outlineLevel="0" collapsed="false">
      <c r="A1946" s="151" t="n">
        <v>46079</v>
      </c>
      <c r="B1946" s="152" t="s">
        <v>60</v>
      </c>
      <c r="C1946" s="153" t="n">
        <v>14395.6</v>
      </c>
      <c r="D1946" s="154" t="s">
        <v>97</v>
      </c>
      <c r="E1946" s="153"/>
      <c r="F1946" s="154"/>
      <c r="G1946" s="152" t="s">
        <v>315</v>
      </c>
      <c r="H1946" s="152" t="s">
        <v>106</v>
      </c>
      <c r="I1946" s="152"/>
    </row>
    <row r="1947" customFormat="false" ht="16.5" hidden="false" customHeight="true" outlineLevel="0" collapsed="false">
      <c r="A1947" s="151" t="n">
        <v>46083</v>
      </c>
      <c r="B1947" s="152" t="s">
        <v>1785</v>
      </c>
      <c r="C1947" s="153" t="n">
        <v>93.54</v>
      </c>
      <c r="D1947" s="154" t="s">
        <v>97</v>
      </c>
      <c r="E1947" s="153"/>
      <c r="F1947" s="154"/>
      <c r="G1947" s="152" t="s">
        <v>315</v>
      </c>
      <c r="H1947" s="152" t="s">
        <v>121</v>
      </c>
      <c r="I1947" s="152"/>
    </row>
    <row r="1948" customFormat="false" ht="16.5" hidden="false" customHeight="true" outlineLevel="0" collapsed="false">
      <c r="A1948" s="151" t="n">
        <v>46083</v>
      </c>
      <c r="B1948" s="152" t="s">
        <v>60</v>
      </c>
      <c r="C1948" s="153" t="n">
        <v>2489.97</v>
      </c>
      <c r="D1948" s="154" t="s">
        <v>97</v>
      </c>
      <c r="E1948" s="153"/>
      <c r="F1948" s="154"/>
      <c r="G1948" s="152" t="s">
        <v>315</v>
      </c>
      <c r="H1948" s="152" t="s">
        <v>101</v>
      </c>
      <c r="I1948" s="152"/>
    </row>
    <row r="1949" customFormat="false" ht="16.5" hidden="false" customHeight="true" outlineLevel="0" collapsed="false">
      <c r="A1949" s="151" t="n">
        <v>46083</v>
      </c>
      <c r="B1949" s="152" t="s">
        <v>1786</v>
      </c>
      <c r="C1949" s="153" t="n">
        <v>-19.15</v>
      </c>
      <c r="D1949" s="154" t="s">
        <v>97</v>
      </c>
      <c r="E1949" s="153"/>
      <c r="F1949" s="154"/>
      <c r="G1949" s="152" t="s">
        <v>202</v>
      </c>
      <c r="H1949" s="152" t="s">
        <v>106</v>
      </c>
      <c r="I1949" s="152"/>
    </row>
    <row r="1950" customFormat="false" ht="16.5" hidden="false" customHeight="true" outlineLevel="0" collapsed="false">
      <c r="A1950" s="151" t="n">
        <v>46083</v>
      </c>
      <c r="B1950" s="152" t="s">
        <v>1787</v>
      </c>
      <c r="C1950" s="153" t="n">
        <v>-1.6</v>
      </c>
      <c r="D1950" s="154" t="s">
        <v>97</v>
      </c>
      <c r="E1950" s="153"/>
      <c r="F1950" s="154"/>
      <c r="G1950" s="152" t="s">
        <v>219</v>
      </c>
      <c r="H1950" s="152" t="s">
        <v>106</v>
      </c>
      <c r="I1950" s="152"/>
    </row>
    <row r="1951" customFormat="false" ht="16.5" hidden="false" customHeight="true" outlineLevel="0" collapsed="false">
      <c r="A1951" s="151" t="n">
        <v>46083</v>
      </c>
      <c r="B1951" s="152" t="s">
        <v>606</v>
      </c>
      <c r="C1951" s="153" t="n">
        <v>-339.37</v>
      </c>
      <c r="D1951" s="154" t="s">
        <v>97</v>
      </c>
      <c r="E1951" s="153"/>
      <c r="F1951" s="154"/>
      <c r="G1951" s="152" t="s">
        <v>162</v>
      </c>
      <c r="H1951" s="152" t="s">
        <v>106</v>
      </c>
      <c r="I1951" s="152"/>
    </row>
    <row r="1952" customFormat="false" ht="16.5" hidden="false" customHeight="true" outlineLevel="0" collapsed="false">
      <c r="A1952" s="151" t="n">
        <v>46083</v>
      </c>
      <c r="B1952" s="152" t="s">
        <v>1788</v>
      </c>
      <c r="C1952" s="153" t="n">
        <v>616.41</v>
      </c>
      <c r="D1952" s="154" t="s">
        <v>97</v>
      </c>
      <c r="E1952" s="153"/>
      <c r="F1952" s="154"/>
      <c r="G1952" s="152" t="s">
        <v>194</v>
      </c>
      <c r="H1952" s="152" t="s">
        <v>106</v>
      </c>
      <c r="I1952" s="152"/>
    </row>
    <row r="1953" customFormat="false" ht="16.5" hidden="false" customHeight="true" outlineLevel="0" collapsed="false">
      <c r="A1953" s="151" t="n">
        <v>46083</v>
      </c>
      <c r="B1953" s="152" t="s">
        <v>1789</v>
      </c>
      <c r="C1953" s="153" t="n">
        <v>275.25</v>
      </c>
      <c r="D1953" s="154" t="s">
        <v>97</v>
      </c>
      <c r="E1953" s="153"/>
      <c r="F1953" s="154"/>
      <c r="G1953" s="152" t="s">
        <v>206</v>
      </c>
      <c r="H1953" s="152" t="s">
        <v>106</v>
      </c>
      <c r="I1953" s="152"/>
    </row>
    <row r="1954" customFormat="false" ht="16.5" hidden="false" customHeight="true" outlineLevel="0" collapsed="false">
      <c r="A1954" s="151" t="n">
        <v>46083</v>
      </c>
      <c r="B1954" s="152" t="s">
        <v>1790</v>
      </c>
      <c r="C1954" s="153" t="n">
        <v>103.44</v>
      </c>
      <c r="D1954" s="154" t="s">
        <v>97</v>
      </c>
      <c r="E1954" s="153"/>
      <c r="F1954" s="154"/>
      <c r="G1954" s="152" t="s">
        <v>206</v>
      </c>
      <c r="H1954" s="152" t="s">
        <v>106</v>
      </c>
      <c r="I1954" s="152"/>
    </row>
    <row r="1955" customFormat="false" ht="16.5" hidden="false" customHeight="true" outlineLevel="0" collapsed="false">
      <c r="A1955" s="151" t="n">
        <v>46083</v>
      </c>
      <c r="B1955" s="152" t="s">
        <v>60</v>
      </c>
      <c r="C1955" s="153" t="n">
        <v>15030.58</v>
      </c>
      <c r="D1955" s="154" t="s">
        <v>97</v>
      </c>
      <c r="E1955" s="153"/>
      <c r="F1955" s="154"/>
      <c r="G1955" s="152" t="s">
        <v>315</v>
      </c>
      <c r="H1955" s="152" t="s">
        <v>106</v>
      </c>
      <c r="I1955" s="152"/>
    </row>
    <row r="1956" customFormat="false" ht="16.5" hidden="false" customHeight="true" outlineLevel="0" collapsed="false">
      <c r="A1956" s="151" t="n">
        <v>46084</v>
      </c>
      <c r="B1956" s="152" t="s">
        <v>1791</v>
      </c>
      <c r="C1956" s="153" t="n">
        <v>27.32</v>
      </c>
      <c r="D1956" s="154" t="s">
        <v>97</v>
      </c>
      <c r="E1956" s="153"/>
      <c r="F1956" s="154"/>
      <c r="G1956" s="152" t="s">
        <v>224</v>
      </c>
      <c r="H1956" s="152" t="s">
        <v>106</v>
      </c>
      <c r="I1956" s="152"/>
    </row>
    <row r="1957" customFormat="false" ht="16.5" hidden="false" customHeight="true" outlineLevel="0" collapsed="false">
      <c r="A1957" s="151" t="n">
        <v>46084</v>
      </c>
      <c r="B1957" s="152" t="s">
        <v>1792</v>
      </c>
      <c r="C1957" s="153" t="n">
        <v>-59.99</v>
      </c>
      <c r="D1957" s="154" t="s">
        <v>97</v>
      </c>
      <c r="E1957" s="153"/>
      <c r="F1957" s="154" t="s">
        <v>1793</v>
      </c>
      <c r="G1957" s="152" t="s">
        <v>190</v>
      </c>
      <c r="H1957" s="152" t="s">
        <v>106</v>
      </c>
      <c r="I1957" s="152"/>
    </row>
    <row r="1958" customFormat="false" ht="16.5" hidden="false" customHeight="true" outlineLevel="0" collapsed="false">
      <c r="A1958" s="151" t="n">
        <v>46084</v>
      </c>
      <c r="B1958" s="152"/>
      <c r="C1958" s="153" t="n">
        <v>59.99</v>
      </c>
      <c r="D1958" s="154" t="s">
        <v>97</v>
      </c>
      <c r="E1958" s="153"/>
      <c r="F1958" s="154" t="s">
        <v>1793</v>
      </c>
      <c r="G1958" s="152" t="s">
        <v>190</v>
      </c>
      <c r="H1958" s="152" t="s">
        <v>108</v>
      </c>
      <c r="I1958" s="152"/>
    </row>
    <row r="1959" customFormat="false" ht="16.5" hidden="false" customHeight="true" outlineLevel="0" collapsed="false">
      <c r="A1959" s="151" t="n">
        <v>46084</v>
      </c>
      <c r="B1959" s="152" t="s">
        <v>60</v>
      </c>
      <c r="C1959" s="153" t="n">
        <v>300.05</v>
      </c>
      <c r="D1959" s="154" t="s">
        <v>97</v>
      </c>
      <c r="E1959" s="153"/>
      <c r="F1959" s="154"/>
      <c r="G1959" s="152" t="s">
        <v>315</v>
      </c>
      <c r="H1959" s="152" t="s">
        <v>108</v>
      </c>
      <c r="I1959" s="152"/>
    </row>
    <row r="1960" customFormat="false" ht="16.5" hidden="false" customHeight="true" outlineLevel="0" collapsed="false">
      <c r="A1960" s="151" t="n">
        <v>46084</v>
      </c>
      <c r="B1960" s="152" t="s">
        <v>1794</v>
      </c>
      <c r="C1960" s="153" t="n">
        <v>-117.81</v>
      </c>
      <c r="D1960" s="154" t="s">
        <v>97</v>
      </c>
      <c r="E1960" s="153" t="n">
        <v>-117.81</v>
      </c>
      <c r="F1960" s="154" t="s">
        <v>1760</v>
      </c>
      <c r="G1960" s="152" t="s">
        <v>189</v>
      </c>
      <c r="H1960" s="152" t="s">
        <v>106</v>
      </c>
      <c r="I1960" s="152"/>
    </row>
    <row r="1961" customFormat="false" ht="16.5" hidden="false" customHeight="true" outlineLevel="0" collapsed="false">
      <c r="A1961" s="151" t="n">
        <v>46084</v>
      </c>
      <c r="B1961" s="152" t="s">
        <v>1795</v>
      </c>
      <c r="C1961" s="153" t="n">
        <v>-80.07</v>
      </c>
      <c r="D1961" s="154" t="s">
        <v>97</v>
      </c>
      <c r="E1961" s="153" t="n">
        <v>-80.07</v>
      </c>
      <c r="F1961" s="154" t="s">
        <v>1796</v>
      </c>
      <c r="G1961" s="152" t="s">
        <v>189</v>
      </c>
      <c r="H1961" s="152" t="s">
        <v>106</v>
      </c>
      <c r="I1961" s="152"/>
    </row>
    <row r="1962" customFormat="false" ht="16.5" hidden="false" customHeight="true" outlineLevel="0" collapsed="false">
      <c r="A1962" s="151" t="n">
        <v>46084</v>
      </c>
      <c r="B1962" s="152" t="s">
        <v>1797</v>
      </c>
      <c r="C1962" s="153" t="n">
        <v>-75.78</v>
      </c>
      <c r="D1962" s="154" t="s">
        <v>97</v>
      </c>
      <c r="E1962" s="153" t="n">
        <v>-75.78</v>
      </c>
      <c r="F1962" s="154" t="s">
        <v>1798</v>
      </c>
      <c r="G1962" s="152" t="s">
        <v>189</v>
      </c>
      <c r="H1962" s="152" t="s">
        <v>106</v>
      </c>
      <c r="I1962" s="152"/>
    </row>
    <row r="1963" customFormat="false" ht="16.5" hidden="false" customHeight="true" outlineLevel="0" collapsed="false">
      <c r="A1963" s="151" t="n">
        <v>46084</v>
      </c>
      <c r="B1963" s="152" t="s">
        <v>1799</v>
      </c>
      <c r="C1963" s="153" t="n">
        <v>-70.77</v>
      </c>
      <c r="D1963" s="154" t="s">
        <v>97</v>
      </c>
      <c r="E1963" s="153" t="n">
        <v>-70.77</v>
      </c>
      <c r="F1963" s="154" t="s">
        <v>1772</v>
      </c>
      <c r="G1963" s="152" t="s">
        <v>189</v>
      </c>
      <c r="H1963" s="152" t="s">
        <v>106</v>
      </c>
      <c r="I1963" s="152"/>
    </row>
    <row r="1964" customFormat="false" ht="16.5" hidden="false" customHeight="true" outlineLevel="0" collapsed="false">
      <c r="A1964" s="151" t="n">
        <v>46084</v>
      </c>
      <c r="B1964" s="152" t="s">
        <v>1800</v>
      </c>
      <c r="C1964" s="153" t="n">
        <v>-29.6</v>
      </c>
      <c r="D1964" s="154" t="s">
        <v>97</v>
      </c>
      <c r="E1964" s="153"/>
      <c r="F1964" s="154"/>
      <c r="G1964" s="152" t="s">
        <v>213</v>
      </c>
      <c r="H1964" s="152" t="s">
        <v>106</v>
      </c>
      <c r="I1964" s="152"/>
    </row>
    <row r="1965" customFormat="false" ht="16.5" hidden="false" customHeight="true" outlineLevel="0" collapsed="false">
      <c r="A1965" s="151" t="n">
        <v>46084</v>
      </c>
      <c r="B1965" s="152" t="s">
        <v>1801</v>
      </c>
      <c r="C1965" s="153" t="n">
        <v>-27.54</v>
      </c>
      <c r="D1965" s="154" t="s">
        <v>97</v>
      </c>
      <c r="E1965" s="153"/>
      <c r="F1965" s="154"/>
      <c r="G1965" s="152" t="s">
        <v>213</v>
      </c>
      <c r="H1965" s="152" t="s">
        <v>106</v>
      </c>
      <c r="I1965" s="152"/>
    </row>
    <row r="1966" customFormat="false" ht="16.5" hidden="false" customHeight="true" outlineLevel="0" collapsed="false">
      <c r="A1966" s="151" t="n">
        <v>46084</v>
      </c>
      <c r="B1966" s="152" t="s">
        <v>1802</v>
      </c>
      <c r="C1966" s="153" t="n">
        <v>-25.53</v>
      </c>
      <c r="D1966" s="154" t="s">
        <v>97</v>
      </c>
      <c r="E1966" s="153"/>
      <c r="F1966" s="154"/>
      <c r="G1966" s="152" t="s">
        <v>213</v>
      </c>
      <c r="H1966" s="152" t="s">
        <v>106</v>
      </c>
      <c r="I1966" s="152"/>
    </row>
    <row r="1967" customFormat="false" ht="16.5" hidden="false" customHeight="true" outlineLevel="0" collapsed="false">
      <c r="A1967" s="151" t="n">
        <v>46084</v>
      </c>
      <c r="B1967" s="152" t="s">
        <v>1803</v>
      </c>
      <c r="C1967" s="153" t="n">
        <v>-22.6</v>
      </c>
      <c r="D1967" s="154" t="s">
        <v>97</v>
      </c>
      <c r="E1967" s="153"/>
      <c r="F1967" s="154"/>
      <c r="G1967" s="152" t="s">
        <v>213</v>
      </c>
      <c r="H1967" s="152" t="s">
        <v>106</v>
      </c>
      <c r="I1967" s="152"/>
    </row>
    <row r="1968" customFormat="false" ht="16.5" hidden="false" customHeight="true" outlineLevel="0" collapsed="false">
      <c r="A1968" s="151" t="n">
        <v>46084</v>
      </c>
      <c r="B1968" s="152" t="s">
        <v>1804</v>
      </c>
      <c r="C1968" s="153" t="n">
        <v>-20.15</v>
      </c>
      <c r="D1968" s="154" t="s">
        <v>97</v>
      </c>
      <c r="E1968" s="153"/>
      <c r="F1968" s="154"/>
      <c r="G1968" s="152" t="s">
        <v>213</v>
      </c>
      <c r="H1968" s="152" t="s">
        <v>106</v>
      </c>
      <c r="I1968" s="152"/>
    </row>
    <row r="1969" customFormat="false" ht="16.5" hidden="false" customHeight="true" outlineLevel="0" collapsed="false">
      <c r="A1969" s="151" t="n">
        <v>46084</v>
      </c>
      <c r="B1969" s="152" t="s">
        <v>1805</v>
      </c>
      <c r="C1969" s="153" t="n">
        <v>-18.94</v>
      </c>
      <c r="D1969" s="154" t="s">
        <v>97</v>
      </c>
      <c r="E1969" s="153"/>
      <c r="F1969" s="154"/>
      <c r="G1969" s="152" t="s">
        <v>213</v>
      </c>
      <c r="H1969" s="152" t="s">
        <v>106</v>
      </c>
      <c r="I1969" s="152"/>
    </row>
    <row r="1970" customFormat="false" ht="16.5" hidden="false" customHeight="true" outlineLevel="0" collapsed="false">
      <c r="A1970" s="151" t="n">
        <v>46084</v>
      </c>
      <c r="B1970" s="152" t="s">
        <v>1806</v>
      </c>
      <c r="C1970" s="153" t="n">
        <v>-8.6</v>
      </c>
      <c r="D1970" s="154" t="s">
        <v>97</v>
      </c>
      <c r="E1970" s="153"/>
      <c r="F1970" s="154"/>
      <c r="G1970" s="152" t="s">
        <v>164</v>
      </c>
      <c r="H1970" s="152" t="s">
        <v>106</v>
      </c>
      <c r="I1970" s="152"/>
    </row>
    <row r="1971" customFormat="false" ht="16.5" hidden="false" customHeight="true" outlineLevel="0" collapsed="false">
      <c r="A1971" s="151" t="n">
        <v>46084</v>
      </c>
      <c r="B1971" s="152" t="s">
        <v>1807</v>
      </c>
      <c r="C1971" s="153" t="n">
        <v>-8.02</v>
      </c>
      <c r="D1971" s="154" t="s">
        <v>97</v>
      </c>
      <c r="E1971" s="153"/>
      <c r="F1971" s="154"/>
      <c r="G1971" s="152" t="s">
        <v>164</v>
      </c>
      <c r="H1971" s="152" t="s">
        <v>106</v>
      </c>
      <c r="I1971" s="152"/>
    </row>
    <row r="1972" customFormat="false" ht="16.5" hidden="false" customHeight="true" outlineLevel="0" collapsed="false">
      <c r="A1972" s="151" t="n">
        <v>46084</v>
      </c>
      <c r="B1972" s="152" t="s">
        <v>1808</v>
      </c>
      <c r="C1972" s="153" t="n">
        <v>-6.87</v>
      </c>
      <c r="D1972" s="154" t="s">
        <v>97</v>
      </c>
      <c r="E1972" s="153"/>
      <c r="F1972" s="154"/>
      <c r="G1972" s="152" t="s">
        <v>231</v>
      </c>
      <c r="H1972" s="152" t="s">
        <v>106</v>
      </c>
      <c r="I1972" s="152"/>
    </row>
    <row r="1973" customFormat="false" ht="16.5" hidden="false" customHeight="true" outlineLevel="0" collapsed="false">
      <c r="A1973" s="151" t="n">
        <v>46084</v>
      </c>
      <c r="B1973" s="152" t="s">
        <v>1809</v>
      </c>
      <c r="C1973" s="153" t="n">
        <v>-6.4</v>
      </c>
      <c r="D1973" s="154" t="s">
        <v>97</v>
      </c>
      <c r="E1973" s="153"/>
      <c r="F1973" s="154"/>
      <c r="G1973" s="152" t="s">
        <v>164</v>
      </c>
      <c r="H1973" s="152" t="s">
        <v>106</v>
      </c>
      <c r="I1973" s="152"/>
    </row>
    <row r="1974" customFormat="false" ht="16.5" hidden="false" customHeight="true" outlineLevel="0" collapsed="false">
      <c r="A1974" s="151" t="n">
        <v>46084</v>
      </c>
      <c r="B1974" s="152" t="s">
        <v>1810</v>
      </c>
      <c r="C1974" s="153" t="n">
        <v>-3.99</v>
      </c>
      <c r="D1974" s="154" t="s">
        <v>97</v>
      </c>
      <c r="E1974" s="153"/>
      <c r="F1974" s="154"/>
      <c r="G1974" s="152" t="s">
        <v>164</v>
      </c>
      <c r="H1974" s="152" t="s">
        <v>106</v>
      </c>
      <c r="I1974" s="152"/>
    </row>
    <row r="1975" customFormat="false" ht="16.5" hidden="false" customHeight="true" outlineLevel="0" collapsed="false">
      <c r="A1975" s="151" t="n">
        <v>46084</v>
      </c>
      <c r="B1975" s="152" t="s">
        <v>1811</v>
      </c>
      <c r="C1975" s="153" t="n">
        <v>-3.17</v>
      </c>
      <c r="D1975" s="154" t="s">
        <v>97</v>
      </c>
      <c r="E1975" s="153"/>
      <c r="F1975" s="154"/>
      <c r="G1975" s="152" t="s">
        <v>167</v>
      </c>
      <c r="H1975" s="152" t="s">
        <v>106</v>
      </c>
      <c r="I1975" s="152"/>
    </row>
    <row r="1976" customFormat="false" ht="16.5" hidden="false" customHeight="true" outlineLevel="0" collapsed="false">
      <c r="A1976" s="151" t="n">
        <v>46084</v>
      </c>
      <c r="B1976" s="152" t="s">
        <v>1812</v>
      </c>
      <c r="C1976" s="153" t="n">
        <v>-3.01</v>
      </c>
      <c r="D1976" s="154" t="s">
        <v>97</v>
      </c>
      <c r="E1976" s="153"/>
      <c r="F1976" s="154"/>
      <c r="G1976" s="152" t="s">
        <v>12</v>
      </c>
      <c r="H1976" s="152" t="s">
        <v>106</v>
      </c>
      <c r="I1976" s="152"/>
    </row>
    <row r="1977" customFormat="false" ht="16.5" hidden="false" customHeight="true" outlineLevel="0" collapsed="false">
      <c r="A1977" s="151" t="n">
        <v>46084</v>
      </c>
      <c r="B1977" s="152" t="s">
        <v>1813</v>
      </c>
      <c r="C1977" s="153" t="n">
        <v>-1.98</v>
      </c>
      <c r="D1977" s="154" t="s">
        <v>97</v>
      </c>
      <c r="E1977" s="153"/>
      <c r="F1977" s="154"/>
      <c r="G1977" s="152" t="s">
        <v>162</v>
      </c>
      <c r="H1977" s="152" t="s">
        <v>106</v>
      </c>
      <c r="I1977" s="152"/>
    </row>
    <row r="1978" customFormat="false" ht="16.5" hidden="false" customHeight="true" outlineLevel="0" collapsed="false">
      <c r="A1978" s="151" t="n">
        <v>46084</v>
      </c>
      <c r="B1978" s="152" t="s">
        <v>1814</v>
      </c>
      <c r="C1978" s="153" t="n">
        <v>-1.98</v>
      </c>
      <c r="D1978" s="154" t="s">
        <v>97</v>
      </c>
      <c r="E1978" s="153"/>
      <c r="F1978" s="154"/>
      <c r="G1978" s="152" t="s">
        <v>225</v>
      </c>
      <c r="H1978" s="152" t="s">
        <v>106</v>
      </c>
      <c r="I1978" s="152"/>
    </row>
    <row r="1979" customFormat="false" ht="16.5" hidden="false" customHeight="true" outlineLevel="0" collapsed="false">
      <c r="A1979" s="151" t="n">
        <v>46084</v>
      </c>
      <c r="B1979" s="152" t="s">
        <v>1815</v>
      </c>
      <c r="C1979" s="153" t="n">
        <v>-1.64</v>
      </c>
      <c r="D1979" s="154" t="s">
        <v>97</v>
      </c>
      <c r="E1979" s="153"/>
      <c r="F1979" s="154"/>
      <c r="G1979" s="152" t="s">
        <v>213</v>
      </c>
      <c r="H1979" s="152" t="s">
        <v>106</v>
      </c>
      <c r="I1979" s="152"/>
    </row>
    <row r="1980" customFormat="false" ht="16.5" hidden="false" customHeight="true" outlineLevel="0" collapsed="false">
      <c r="A1980" s="151" t="n">
        <v>46084</v>
      </c>
      <c r="B1980" s="152" t="s">
        <v>1816</v>
      </c>
      <c r="C1980" s="153" t="n">
        <v>-0.48</v>
      </c>
      <c r="D1980" s="154" t="s">
        <v>97</v>
      </c>
      <c r="E1980" s="153"/>
      <c r="F1980" s="154"/>
      <c r="G1980" s="152" t="s">
        <v>213</v>
      </c>
      <c r="H1980" s="152" t="s">
        <v>106</v>
      </c>
      <c r="I1980" s="152"/>
    </row>
    <row r="1981" customFormat="false" ht="16.5" hidden="false" customHeight="true" outlineLevel="0" collapsed="false">
      <c r="A1981" s="151" t="n">
        <v>46084</v>
      </c>
      <c r="B1981" s="152" t="s">
        <v>1817</v>
      </c>
      <c r="C1981" s="153" t="n">
        <v>-0.36</v>
      </c>
      <c r="D1981" s="154" t="s">
        <v>97</v>
      </c>
      <c r="E1981" s="153"/>
      <c r="F1981" s="154"/>
      <c r="G1981" s="152" t="s">
        <v>231</v>
      </c>
      <c r="H1981" s="152" t="s">
        <v>106</v>
      </c>
      <c r="I1981" s="152"/>
    </row>
    <row r="1982" customFormat="false" ht="16.5" hidden="false" customHeight="true" outlineLevel="0" collapsed="false">
      <c r="A1982" s="151" t="n">
        <v>46084</v>
      </c>
      <c r="B1982" s="152" t="s">
        <v>1818</v>
      </c>
      <c r="C1982" s="153" t="n">
        <v>-0.36</v>
      </c>
      <c r="D1982" s="154" t="s">
        <v>97</v>
      </c>
      <c r="E1982" s="153"/>
      <c r="F1982" s="154"/>
      <c r="G1982" s="152" t="s">
        <v>231</v>
      </c>
      <c r="H1982" s="152" t="s">
        <v>106</v>
      </c>
      <c r="I1982" s="152"/>
    </row>
    <row r="1983" customFormat="false" ht="16.5" hidden="false" customHeight="true" outlineLevel="0" collapsed="false">
      <c r="A1983" s="151" t="n">
        <v>46084</v>
      </c>
      <c r="B1983" s="152" t="s">
        <v>60</v>
      </c>
      <c r="C1983" s="153" t="n">
        <v>14462.26</v>
      </c>
      <c r="D1983" s="154" t="s">
        <v>97</v>
      </c>
      <c r="E1983" s="153"/>
      <c r="F1983" s="154"/>
      <c r="G1983" s="152" t="s">
        <v>315</v>
      </c>
      <c r="H1983" s="152" t="s">
        <v>106</v>
      </c>
      <c r="I1983" s="152"/>
    </row>
    <row r="1984" customFormat="false" ht="16.5" hidden="false" customHeight="true" outlineLevel="0" collapsed="false">
      <c r="A1984" s="151" t="n">
        <v>46084</v>
      </c>
      <c r="B1984" s="152" t="s">
        <v>1819</v>
      </c>
      <c r="C1984" s="164" t="n">
        <v>0.9</v>
      </c>
      <c r="D1984" s="154" t="s">
        <v>1657</v>
      </c>
      <c r="E1984" s="153" t="n">
        <v>80.07</v>
      </c>
      <c r="F1984" s="154" t="s">
        <v>1796</v>
      </c>
      <c r="G1984" s="152" t="s">
        <v>189</v>
      </c>
      <c r="H1984" s="152" t="s">
        <v>149</v>
      </c>
      <c r="I1984" s="152"/>
    </row>
    <row r="1985" customFormat="false" ht="16.5" hidden="false" customHeight="true" outlineLevel="0" collapsed="false">
      <c r="A1985" s="151" t="n">
        <v>46084</v>
      </c>
      <c r="B1985" s="152" t="s">
        <v>1820</v>
      </c>
      <c r="C1985" s="164" t="n">
        <v>0.64</v>
      </c>
      <c r="D1985" s="154" t="s">
        <v>1657</v>
      </c>
      <c r="E1985" s="153" t="n">
        <v>75.78</v>
      </c>
      <c r="F1985" s="154" t="s">
        <v>1798</v>
      </c>
      <c r="G1985" s="152" t="s">
        <v>189</v>
      </c>
      <c r="H1985" s="152" t="s">
        <v>149</v>
      </c>
      <c r="I1985" s="152"/>
    </row>
    <row r="1986" customFormat="false" ht="16.5" hidden="false" customHeight="true" outlineLevel="0" collapsed="false">
      <c r="A1986" s="151" t="n">
        <v>46084</v>
      </c>
      <c r="B1986" s="152"/>
      <c r="C1986" s="164" t="n">
        <v>108.72</v>
      </c>
      <c r="D1986" s="154" t="s">
        <v>1657</v>
      </c>
      <c r="E1986" s="153"/>
      <c r="F1986" s="154"/>
      <c r="G1986" s="152" t="s">
        <v>315</v>
      </c>
      <c r="H1986" s="152" t="s">
        <v>149</v>
      </c>
      <c r="I1986" s="152"/>
    </row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1043953" customFormat="false" ht="12.75" hidden="false" customHeight="true" outlineLevel="0" collapsed="false"/>
    <row r="1043954" customFormat="false" ht="12.75" hidden="false" customHeight="true" outlineLevel="0" collapsed="false"/>
    <row r="1043955" customFormat="false" ht="12.75" hidden="false" customHeight="true" outlineLevel="0" collapsed="false"/>
    <row r="1043956" customFormat="false" ht="12.75" hidden="false" customHeight="true" outlineLevel="0" collapsed="false"/>
    <row r="1043957" customFormat="false" ht="12.75" hidden="false" customHeight="true" outlineLevel="0" collapsed="false"/>
    <row r="1043958" customFormat="false" ht="12.75" hidden="false" customHeight="true" outlineLevel="0" collapsed="false"/>
    <row r="1043959" customFormat="false" ht="12.75" hidden="false" customHeight="true" outlineLevel="0" collapsed="false"/>
    <row r="1043960" customFormat="false" ht="12.75" hidden="false" customHeight="true" outlineLevel="0" collapsed="false"/>
    <row r="1043961" customFormat="false" ht="12.75" hidden="false" customHeight="true" outlineLevel="0" collapsed="false"/>
    <row r="1043962" customFormat="false" ht="12.75" hidden="false" customHeight="true" outlineLevel="0" collapsed="false"/>
    <row r="1043963" customFormat="false" ht="12.75" hidden="false" customHeight="true" outlineLevel="0" collapsed="false"/>
    <row r="1043964" customFormat="false" ht="12.75" hidden="false" customHeight="true" outlineLevel="0" collapsed="false"/>
    <row r="1043965" customFormat="false" ht="12.75" hidden="false" customHeight="true" outlineLevel="0" collapsed="false"/>
    <row r="1043966" customFormat="false" ht="12.75" hidden="false" customHeight="true" outlineLevel="0" collapsed="false"/>
    <row r="1043967" customFormat="false" ht="12.75" hidden="false" customHeight="true" outlineLevel="0" collapsed="false"/>
    <row r="1043968" customFormat="false" ht="12.75" hidden="false" customHeight="true" outlineLevel="0" collapsed="false"/>
    <row r="1043969" customFormat="false" ht="12.75" hidden="false" customHeight="true" outlineLevel="0" collapsed="false"/>
    <row r="1043970" customFormat="false" ht="12.75" hidden="false" customHeight="true" outlineLevel="0" collapsed="false"/>
    <row r="1043971" customFormat="false" ht="12.75" hidden="false" customHeight="true" outlineLevel="0" collapsed="false"/>
    <row r="1043972" customFormat="false" ht="12.75" hidden="false" customHeight="true" outlineLevel="0" collapsed="false"/>
    <row r="1043973" customFormat="false" ht="12.75" hidden="false" customHeight="true" outlineLevel="0" collapsed="false"/>
    <row r="1043974" customFormat="false" ht="12.75" hidden="false" customHeight="true" outlineLevel="0" collapsed="false"/>
    <row r="1043975" customFormat="false" ht="12.75" hidden="false" customHeight="true" outlineLevel="0" collapsed="false"/>
    <row r="1043976" customFormat="false" ht="12.75" hidden="false" customHeight="true" outlineLevel="0" collapsed="false"/>
    <row r="1043977" customFormat="false" ht="12.75" hidden="false" customHeight="true" outlineLevel="0" collapsed="false"/>
    <row r="1043978" customFormat="false" ht="12.75" hidden="false" customHeight="true" outlineLevel="0" collapsed="false"/>
    <row r="1043979" customFormat="false" ht="12.75" hidden="false" customHeight="true" outlineLevel="0" collapsed="false"/>
    <row r="1043980" customFormat="false" ht="12.75" hidden="false" customHeight="true" outlineLevel="0" collapsed="false"/>
    <row r="1043981" customFormat="false" ht="12.75" hidden="false" customHeight="true" outlineLevel="0" collapsed="false"/>
    <row r="1043982" customFormat="false" ht="12.75" hidden="false" customHeight="true" outlineLevel="0" collapsed="false"/>
    <row r="1043983" customFormat="false" ht="12.75" hidden="false" customHeight="true" outlineLevel="0" collapsed="false"/>
    <row r="1043984" customFormat="false" ht="12.75" hidden="false" customHeight="true" outlineLevel="0" collapsed="false"/>
    <row r="1043985" customFormat="false" ht="12.75" hidden="false" customHeight="true" outlineLevel="0" collapsed="false"/>
    <row r="1043986" customFormat="false" ht="12.75" hidden="false" customHeight="true" outlineLevel="0" collapsed="false"/>
    <row r="1043987" customFormat="false" ht="12.75" hidden="false" customHeight="true" outlineLevel="0" collapsed="false"/>
    <row r="1043988" customFormat="false" ht="12.75" hidden="false" customHeight="true" outlineLevel="0" collapsed="false"/>
    <row r="1043989" customFormat="false" ht="12.75" hidden="false" customHeight="true" outlineLevel="0" collapsed="false"/>
    <row r="1043990" customFormat="false" ht="12.75" hidden="false" customHeight="true" outlineLevel="0" collapsed="false"/>
    <row r="1043991" customFormat="false" ht="12.75" hidden="false" customHeight="true" outlineLevel="0" collapsed="false"/>
    <row r="1043992" customFormat="false" ht="12.75" hidden="false" customHeight="true" outlineLevel="0" collapsed="false"/>
    <row r="1043993" customFormat="false" ht="12.75" hidden="false" customHeight="true" outlineLevel="0" collapsed="false"/>
    <row r="1043994" customFormat="false" ht="12.75" hidden="false" customHeight="true" outlineLevel="0" collapsed="false"/>
    <row r="1043995" customFormat="false" ht="12.75" hidden="false" customHeight="true" outlineLevel="0" collapsed="false"/>
    <row r="1043996" customFormat="false" ht="12.75" hidden="false" customHeight="true" outlineLevel="0" collapsed="false"/>
    <row r="1043997" customFormat="false" ht="12.75" hidden="false" customHeight="true" outlineLevel="0" collapsed="false"/>
    <row r="1043998" customFormat="false" ht="12.75" hidden="false" customHeight="true" outlineLevel="0" collapsed="false"/>
    <row r="1043999" customFormat="false" ht="12.75" hidden="false" customHeight="true" outlineLevel="0" collapsed="false"/>
    <row r="1044000" customFormat="false" ht="12.75" hidden="false" customHeight="true" outlineLevel="0" collapsed="false"/>
    <row r="1044001" customFormat="false" ht="12.75" hidden="false" customHeight="true" outlineLevel="0" collapsed="false"/>
    <row r="1044002" customFormat="false" ht="12.75" hidden="false" customHeight="true" outlineLevel="0" collapsed="false"/>
    <row r="1044003" customFormat="false" ht="12.75" hidden="false" customHeight="true" outlineLevel="0" collapsed="false"/>
    <row r="1044004" customFormat="false" ht="12.75" hidden="false" customHeight="true" outlineLevel="0" collapsed="false"/>
    <row r="1044005" customFormat="false" ht="12.75" hidden="false" customHeight="true" outlineLevel="0" collapsed="false"/>
    <row r="1044006" customFormat="false" ht="12.75" hidden="false" customHeight="true" outlineLevel="0" collapsed="false"/>
    <row r="1044007" customFormat="false" ht="12.75" hidden="false" customHeight="true" outlineLevel="0" collapsed="false"/>
    <row r="1044008" customFormat="false" ht="12.75" hidden="false" customHeight="true" outlineLevel="0" collapsed="false"/>
    <row r="1044009" customFormat="false" ht="12.75" hidden="false" customHeight="true" outlineLevel="0" collapsed="false"/>
    <row r="1044010" customFormat="false" ht="12.75" hidden="false" customHeight="true" outlineLevel="0" collapsed="false"/>
    <row r="1044011" customFormat="false" ht="12.75" hidden="false" customHeight="true" outlineLevel="0" collapsed="false"/>
    <row r="1044012" customFormat="false" ht="12.75" hidden="false" customHeight="true" outlineLevel="0" collapsed="false"/>
    <row r="1044013" customFormat="false" ht="12.75" hidden="false" customHeight="true" outlineLevel="0" collapsed="false"/>
    <row r="1044014" customFormat="false" ht="12.75" hidden="false" customHeight="true" outlineLevel="0" collapsed="false"/>
    <row r="1044015" customFormat="false" ht="12.75" hidden="false" customHeight="true" outlineLevel="0" collapsed="false"/>
    <row r="1044016" customFormat="false" ht="12.75" hidden="false" customHeight="true" outlineLevel="0" collapsed="false"/>
    <row r="1044017" customFormat="false" ht="12.75" hidden="false" customHeight="true" outlineLevel="0" collapsed="false"/>
    <row r="1044018" customFormat="false" ht="12.75" hidden="false" customHeight="true" outlineLevel="0" collapsed="false"/>
    <row r="1044019" customFormat="false" ht="12.75" hidden="false" customHeight="true" outlineLevel="0" collapsed="false"/>
    <row r="1044020" customFormat="false" ht="12.75" hidden="false" customHeight="true" outlineLevel="0" collapsed="false"/>
    <row r="1044021" customFormat="false" ht="12.75" hidden="false" customHeight="true" outlineLevel="0" collapsed="false"/>
    <row r="1044022" customFormat="false" ht="12.75" hidden="false" customHeight="true" outlineLevel="0" collapsed="false"/>
    <row r="1044023" customFormat="false" ht="12.75" hidden="false" customHeight="true" outlineLevel="0" collapsed="false"/>
    <row r="1044024" customFormat="false" ht="12.75" hidden="false" customHeight="true" outlineLevel="0" collapsed="false"/>
    <row r="1044025" customFormat="false" ht="12.75" hidden="false" customHeight="true" outlineLevel="0" collapsed="false"/>
    <row r="1044026" customFormat="false" ht="12.75" hidden="false" customHeight="true" outlineLevel="0" collapsed="false"/>
    <row r="1044027" customFormat="false" ht="12.75" hidden="false" customHeight="true" outlineLevel="0" collapsed="false"/>
    <row r="1044028" customFormat="false" ht="12.75" hidden="false" customHeight="true" outlineLevel="0" collapsed="false"/>
    <row r="1044029" customFormat="false" ht="12.75" hidden="false" customHeight="true" outlineLevel="0" collapsed="false"/>
    <row r="1044030" customFormat="false" ht="12.75" hidden="false" customHeight="true" outlineLevel="0" collapsed="false"/>
    <row r="1044031" customFormat="false" ht="12.75" hidden="false" customHeight="true" outlineLevel="0" collapsed="false"/>
    <row r="1044032" customFormat="false" ht="12.75" hidden="false" customHeight="true" outlineLevel="0" collapsed="false"/>
    <row r="1044033" customFormat="false" ht="12.75" hidden="false" customHeight="true" outlineLevel="0" collapsed="false"/>
    <row r="1044034" customFormat="false" ht="12.75" hidden="false" customHeight="true" outlineLevel="0" collapsed="false"/>
    <row r="1044035" customFormat="false" ht="12.75" hidden="false" customHeight="true" outlineLevel="0" collapsed="false"/>
    <row r="1044036" customFormat="false" ht="12.75" hidden="false" customHeight="true" outlineLevel="0" collapsed="false"/>
    <row r="1044037" customFormat="false" ht="12.75" hidden="false" customHeight="true" outlineLevel="0" collapsed="false"/>
    <row r="1044038" customFormat="false" ht="12.75" hidden="false" customHeight="true" outlineLevel="0" collapsed="false"/>
    <row r="1044039" customFormat="false" ht="12.75" hidden="false" customHeight="true" outlineLevel="0" collapsed="false"/>
    <row r="1044040" customFormat="false" ht="12.75" hidden="false" customHeight="true" outlineLevel="0" collapsed="false"/>
    <row r="1044041" customFormat="false" ht="12.75" hidden="false" customHeight="true" outlineLevel="0" collapsed="false"/>
    <row r="1044042" customFormat="false" ht="12.75" hidden="false" customHeight="true" outlineLevel="0" collapsed="false"/>
    <row r="1044043" customFormat="false" ht="12.75" hidden="false" customHeight="true" outlineLevel="0" collapsed="false"/>
    <row r="1044044" customFormat="false" ht="12.75" hidden="false" customHeight="true" outlineLevel="0" collapsed="false"/>
    <row r="1044045" customFormat="false" ht="12.75" hidden="false" customHeight="true" outlineLevel="0" collapsed="false"/>
    <row r="1044046" customFormat="false" ht="12.75" hidden="false" customHeight="true" outlineLevel="0" collapsed="false"/>
    <row r="1044047" customFormat="false" ht="12.75" hidden="false" customHeight="true" outlineLevel="0" collapsed="false"/>
    <row r="1044048" customFormat="false" ht="12.75" hidden="false" customHeight="true" outlineLevel="0" collapsed="false"/>
    <row r="1044049" customFormat="false" ht="12.75" hidden="false" customHeight="true" outlineLevel="0" collapsed="false"/>
    <row r="1044050" customFormat="false" ht="12.75" hidden="false" customHeight="true" outlineLevel="0" collapsed="false"/>
    <row r="1044051" customFormat="false" ht="12.75" hidden="false" customHeight="true" outlineLevel="0" collapsed="false"/>
    <row r="1044052" customFormat="false" ht="12.75" hidden="false" customHeight="true" outlineLevel="0" collapsed="false"/>
    <row r="1044053" customFormat="false" ht="12.75" hidden="false" customHeight="true" outlineLevel="0" collapsed="false"/>
    <row r="1044054" customFormat="false" ht="12.75" hidden="false" customHeight="true" outlineLevel="0" collapsed="false"/>
    <row r="1044055" customFormat="false" ht="12.75" hidden="false" customHeight="true" outlineLevel="0" collapsed="false"/>
    <row r="1044056" customFormat="false" ht="12.75" hidden="false" customHeight="true" outlineLevel="0" collapsed="false"/>
    <row r="1044057" customFormat="false" ht="12.75" hidden="false" customHeight="true" outlineLevel="0" collapsed="false"/>
    <row r="1044058" customFormat="false" ht="12.75" hidden="false" customHeight="true" outlineLevel="0" collapsed="false"/>
    <row r="1044059" customFormat="false" ht="12.75" hidden="false" customHeight="true" outlineLevel="0" collapsed="false"/>
    <row r="1044060" customFormat="false" ht="12.75" hidden="false" customHeight="true" outlineLevel="0" collapsed="false"/>
    <row r="1044061" customFormat="false" ht="12.75" hidden="false" customHeight="true" outlineLevel="0" collapsed="false"/>
    <row r="1044062" customFormat="false" ht="12.75" hidden="false" customHeight="true" outlineLevel="0" collapsed="false"/>
    <row r="1044063" customFormat="false" ht="12.75" hidden="false" customHeight="true" outlineLevel="0" collapsed="false"/>
    <row r="1044064" customFormat="false" ht="12.75" hidden="false" customHeight="true" outlineLevel="0" collapsed="false"/>
    <row r="1044065" customFormat="false" ht="12.75" hidden="false" customHeight="true" outlineLevel="0" collapsed="false"/>
    <row r="1044066" customFormat="false" ht="12.75" hidden="false" customHeight="true" outlineLevel="0" collapsed="false"/>
    <row r="1044067" customFormat="false" ht="12.75" hidden="false" customHeight="true" outlineLevel="0" collapsed="false"/>
    <row r="1044068" customFormat="false" ht="12.75" hidden="false" customHeight="true" outlineLevel="0" collapsed="false"/>
    <row r="1044069" customFormat="false" ht="12.75" hidden="false" customHeight="true" outlineLevel="0" collapsed="false"/>
    <row r="1044070" customFormat="false" ht="12.75" hidden="false" customHeight="true" outlineLevel="0" collapsed="false"/>
    <row r="1044071" customFormat="false" ht="12.75" hidden="false" customHeight="true" outlineLevel="0" collapsed="false"/>
    <row r="1044072" customFormat="false" ht="12.75" hidden="false" customHeight="true" outlineLevel="0" collapsed="false"/>
    <row r="1044073" customFormat="false" ht="12.75" hidden="false" customHeight="true" outlineLevel="0" collapsed="false"/>
    <row r="1044074" customFormat="false" ht="12.75" hidden="false" customHeight="true" outlineLevel="0" collapsed="false"/>
    <row r="1044075" customFormat="false" ht="12.75" hidden="false" customHeight="true" outlineLevel="0" collapsed="false"/>
    <row r="1044076" customFormat="false" ht="12.75" hidden="false" customHeight="true" outlineLevel="0" collapsed="false"/>
    <row r="1044077" customFormat="false" ht="12.75" hidden="false" customHeight="true" outlineLevel="0" collapsed="false"/>
    <row r="1044078" customFormat="false" ht="12.75" hidden="false" customHeight="true" outlineLevel="0" collapsed="false"/>
    <row r="1044079" customFormat="false" ht="12.75" hidden="false" customHeight="true" outlineLevel="0" collapsed="false"/>
    <row r="1044080" customFormat="false" ht="12.75" hidden="false" customHeight="true" outlineLevel="0" collapsed="false"/>
    <row r="1044081" customFormat="false" ht="12.75" hidden="false" customHeight="true" outlineLevel="0" collapsed="false"/>
    <row r="1044082" customFormat="false" ht="12.75" hidden="false" customHeight="true" outlineLevel="0" collapsed="false"/>
    <row r="1044083" customFormat="false" ht="12.75" hidden="false" customHeight="true" outlineLevel="0" collapsed="false"/>
    <row r="1044084" customFormat="false" ht="12.75" hidden="false" customHeight="true" outlineLevel="0" collapsed="false"/>
    <row r="1044085" customFormat="false" ht="12.75" hidden="false" customHeight="true" outlineLevel="0" collapsed="false"/>
    <row r="1044086" customFormat="false" ht="12.75" hidden="false" customHeight="true" outlineLevel="0" collapsed="false"/>
    <row r="1044087" customFormat="false" ht="12.75" hidden="false" customHeight="true" outlineLevel="0" collapsed="false"/>
    <row r="1044088" customFormat="false" ht="12.75" hidden="false" customHeight="true" outlineLevel="0" collapsed="false"/>
    <row r="1044089" customFormat="false" ht="12.75" hidden="false" customHeight="true" outlineLevel="0" collapsed="false"/>
    <row r="1044090" customFormat="false" ht="12.75" hidden="false" customHeight="true" outlineLevel="0" collapsed="false"/>
    <row r="1044091" customFormat="false" ht="12.75" hidden="false" customHeight="true" outlineLevel="0" collapsed="false"/>
    <row r="1044092" customFormat="false" ht="12.75" hidden="false" customHeight="true" outlineLevel="0" collapsed="false"/>
    <row r="1044093" customFormat="false" ht="12.75" hidden="false" customHeight="true" outlineLevel="0" collapsed="false"/>
    <row r="1044094" customFormat="false" ht="12.75" hidden="false" customHeight="true" outlineLevel="0" collapsed="false"/>
    <row r="1044095" customFormat="false" ht="12.75" hidden="false" customHeight="true" outlineLevel="0" collapsed="false"/>
    <row r="1044096" customFormat="false" ht="12.75" hidden="false" customHeight="true" outlineLevel="0" collapsed="false"/>
    <row r="1044097" customFormat="false" ht="12.75" hidden="false" customHeight="true" outlineLevel="0" collapsed="false"/>
    <row r="1044098" customFormat="false" ht="12.75" hidden="false" customHeight="true" outlineLevel="0" collapsed="false"/>
    <row r="1044099" customFormat="false" ht="12.75" hidden="false" customHeight="true" outlineLevel="0" collapsed="false"/>
    <row r="1044100" customFormat="false" ht="12.75" hidden="false" customHeight="true" outlineLevel="0" collapsed="false"/>
    <row r="1044101" customFormat="false" ht="12.75" hidden="false" customHeight="true" outlineLevel="0" collapsed="false"/>
    <row r="1044102" customFormat="false" ht="12.75" hidden="false" customHeight="true" outlineLevel="0" collapsed="false"/>
    <row r="1044103" customFormat="false" ht="12.75" hidden="false" customHeight="true" outlineLevel="0" collapsed="false"/>
    <row r="1044104" customFormat="false" ht="12.75" hidden="false" customHeight="true" outlineLevel="0" collapsed="false"/>
    <row r="1044105" customFormat="false" ht="12.75" hidden="false" customHeight="true" outlineLevel="0" collapsed="false"/>
    <row r="1044106" customFormat="false" ht="12.75" hidden="false" customHeight="true" outlineLevel="0" collapsed="false"/>
    <row r="1044107" customFormat="false" ht="12.75" hidden="false" customHeight="true" outlineLevel="0" collapsed="false"/>
    <row r="1044108" customFormat="false" ht="12.75" hidden="false" customHeight="true" outlineLevel="0" collapsed="false"/>
    <row r="1044109" customFormat="false" ht="12.75" hidden="false" customHeight="true" outlineLevel="0" collapsed="false"/>
    <row r="1044110" customFormat="false" ht="12.75" hidden="false" customHeight="true" outlineLevel="0" collapsed="false"/>
    <row r="1044111" customFormat="false" ht="12.75" hidden="false" customHeight="true" outlineLevel="0" collapsed="false"/>
    <row r="1044112" customFormat="false" ht="12.75" hidden="false" customHeight="true" outlineLevel="0" collapsed="false"/>
    <row r="1044113" customFormat="false" ht="12.75" hidden="false" customHeight="true" outlineLevel="0" collapsed="false"/>
    <row r="1044114" customFormat="false" ht="12.75" hidden="false" customHeight="true" outlineLevel="0" collapsed="false"/>
    <row r="1044115" customFormat="false" ht="12.75" hidden="false" customHeight="true" outlineLevel="0" collapsed="false"/>
    <row r="1044116" customFormat="false" ht="12.75" hidden="false" customHeight="true" outlineLevel="0" collapsed="false"/>
    <row r="1044117" customFormat="false" ht="12.75" hidden="false" customHeight="true" outlineLevel="0" collapsed="false"/>
    <row r="1044118" customFormat="false" ht="12.75" hidden="false" customHeight="true" outlineLevel="0" collapsed="false"/>
    <row r="1044119" customFormat="false" ht="12.75" hidden="false" customHeight="true" outlineLevel="0" collapsed="false"/>
    <row r="1044120" customFormat="false" ht="12.75" hidden="false" customHeight="true" outlineLevel="0" collapsed="false"/>
    <row r="1044121" customFormat="false" ht="12.75" hidden="false" customHeight="true" outlineLevel="0" collapsed="false"/>
    <row r="1044122" customFormat="false" ht="12.75" hidden="false" customHeight="true" outlineLevel="0" collapsed="false"/>
    <row r="1044123" customFormat="false" ht="12.75" hidden="false" customHeight="true" outlineLevel="0" collapsed="false"/>
    <row r="1044124" customFormat="false" ht="12.75" hidden="false" customHeight="true" outlineLevel="0" collapsed="false"/>
    <row r="1044125" customFormat="false" ht="12.75" hidden="false" customHeight="true" outlineLevel="0" collapsed="false"/>
    <row r="1044126" customFormat="false" ht="12.75" hidden="false" customHeight="true" outlineLevel="0" collapsed="false"/>
    <row r="1044127" customFormat="false" ht="12.75" hidden="false" customHeight="true" outlineLevel="0" collapsed="false"/>
    <row r="1044128" customFormat="false" ht="12.75" hidden="false" customHeight="true" outlineLevel="0" collapsed="false"/>
    <row r="1044129" customFormat="false" ht="12.75" hidden="false" customHeight="true" outlineLevel="0" collapsed="false"/>
    <row r="1044130" customFormat="false" ht="12.75" hidden="false" customHeight="true" outlineLevel="0" collapsed="false"/>
    <row r="1044131" customFormat="false" ht="12.75" hidden="false" customHeight="true" outlineLevel="0" collapsed="false"/>
    <row r="1044132" customFormat="false" ht="12.75" hidden="false" customHeight="true" outlineLevel="0" collapsed="false"/>
    <row r="1044133" customFormat="false" ht="12.75" hidden="false" customHeight="true" outlineLevel="0" collapsed="false"/>
    <row r="1044134" customFormat="false" ht="12.75" hidden="false" customHeight="true" outlineLevel="0" collapsed="false"/>
    <row r="1044135" customFormat="false" ht="12.75" hidden="false" customHeight="true" outlineLevel="0" collapsed="false"/>
    <row r="1044136" customFormat="false" ht="12.75" hidden="false" customHeight="true" outlineLevel="0" collapsed="false"/>
    <row r="1044137" customFormat="false" ht="12.75" hidden="false" customHeight="true" outlineLevel="0" collapsed="false"/>
    <row r="1044138" customFormat="false" ht="12.75" hidden="false" customHeight="true" outlineLevel="0" collapsed="false"/>
    <row r="1044139" customFormat="false" ht="12.75" hidden="false" customHeight="true" outlineLevel="0" collapsed="false"/>
    <row r="1044140" customFormat="false" ht="12.75" hidden="false" customHeight="true" outlineLevel="0" collapsed="false"/>
    <row r="1044141" customFormat="false" ht="12.75" hidden="false" customHeight="true" outlineLevel="0" collapsed="false"/>
    <row r="1044142" customFormat="false" ht="12.75" hidden="false" customHeight="true" outlineLevel="0" collapsed="false"/>
    <row r="1044143" customFormat="false" ht="12.75" hidden="false" customHeight="true" outlineLevel="0" collapsed="false"/>
    <row r="1044144" customFormat="false" ht="12.75" hidden="false" customHeight="true" outlineLevel="0" collapsed="false"/>
    <row r="1044145" customFormat="false" ht="12.75" hidden="false" customHeight="true" outlineLevel="0" collapsed="false"/>
    <row r="1044146" customFormat="false" ht="12.75" hidden="false" customHeight="true" outlineLevel="0" collapsed="false"/>
    <row r="1044147" customFormat="false" ht="12.75" hidden="false" customHeight="true" outlineLevel="0" collapsed="false"/>
    <row r="1044148" customFormat="false" ht="12.75" hidden="false" customHeight="true" outlineLevel="0" collapsed="false"/>
    <row r="1044149" customFormat="false" ht="12.75" hidden="false" customHeight="true" outlineLevel="0" collapsed="false"/>
    <row r="1044150" customFormat="false" ht="12.75" hidden="false" customHeight="true" outlineLevel="0" collapsed="false"/>
    <row r="1044151" customFormat="false" ht="12.75" hidden="false" customHeight="true" outlineLevel="0" collapsed="false"/>
    <row r="1044152" customFormat="false" ht="12.75" hidden="false" customHeight="true" outlineLevel="0" collapsed="false"/>
    <row r="1044153" customFormat="false" ht="12.75" hidden="false" customHeight="true" outlineLevel="0" collapsed="false"/>
    <row r="1044154" customFormat="false" ht="12.75" hidden="false" customHeight="true" outlineLevel="0" collapsed="false"/>
    <row r="1044155" customFormat="false" ht="12.75" hidden="false" customHeight="true" outlineLevel="0" collapsed="false"/>
    <row r="1044156" customFormat="false" ht="12.75" hidden="false" customHeight="true" outlineLevel="0" collapsed="false"/>
    <row r="1044157" customFormat="false" ht="12.75" hidden="false" customHeight="true" outlineLevel="0" collapsed="false"/>
    <row r="1044158" customFormat="false" ht="12.75" hidden="false" customHeight="true" outlineLevel="0" collapsed="false"/>
    <row r="1044159" customFormat="false" ht="12.75" hidden="false" customHeight="true" outlineLevel="0" collapsed="false"/>
    <row r="1044160" customFormat="false" ht="12.75" hidden="false" customHeight="true" outlineLevel="0" collapsed="false"/>
    <row r="1044161" customFormat="false" ht="12.75" hidden="false" customHeight="true" outlineLevel="0" collapsed="false"/>
    <row r="1044162" customFormat="false" ht="12.75" hidden="false" customHeight="true" outlineLevel="0" collapsed="false"/>
    <row r="1044163" customFormat="false" ht="12.75" hidden="false" customHeight="true" outlineLevel="0" collapsed="false"/>
    <row r="1044164" customFormat="false" ht="12.75" hidden="false" customHeight="true" outlineLevel="0" collapsed="false"/>
    <row r="1044165" customFormat="false" ht="12.75" hidden="false" customHeight="true" outlineLevel="0" collapsed="false"/>
    <row r="1044166" customFormat="false" ht="12.75" hidden="false" customHeight="true" outlineLevel="0" collapsed="false"/>
    <row r="1044167" customFormat="false" ht="12.75" hidden="false" customHeight="true" outlineLevel="0" collapsed="false"/>
    <row r="1044168" customFormat="false" ht="12.75" hidden="false" customHeight="true" outlineLevel="0" collapsed="false"/>
    <row r="1044169" customFormat="false" ht="12.75" hidden="false" customHeight="true" outlineLevel="0" collapsed="false"/>
    <row r="1044170" customFormat="false" ht="12.75" hidden="false" customHeight="true" outlineLevel="0" collapsed="false"/>
    <row r="1044171" customFormat="false" ht="12.75" hidden="false" customHeight="true" outlineLevel="0" collapsed="false"/>
    <row r="1044172" customFormat="false" ht="12.75" hidden="false" customHeight="true" outlineLevel="0" collapsed="false"/>
    <row r="1044173" customFormat="false" ht="12.75" hidden="false" customHeight="true" outlineLevel="0" collapsed="false"/>
    <row r="1044174" customFormat="false" ht="12.75" hidden="false" customHeight="true" outlineLevel="0" collapsed="false"/>
    <row r="1044175" customFormat="false" ht="12.75" hidden="false" customHeight="true" outlineLevel="0" collapsed="false"/>
    <row r="1044176" customFormat="false" ht="12.75" hidden="false" customHeight="true" outlineLevel="0" collapsed="false"/>
    <row r="1044177" customFormat="false" ht="12.75" hidden="false" customHeight="true" outlineLevel="0" collapsed="false"/>
    <row r="1044178" customFormat="false" ht="12.75" hidden="false" customHeight="true" outlineLevel="0" collapsed="false"/>
    <row r="1044179" customFormat="false" ht="12.75" hidden="false" customHeight="true" outlineLevel="0" collapsed="false"/>
    <row r="1044180" customFormat="false" ht="12.75" hidden="false" customHeight="true" outlineLevel="0" collapsed="false"/>
    <row r="1044181" customFormat="false" ht="12.75" hidden="false" customHeight="true" outlineLevel="0" collapsed="false"/>
    <row r="1044182" customFormat="false" ht="12.75" hidden="false" customHeight="true" outlineLevel="0" collapsed="false"/>
    <row r="1044183" customFormat="false" ht="12.75" hidden="false" customHeight="true" outlineLevel="0" collapsed="false"/>
    <row r="1044184" customFormat="false" ht="12.75" hidden="false" customHeight="true" outlineLevel="0" collapsed="false"/>
    <row r="1044185" customFormat="false" ht="12.75" hidden="false" customHeight="true" outlineLevel="0" collapsed="false"/>
    <row r="1044186" customFormat="false" ht="12.75" hidden="false" customHeight="true" outlineLevel="0" collapsed="false"/>
    <row r="1044187" customFormat="false" ht="12.75" hidden="false" customHeight="true" outlineLevel="0" collapsed="false"/>
    <row r="1044188" customFormat="false" ht="12.75" hidden="false" customHeight="true" outlineLevel="0" collapsed="false"/>
    <row r="1044189" customFormat="false" ht="12.75" hidden="false" customHeight="true" outlineLevel="0" collapsed="false"/>
    <row r="1044190" customFormat="false" ht="12.75" hidden="false" customHeight="true" outlineLevel="0" collapsed="false"/>
    <row r="1044191" customFormat="false" ht="12.75" hidden="false" customHeight="true" outlineLevel="0" collapsed="false"/>
    <row r="1044192" customFormat="false" ht="12.75" hidden="false" customHeight="true" outlineLevel="0" collapsed="false"/>
    <row r="1044193" customFormat="false" ht="12.75" hidden="false" customHeight="true" outlineLevel="0" collapsed="false"/>
    <row r="1044194" customFormat="false" ht="12.75" hidden="false" customHeight="true" outlineLevel="0" collapsed="false"/>
    <row r="1044195" customFormat="false" ht="12.75" hidden="false" customHeight="true" outlineLevel="0" collapsed="false"/>
    <row r="1044196" customFormat="false" ht="12.75" hidden="false" customHeight="true" outlineLevel="0" collapsed="false"/>
    <row r="1044197" customFormat="false" ht="12.75" hidden="false" customHeight="true" outlineLevel="0" collapsed="false"/>
    <row r="1044198" customFormat="false" ht="12.75" hidden="false" customHeight="true" outlineLevel="0" collapsed="false"/>
    <row r="1044199" customFormat="false" ht="12.75" hidden="false" customHeight="true" outlineLevel="0" collapsed="false"/>
    <row r="1044200" customFormat="false" ht="12.75" hidden="false" customHeight="true" outlineLevel="0" collapsed="false"/>
    <row r="1044201" customFormat="false" ht="12.75" hidden="false" customHeight="true" outlineLevel="0" collapsed="false"/>
    <row r="1044202" customFormat="false" ht="12.75" hidden="false" customHeight="true" outlineLevel="0" collapsed="false"/>
    <row r="1044203" customFormat="false" ht="12.75" hidden="false" customHeight="true" outlineLevel="0" collapsed="false"/>
    <row r="1044204" customFormat="false" ht="12.75" hidden="false" customHeight="true" outlineLevel="0" collapsed="false"/>
    <row r="1044205" customFormat="false" ht="12.75" hidden="false" customHeight="true" outlineLevel="0" collapsed="false"/>
    <row r="1044206" customFormat="false" ht="12.75" hidden="false" customHeight="true" outlineLevel="0" collapsed="false"/>
    <row r="1044207" customFormat="false" ht="12.75" hidden="false" customHeight="true" outlineLevel="0" collapsed="false"/>
    <row r="1044208" customFormat="false" ht="12.75" hidden="false" customHeight="true" outlineLevel="0" collapsed="false"/>
    <row r="1044209" customFormat="false" ht="12.75" hidden="false" customHeight="true" outlineLevel="0" collapsed="false"/>
    <row r="1044210" customFormat="false" ht="12.75" hidden="false" customHeight="true" outlineLevel="0" collapsed="false"/>
    <row r="1044211" customFormat="false" ht="12.75" hidden="false" customHeight="true" outlineLevel="0" collapsed="false"/>
    <row r="1044212" customFormat="false" ht="12.75" hidden="false" customHeight="true" outlineLevel="0" collapsed="false"/>
    <row r="1044213" customFormat="false" ht="12.75" hidden="false" customHeight="true" outlineLevel="0" collapsed="false"/>
    <row r="1044214" customFormat="false" ht="12.75" hidden="false" customHeight="true" outlineLevel="0" collapsed="false"/>
    <row r="1044215" customFormat="false" ht="12.75" hidden="false" customHeight="true" outlineLevel="0" collapsed="false"/>
    <row r="1044216" customFormat="false" ht="12.75" hidden="false" customHeight="true" outlineLevel="0" collapsed="false"/>
    <row r="1044217" customFormat="false" ht="12.75" hidden="false" customHeight="true" outlineLevel="0" collapsed="false"/>
    <row r="1044218" customFormat="false" ht="12.75" hidden="false" customHeight="true" outlineLevel="0" collapsed="false"/>
    <row r="1044219" customFormat="false" ht="12.75" hidden="false" customHeight="true" outlineLevel="0" collapsed="false"/>
    <row r="1044220" customFormat="false" ht="12.75" hidden="false" customHeight="true" outlineLevel="0" collapsed="false"/>
    <row r="1044221" customFormat="false" ht="12.75" hidden="false" customHeight="true" outlineLevel="0" collapsed="false"/>
    <row r="1044222" customFormat="false" ht="12.75" hidden="false" customHeight="true" outlineLevel="0" collapsed="false"/>
    <row r="1044223" customFormat="false" ht="12.75" hidden="false" customHeight="true" outlineLevel="0" collapsed="false"/>
    <row r="1044224" customFormat="false" ht="12.75" hidden="false" customHeight="true" outlineLevel="0" collapsed="false"/>
    <row r="1044225" customFormat="false" ht="12.75" hidden="false" customHeight="true" outlineLevel="0" collapsed="false"/>
    <row r="1044226" customFormat="false" ht="12.75" hidden="false" customHeight="true" outlineLevel="0" collapsed="false"/>
    <row r="1044227" customFormat="false" ht="12.75" hidden="false" customHeight="true" outlineLevel="0" collapsed="false"/>
    <row r="1044228" customFormat="false" ht="12.75" hidden="false" customHeight="true" outlineLevel="0" collapsed="false"/>
    <row r="1044229" customFormat="false" ht="12.75" hidden="false" customHeight="true" outlineLevel="0" collapsed="false"/>
    <row r="1044230" customFormat="false" ht="12.75" hidden="false" customHeight="true" outlineLevel="0" collapsed="false"/>
    <row r="1044231" customFormat="false" ht="12.75" hidden="false" customHeight="true" outlineLevel="0" collapsed="false"/>
    <row r="1044232" customFormat="false" ht="12.75" hidden="false" customHeight="true" outlineLevel="0" collapsed="false"/>
    <row r="1044233" customFormat="false" ht="12.75" hidden="false" customHeight="true" outlineLevel="0" collapsed="false"/>
    <row r="1044234" customFormat="false" ht="12.75" hidden="false" customHeight="true" outlineLevel="0" collapsed="false"/>
    <row r="1044235" customFormat="false" ht="12.75" hidden="false" customHeight="true" outlineLevel="0" collapsed="false"/>
    <row r="1044236" customFormat="false" ht="12.75" hidden="false" customHeight="true" outlineLevel="0" collapsed="false"/>
    <row r="1044237" customFormat="false" ht="12.75" hidden="false" customHeight="true" outlineLevel="0" collapsed="false"/>
    <row r="1044238" customFormat="false" ht="12.75" hidden="false" customHeight="true" outlineLevel="0" collapsed="false"/>
    <row r="1044239" customFormat="false" ht="12.75" hidden="false" customHeight="true" outlineLevel="0" collapsed="false"/>
    <row r="1044240" customFormat="false" ht="12.75" hidden="false" customHeight="true" outlineLevel="0" collapsed="false"/>
    <row r="1044241" customFormat="false" ht="12.75" hidden="false" customHeight="true" outlineLevel="0" collapsed="false"/>
    <row r="1044242" customFormat="false" ht="12.75" hidden="false" customHeight="true" outlineLevel="0" collapsed="false"/>
    <row r="1044243" customFormat="false" ht="12.75" hidden="false" customHeight="true" outlineLevel="0" collapsed="false"/>
    <row r="1044244" customFormat="false" ht="12.75" hidden="false" customHeight="true" outlineLevel="0" collapsed="false"/>
    <row r="1044245" customFormat="false" ht="12.75" hidden="false" customHeight="true" outlineLevel="0" collapsed="false"/>
    <row r="1044246" customFormat="false" ht="12.75" hidden="false" customHeight="true" outlineLevel="0" collapsed="false"/>
    <row r="1044247" customFormat="false" ht="12.75" hidden="false" customHeight="true" outlineLevel="0" collapsed="false"/>
    <row r="1044248" customFormat="false" ht="12.75" hidden="false" customHeight="true" outlineLevel="0" collapsed="false"/>
    <row r="1044249" customFormat="false" ht="12.75" hidden="false" customHeight="true" outlineLevel="0" collapsed="false"/>
    <row r="1044250" customFormat="false" ht="12.75" hidden="false" customHeight="true" outlineLevel="0" collapsed="false"/>
    <row r="1044251" customFormat="false" ht="12.75" hidden="false" customHeight="true" outlineLevel="0" collapsed="false"/>
    <row r="1044252" customFormat="false" ht="12.75" hidden="false" customHeight="true" outlineLevel="0" collapsed="false"/>
    <row r="1044253" customFormat="false" ht="12.75" hidden="false" customHeight="true" outlineLevel="0" collapsed="false"/>
    <row r="1044254" customFormat="false" ht="12.75" hidden="false" customHeight="true" outlineLevel="0" collapsed="false"/>
    <row r="1044255" customFormat="false" ht="12.75" hidden="false" customHeight="true" outlineLevel="0" collapsed="false"/>
    <row r="1044256" customFormat="false" ht="12.75" hidden="false" customHeight="true" outlineLevel="0" collapsed="false"/>
    <row r="1044257" customFormat="false" ht="12.75" hidden="false" customHeight="true" outlineLevel="0" collapsed="false"/>
    <row r="1044258" customFormat="false" ht="12.75" hidden="false" customHeight="true" outlineLevel="0" collapsed="false"/>
    <row r="1044259" customFormat="false" ht="12.75" hidden="false" customHeight="true" outlineLevel="0" collapsed="false"/>
    <row r="1044260" customFormat="false" ht="12.75" hidden="false" customHeight="true" outlineLevel="0" collapsed="false"/>
    <row r="1044261" customFormat="false" ht="12.75" hidden="false" customHeight="true" outlineLevel="0" collapsed="false"/>
    <row r="1044262" customFormat="false" ht="12.75" hidden="false" customHeight="true" outlineLevel="0" collapsed="false"/>
    <row r="1044263" customFormat="false" ht="12.75" hidden="false" customHeight="true" outlineLevel="0" collapsed="false"/>
    <row r="1044264" customFormat="false" ht="12.75" hidden="false" customHeight="true" outlineLevel="0" collapsed="false"/>
    <row r="1044265" customFormat="false" ht="12.75" hidden="false" customHeight="true" outlineLevel="0" collapsed="false"/>
    <row r="1044266" customFormat="false" ht="12.75" hidden="false" customHeight="true" outlineLevel="0" collapsed="false"/>
    <row r="1044267" customFormat="false" ht="12.75" hidden="false" customHeight="true" outlineLevel="0" collapsed="false"/>
    <row r="1044268" customFormat="false" ht="12.75" hidden="false" customHeight="true" outlineLevel="0" collapsed="false"/>
    <row r="1044269" customFormat="false" ht="12.75" hidden="false" customHeight="true" outlineLevel="0" collapsed="false"/>
    <row r="1044270" customFormat="false" ht="12.75" hidden="false" customHeight="true" outlineLevel="0" collapsed="false"/>
    <row r="1044271" customFormat="false" ht="12.75" hidden="false" customHeight="true" outlineLevel="0" collapsed="false"/>
    <row r="1044272" customFormat="false" ht="12.75" hidden="false" customHeight="true" outlineLevel="0" collapsed="false"/>
    <row r="1044273" customFormat="false" ht="12.75" hidden="false" customHeight="true" outlineLevel="0" collapsed="false"/>
    <row r="1044274" customFormat="false" ht="12.75" hidden="false" customHeight="true" outlineLevel="0" collapsed="false"/>
    <row r="1044275" customFormat="false" ht="12.75" hidden="false" customHeight="true" outlineLevel="0" collapsed="false"/>
    <row r="1044276" customFormat="false" ht="12.75" hidden="false" customHeight="true" outlineLevel="0" collapsed="false"/>
    <row r="1044277" customFormat="false" ht="12.75" hidden="false" customHeight="true" outlineLevel="0" collapsed="false"/>
    <row r="1044278" customFormat="false" ht="12.75" hidden="false" customHeight="true" outlineLevel="0" collapsed="false"/>
    <row r="1044279" customFormat="false" ht="12.75" hidden="false" customHeight="true" outlineLevel="0" collapsed="false"/>
    <row r="1044280" customFormat="false" ht="12.75" hidden="false" customHeight="true" outlineLevel="0" collapsed="false"/>
    <row r="1044281" customFormat="false" ht="12.75" hidden="false" customHeight="true" outlineLevel="0" collapsed="false"/>
    <row r="1044282" customFormat="false" ht="12.75" hidden="false" customHeight="true" outlineLevel="0" collapsed="false"/>
    <row r="1044283" customFormat="false" ht="12.75" hidden="false" customHeight="true" outlineLevel="0" collapsed="false"/>
    <row r="1044284" customFormat="false" ht="12.75" hidden="false" customHeight="true" outlineLevel="0" collapsed="false"/>
    <row r="1044285" customFormat="false" ht="12.75" hidden="false" customHeight="true" outlineLevel="0" collapsed="false"/>
    <row r="1044286" customFormat="false" ht="12.75" hidden="false" customHeight="true" outlineLevel="0" collapsed="false"/>
    <row r="1044287" customFormat="false" ht="12.75" hidden="false" customHeight="true" outlineLevel="0" collapsed="false"/>
    <row r="1044288" customFormat="false" ht="12.75" hidden="false" customHeight="true" outlineLevel="0" collapsed="false"/>
    <row r="1044289" customFormat="false" ht="12.75" hidden="false" customHeight="true" outlineLevel="0" collapsed="false"/>
    <row r="1044290" customFormat="false" ht="12.75" hidden="false" customHeight="true" outlineLevel="0" collapsed="false"/>
    <row r="1044291" customFormat="false" ht="12.75" hidden="false" customHeight="true" outlineLevel="0" collapsed="false"/>
    <row r="1044292" customFormat="false" ht="12.75" hidden="false" customHeight="true" outlineLevel="0" collapsed="false"/>
    <row r="1044293" customFormat="false" ht="12.75" hidden="false" customHeight="true" outlineLevel="0" collapsed="false"/>
    <row r="1044294" customFormat="false" ht="12.75" hidden="false" customHeight="true" outlineLevel="0" collapsed="false"/>
    <row r="1044295" customFormat="false" ht="12.75" hidden="false" customHeight="true" outlineLevel="0" collapsed="false"/>
    <row r="1044296" customFormat="false" ht="12.75" hidden="false" customHeight="true" outlineLevel="0" collapsed="false"/>
    <row r="1044297" customFormat="false" ht="12.75" hidden="false" customHeight="true" outlineLevel="0" collapsed="false"/>
    <row r="1044298" customFormat="false" ht="12.75" hidden="false" customHeight="true" outlineLevel="0" collapsed="false"/>
    <row r="1044299" customFormat="false" ht="12.75" hidden="false" customHeight="true" outlineLevel="0" collapsed="false"/>
    <row r="1044300" customFormat="false" ht="12.75" hidden="false" customHeight="true" outlineLevel="0" collapsed="false"/>
    <row r="1044301" customFormat="false" ht="12.75" hidden="false" customHeight="true" outlineLevel="0" collapsed="false"/>
    <row r="1044302" customFormat="false" ht="12.75" hidden="false" customHeight="true" outlineLevel="0" collapsed="false"/>
    <row r="1044303" customFormat="false" ht="12.75" hidden="false" customHeight="true" outlineLevel="0" collapsed="false"/>
    <row r="1044304" customFormat="false" ht="12.75" hidden="false" customHeight="true" outlineLevel="0" collapsed="false"/>
    <row r="1044305" customFormat="false" ht="12.75" hidden="false" customHeight="true" outlineLevel="0" collapsed="false"/>
    <row r="1044306" customFormat="false" ht="12.75" hidden="false" customHeight="true" outlineLevel="0" collapsed="false"/>
    <row r="1044307" customFormat="false" ht="12.75" hidden="false" customHeight="true" outlineLevel="0" collapsed="false"/>
    <row r="1044308" customFormat="false" ht="12.75" hidden="false" customHeight="true" outlineLevel="0" collapsed="false"/>
    <row r="1044309" customFormat="false" ht="12.75" hidden="false" customHeight="true" outlineLevel="0" collapsed="false"/>
    <row r="1044310" customFormat="false" ht="12.75" hidden="false" customHeight="true" outlineLevel="0" collapsed="false"/>
    <row r="1044311" customFormat="false" ht="12.75" hidden="false" customHeight="true" outlineLevel="0" collapsed="false"/>
    <row r="1044312" customFormat="false" ht="12.75" hidden="false" customHeight="true" outlineLevel="0" collapsed="false"/>
    <row r="1044313" customFormat="false" ht="12.75" hidden="false" customHeight="true" outlineLevel="0" collapsed="false"/>
    <row r="1044314" customFormat="false" ht="12.75" hidden="false" customHeight="true" outlineLevel="0" collapsed="false"/>
    <row r="1044315" customFormat="false" ht="12.75" hidden="false" customHeight="true" outlineLevel="0" collapsed="false"/>
    <row r="1044316" customFormat="false" ht="12.75" hidden="false" customHeight="true" outlineLevel="0" collapsed="false"/>
    <row r="1044317" customFormat="false" ht="12.75" hidden="false" customHeight="true" outlineLevel="0" collapsed="false"/>
    <row r="1044318" customFormat="false" ht="12.75" hidden="false" customHeight="true" outlineLevel="0" collapsed="false"/>
    <row r="1044319" customFormat="false" ht="12.75" hidden="false" customHeight="true" outlineLevel="0" collapsed="false"/>
    <row r="1044320" customFormat="false" ht="12.75" hidden="false" customHeight="true" outlineLevel="0" collapsed="false"/>
    <row r="1044321" customFormat="false" ht="12.75" hidden="false" customHeight="true" outlineLevel="0" collapsed="false"/>
    <row r="1044322" customFormat="false" ht="12.75" hidden="false" customHeight="true" outlineLevel="0" collapsed="false"/>
    <row r="1044323" customFormat="false" ht="12.75" hidden="false" customHeight="true" outlineLevel="0" collapsed="false"/>
    <row r="1044324" customFormat="false" ht="12.75" hidden="false" customHeight="true" outlineLevel="0" collapsed="false"/>
    <row r="1044325" customFormat="false" ht="12.75" hidden="false" customHeight="true" outlineLevel="0" collapsed="false"/>
    <row r="1044326" customFormat="false" ht="12.75" hidden="false" customHeight="true" outlineLevel="0" collapsed="false"/>
    <row r="1044327" customFormat="false" ht="12.75" hidden="false" customHeight="true" outlineLevel="0" collapsed="false"/>
    <row r="1044328" customFormat="false" ht="12.75" hidden="false" customHeight="true" outlineLevel="0" collapsed="false"/>
    <row r="1044329" customFormat="false" ht="12.75" hidden="false" customHeight="true" outlineLevel="0" collapsed="false"/>
    <row r="1044330" customFormat="false" ht="12.75" hidden="false" customHeight="true" outlineLevel="0" collapsed="false"/>
    <row r="1044331" customFormat="false" ht="12.75" hidden="false" customHeight="true" outlineLevel="0" collapsed="false"/>
    <row r="1044332" customFormat="false" ht="12.75" hidden="false" customHeight="true" outlineLevel="0" collapsed="false"/>
    <row r="1044333" customFormat="false" ht="12.75" hidden="false" customHeight="true" outlineLevel="0" collapsed="false"/>
    <row r="1044334" customFormat="false" ht="12.75" hidden="false" customHeight="true" outlineLevel="0" collapsed="false"/>
    <row r="1044335" customFormat="false" ht="12.75" hidden="false" customHeight="true" outlineLevel="0" collapsed="false"/>
    <row r="1044336" customFormat="false" ht="12.75" hidden="false" customHeight="true" outlineLevel="0" collapsed="false"/>
    <row r="1044337" customFormat="false" ht="12.75" hidden="false" customHeight="true" outlineLevel="0" collapsed="false"/>
    <row r="1044338" customFormat="false" ht="12.75" hidden="false" customHeight="true" outlineLevel="0" collapsed="false"/>
    <row r="1044339" customFormat="false" ht="12.75" hidden="false" customHeight="true" outlineLevel="0" collapsed="false"/>
    <row r="1044340" customFormat="false" ht="12.75" hidden="false" customHeight="true" outlineLevel="0" collapsed="false"/>
    <row r="1044341" customFormat="false" ht="12.75" hidden="false" customHeight="true" outlineLevel="0" collapsed="false"/>
    <row r="1044342" customFormat="false" ht="12.75" hidden="false" customHeight="true" outlineLevel="0" collapsed="false"/>
    <row r="1044343" customFormat="false" ht="12.75" hidden="false" customHeight="true" outlineLevel="0" collapsed="false"/>
    <row r="1044344" customFormat="false" ht="12.75" hidden="false" customHeight="true" outlineLevel="0" collapsed="false"/>
    <row r="1044345" customFormat="false" ht="12.75" hidden="false" customHeight="true" outlineLevel="0" collapsed="false"/>
    <row r="1044346" customFormat="false" ht="12.75" hidden="false" customHeight="true" outlineLevel="0" collapsed="false"/>
    <row r="1044347" customFormat="false" ht="12.75" hidden="false" customHeight="true" outlineLevel="0" collapsed="false"/>
    <row r="1044348" customFormat="false" ht="12.75" hidden="false" customHeight="true" outlineLevel="0" collapsed="false"/>
    <row r="1044349" customFormat="false" ht="12.75" hidden="false" customHeight="true" outlineLevel="0" collapsed="false"/>
    <row r="1044350" customFormat="false" ht="12.75" hidden="false" customHeight="true" outlineLevel="0" collapsed="false"/>
    <row r="1044351" customFormat="false" ht="12.75" hidden="false" customHeight="true" outlineLevel="0" collapsed="false"/>
    <row r="1044352" customFormat="false" ht="12.75" hidden="false" customHeight="true" outlineLevel="0" collapsed="false"/>
    <row r="1044353" customFormat="false" ht="12.75" hidden="false" customHeight="true" outlineLevel="0" collapsed="false"/>
    <row r="1044354" customFormat="false" ht="12.75" hidden="false" customHeight="true" outlineLevel="0" collapsed="false"/>
    <row r="1044355" customFormat="false" ht="12.75" hidden="false" customHeight="true" outlineLevel="0" collapsed="false"/>
    <row r="1044356" customFormat="false" ht="12.75" hidden="false" customHeight="true" outlineLevel="0" collapsed="false"/>
    <row r="1044357" customFormat="false" ht="12.75" hidden="false" customHeight="true" outlineLevel="0" collapsed="false"/>
    <row r="1044358" customFormat="false" ht="12.75" hidden="false" customHeight="true" outlineLevel="0" collapsed="false"/>
    <row r="1044359" customFormat="false" ht="12.75" hidden="false" customHeight="true" outlineLevel="0" collapsed="false"/>
    <row r="1044360" customFormat="false" ht="12.75" hidden="false" customHeight="true" outlineLevel="0" collapsed="false"/>
    <row r="1044361" customFormat="false" ht="12.75" hidden="false" customHeight="true" outlineLevel="0" collapsed="false"/>
    <row r="1044362" customFormat="false" ht="12.75" hidden="false" customHeight="true" outlineLevel="0" collapsed="false"/>
    <row r="1044363" customFormat="false" ht="12.75" hidden="false" customHeight="true" outlineLevel="0" collapsed="false"/>
    <row r="1044364" customFormat="false" ht="12.75" hidden="false" customHeight="true" outlineLevel="0" collapsed="false"/>
    <row r="1044365" customFormat="false" ht="12.75" hidden="false" customHeight="true" outlineLevel="0" collapsed="false"/>
    <row r="1044366" customFormat="false" ht="12.75" hidden="false" customHeight="true" outlineLevel="0" collapsed="false"/>
    <row r="1044367" customFormat="false" ht="12.75" hidden="false" customHeight="true" outlineLevel="0" collapsed="false"/>
    <row r="1044368" customFormat="false" ht="12.75" hidden="false" customHeight="true" outlineLevel="0" collapsed="false"/>
    <row r="1044369" customFormat="false" ht="12.75" hidden="false" customHeight="true" outlineLevel="0" collapsed="false"/>
    <row r="1044370" customFormat="false" ht="12.75" hidden="false" customHeight="true" outlineLevel="0" collapsed="false"/>
    <row r="1044371" customFormat="false" ht="12.75" hidden="false" customHeight="true" outlineLevel="0" collapsed="false"/>
    <row r="1044372" customFormat="false" ht="12.75" hidden="false" customHeight="true" outlineLevel="0" collapsed="false"/>
    <row r="1044373" customFormat="false" ht="12.75" hidden="false" customHeight="true" outlineLevel="0" collapsed="false"/>
    <row r="1044374" customFormat="false" ht="12.75" hidden="false" customHeight="true" outlineLevel="0" collapsed="false"/>
    <row r="1044375" customFormat="false" ht="12.75" hidden="false" customHeight="true" outlineLevel="0" collapsed="false"/>
    <row r="1044376" customFormat="false" ht="12.75" hidden="false" customHeight="true" outlineLevel="0" collapsed="false"/>
    <row r="1044377" customFormat="false" ht="12.75" hidden="false" customHeight="true" outlineLevel="0" collapsed="false"/>
    <row r="1044378" customFormat="false" ht="12.75" hidden="false" customHeight="true" outlineLevel="0" collapsed="false"/>
    <row r="1044379" customFormat="false" ht="12.75" hidden="false" customHeight="true" outlineLevel="0" collapsed="false"/>
    <row r="1044380" customFormat="false" ht="12.75" hidden="false" customHeight="true" outlineLevel="0" collapsed="false"/>
    <row r="1044381" customFormat="false" ht="12.75" hidden="false" customHeight="true" outlineLevel="0" collapsed="false"/>
    <row r="1044382" customFormat="false" ht="12.75" hidden="false" customHeight="true" outlineLevel="0" collapsed="false"/>
    <row r="1044383" customFormat="false" ht="12.75" hidden="false" customHeight="true" outlineLevel="0" collapsed="false"/>
    <row r="1044384" customFormat="false" ht="12.75" hidden="false" customHeight="true" outlineLevel="0" collapsed="false"/>
    <row r="1044385" customFormat="false" ht="12.75" hidden="false" customHeight="true" outlineLevel="0" collapsed="false"/>
    <row r="1044386" customFormat="false" ht="12.75" hidden="false" customHeight="true" outlineLevel="0" collapsed="false"/>
    <row r="1044387" customFormat="false" ht="12.75" hidden="false" customHeight="true" outlineLevel="0" collapsed="false"/>
    <row r="1044388" customFormat="false" ht="12.75" hidden="false" customHeight="true" outlineLevel="0" collapsed="false"/>
    <row r="1044389" customFormat="false" ht="12.75" hidden="false" customHeight="true" outlineLevel="0" collapsed="false"/>
    <row r="1044390" customFormat="false" ht="12.75" hidden="false" customHeight="true" outlineLevel="0" collapsed="false"/>
    <row r="1044391" customFormat="false" ht="12.75" hidden="false" customHeight="true" outlineLevel="0" collapsed="false"/>
    <row r="1044392" customFormat="false" ht="12.75" hidden="false" customHeight="true" outlineLevel="0" collapsed="false"/>
    <row r="1044393" customFormat="false" ht="12.75" hidden="false" customHeight="true" outlineLevel="0" collapsed="false"/>
    <row r="1044394" customFormat="false" ht="12.75" hidden="false" customHeight="true" outlineLevel="0" collapsed="false"/>
    <row r="1044395" customFormat="false" ht="12.75" hidden="false" customHeight="true" outlineLevel="0" collapsed="false"/>
    <row r="1044396" customFormat="false" ht="12.75" hidden="false" customHeight="true" outlineLevel="0" collapsed="false"/>
    <row r="1044397" customFormat="false" ht="12.75" hidden="false" customHeight="true" outlineLevel="0" collapsed="false"/>
    <row r="1044398" customFormat="false" ht="12.75" hidden="false" customHeight="true" outlineLevel="0" collapsed="false"/>
    <row r="1044399" customFormat="false" ht="12.75" hidden="false" customHeight="true" outlineLevel="0" collapsed="false"/>
    <row r="1044400" customFormat="false" ht="12.75" hidden="false" customHeight="true" outlineLevel="0" collapsed="false"/>
    <row r="1044401" customFormat="false" ht="12.75" hidden="false" customHeight="true" outlineLevel="0" collapsed="false"/>
    <row r="1044402" customFormat="false" ht="12.75" hidden="false" customHeight="true" outlineLevel="0" collapsed="false"/>
    <row r="1044403" customFormat="false" ht="12.75" hidden="false" customHeight="true" outlineLevel="0" collapsed="false"/>
    <row r="1044404" customFormat="false" ht="12.75" hidden="false" customHeight="true" outlineLevel="0" collapsed="false"/>
    <row r="1044405" customFormat="false" ht="12.75" hidden="false" customHeight="true" outlineLevel="0" collapsed="false"/>
    <row r="1044406" customFormat="false" ht="12.75" hidden="false" customHeight="true" outlineLevel="0" collapsed="false"/>
    <row r="1044407" customFormat="false" ht="12.75" hidden="false" customHeight="true" outlineLevel="0" collapsed="false"/>
    <row r="1044408" customFormat="false" ht="12.75" hidden="false" customHeight="true" outlineLevel="0" collapsed="false"/>
    <row r="1044409" customFormat="false" ht="12.75" hidden="false" customHeight="true" outlineLevel="0" collapsed="false"/>
    <row r="1044410" customFormat="false" ht="12.75" hidden="false" customHeight="true" outlineLevel="0" collapsed="false"/>
    <row r="1044411" customFormat="false" ht="12.75" hidden="false" customHeight="true" outlineLevel="0" collapsed="false"/>
    <row r="1044412" customFormat="false" ht="12.75" hidden="false" customHeight="true" outlineLevel="0" collapsed="false"/>
    <row r="1044413" customFormat="false" ht="12.75" hidden="false" customHeight="true" outlineLevel="0" collapsed="false"/>
    <row r="1044414" customFormat="false" ht="12.75" hidden="false" customHeight="true" outlineLevel="0" collapsed="false"/>
    <row r="1044415" customFormat="false" ht="12.75" hidden="false" customHeight="true" outlineLevel="0" collapsed="false"/>
    <row r="1044416" customFormat="false" ht="12.75" hidden="false" customHeight="true" outlineLevel="0" collapsed="false"/>
    <row r="1044417" customFormat="false" ht="12.75" hidden="false" customHeight="true" outlineLevel="0" collapsed="false"/>
    <row r="1044418" customFormat="false" ht="12.75" hidden="false" customHeight="true" outlineLevel="0" collapsed="false"/>
    <row r="1044419" customFormat="false" ht="12.75" hidden="false" customHeight="true" outlineLevel="0" collapsed="false"/>
    <row r="1044420" customFormat="false" ht="12.7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9532">
    <cfRule type="expression" priority="4" aboveAverage="0" equalAverage="0" bottom="0" percent="0" rank="0" text="" dxfId="41">
      <formula>AND(ISNUMBER($A4),OR($A4&lt;DATE(2020,1,1),$A4&gt;DATE(année_courante,12,31)))</formula>
    </cfRule>
  </conditionalFormatting>
  <conditionalFormatting sqref="F4:F9532">
    <cfRule type="cellIs" priority="5" operator="equal" aboveAverage="0" equalAverage="0" bottom="0" percent="0" rank="0" text="" dxfId="42">
      <formula>"-"</formula>
    </cfRule>
  </conditionalFormatting>
  <conditionalFormatting sqref="G4:G9532">
    <cfRule type="expression" priority="6" aboveAverage="0" equalAverage="0" bottom="0" percent="0" rank="0" text="" dxfId="41">
      <formula>AND(ISNUMBER($A4),LEFT($G4,1)&lt;&gt;"#",OR($G4="",COUNTIF(CATnom,$G4)=0))</formula>
    </cfRule>
  </conditionalFormatting>
  <conditionalFormatting sqref="H4:H9532">
    <cfRule type="expression" priority="7" aboveAverage="0" equalAverage="0" bottom="0" percent="0" rank="0" text="" dxfId="41">
      <formula>AND(ISNUMBER($A4),OR(AND($H4="",LEFT($G4,1)&lt;&gt;"#"),AND($H4&lt;&gt;"",COUNTIF(#nom ?,$H4)=0)))</formula>
    </cfRule>
  </conditionalFormatting>
  <conditionalFormatting sqref="D4:D9532">
    <cfRule type="expression" priority="8" aboveAverage="0" equalAverage="0" bottom="0" percent="0" rank="0" text="" dxfId="41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809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809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809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809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5" width="28.33"/>
    <col collapsed="false" customWidth="true" hidden="false" outlineLevel="0" max="2" min="2" style="46" width="7.67"/>
    <col collapsed="false" customWidth="true" hidden="false" outlineLevel="0" max="3" min="3" style="46" width="13.16"/>
    <col collapsed="false" customWidth="true" hidden="false" outlineLevel="0" max="4" min="4" style="46" width="11.89"/>
    <col collapsed="false" customWidth="true" hidden="false" outlineLevel="0" max="5" min="5" style="46" width="14.89"/>
    <col collapsed="false" customWidth="true" hidden="false" outlineLevel="0" max="7" min="6" style="45" width="14.89"/>
    <col collapsed="false" customWidth="true" hidden="false" outlineLevel="0" max="8" min="8" style="45" width="14.83"/>
    <col collapsed="false" customWidth="true" hidden="false" outlineLevel="0" max="9" min="9" style="46" width="9.33"/>
    <col collapsed="false" customWidth="true" hidden="false" outlineLevel="0" max="10" min="10" style="84" width="41.42"/>
    <col collapsed="false" customWidth="true" hidden="false" outlineLevel="0" max="11" min="11" style="84" width="14.98"/>
    <col collapsed="false" customWidth="true" hidden="false" outlineLevel="0" max="12" min="12" style="84" width="11"/>
    <col collapsed="false" customWidth="true" hidden="false" outlineLevel="0" max="13" min="13" style="84" width="15.51"/>
    <col collapsed="false" customWidth="false" hidden="false" outlineLevel="0" max="16368" min="16" style="84" width="19.16"/>
    <col collapsed="false" customWidth="true" hidden="false" outlineLevel="0" max="16382" min="16369" style="1" width="11.53"/>
    <col collapsed="false" customWidth="true" hidden="false" outlineLevel="0" max="16384" min="16383" style="84" width="11.53"/>
  </cols>
  <sheetData>
    <row r="1" customFormat="false" ht="16.5" hidden="false" customHeight="true" outlineLevel="0" collapsed="false">
      <c r="A1" s="166" t="str">
        <f aca="false">$K$70</f>
        <v>⚠</v>
      </c>
      <c r="B1" s="11"/>
      <c r="C1" s="11"/>
      <c r="D1" s="11"/>
      <c r="E1" s="11"/>
      <c r="F1" s="13"/>
      <c r="G1" s="13"/>
      <c r="H1" s="13"/>
      <c r="I1" s="97"/>
    </row>
    <row r="2" customFormat="false" ht="28.5" hidden="false" customHeight="true" outlineLevel="0" collapsed="false">
      <c r="A2" s="52" t="s">
        <v>1821</v>
      </c>
      <c r="B2" s="97" t="s">
        <v>90</v>
      </c>
      <c r="C2" s="97" t="s">
        <v>1822</v>
      </c>
      <c r="D2" s="97" t="s">
        <v>1823</v>
      </c>
      <c r="E2" s="97" t="s">
        <v>1824</v>
      </c>
      <c r="F2" s="27" t="s">
        <v>1825</v>
      </c>
      <c r="G2" s="27" t="s">
        <v>1826</v>
      </c>
      <c r="H2" s="52" t="s">
        <v>233</v>
      </c>
      <c r="I2" s="52" t="s">
        <v>1827</v>
      </c>
    </row>
    <row r="3" customFormat="false" ht="15" hidden="false" customHeight="true" outlineLevel="0" collapsed="false">
      <c r="A3" s="15" t="s">
        <v>4</v>
      </c>
      <c r="B3" s="56"/>
      <c r="C3" s="129"/>
      <c r="D3" s="129"/>
      <c r="E3" s="17"/>
      <c r="F3" s="17"/>
      <c r="G3" s="17"/>
      <c r="H3" s="17"/>
      <c r="I3" s="17"/>
    </row>
    <row r="4" customFormat="false" ht="15" hidden="false" customHeight="true" outlineLevel="0" collapsed="false">
      <c r="A4" s="15" t="str">
        <f aca="false">Avoirs!A5</f>
        <v>Ass vie acajou Hélène</v>
      </c>
      <c r="B4" s="56" t="s">
        <v>97</v>
      </c>
      <c r="C4" s="129" t="n">
        <f aca="false">IF(COUNTIFS(OPcompte,$A4,OPdevise,$B4,OPcatégorie,Solde)&gt;=2,_xlfn.MINIFS(OPdate,OPcompte,$A4,OPdevise,$B4,OPcatégorie,Solde),0)</f>
        <v>44238</v>
      </c>
      <c r="D4" s="129" t="n">
        <f aca="false">_xlfn.MAXIFS(OPdate,OPcompte,$A4,OPdevise,$B4,OPcatégorie,Solde)</f>
        <v>46026</v>
      </c>
      <c r="E4" s="17" t="n">
        <f aca="false">IF($C4=0,0,_xlfn.XLOOKUP(1,(OPcompte=$A4)*(OPdevise=$B4)*(OPcatégorie=Solde)*(OPdate=$C4),OPmontant,0,0,1))</f>
        <v>29164.18</v>
      </c>
      <c r="F4" s="17" t="n">
        <f aca="false">$E4+SUMIFS(OPmontant,OPcompte,$A4,OPdevise,$B4,OPdate,"&gt;"&amp;$C4,OPdate,"&lt;="&amp;$D4,OPcatégorie,"&lt;&gt;Solde",OPcatégorie,"&lt;&gt;"&amp;Spéciale)</f>
        <v>20266.89</v>
      </c>
      <c r="G4" s="17" t="n">
        <f aca="false">_xlfn.XLOOKUP(1,(OPcompte=$A4)*(OPdevise=$B4)*(OPcatégorie=Solde)*(OPdate=$D4),OPmontant,0,0,-1)</f>
        <v>22334.02</v>
      </c>
      <c r="H4" s="17" t="n">
        <f aca="false">IF(ABS($G4-$F4)&lt;0.015,0,ROUND($G4-$F4,2))</f>
        <v>2067.13</v>
      </c>
      <c r="I4" s="17" t="s">
        <v>1828</v>
      </c>
    </row>
    <row r="5" customFormat="false" ht="15" hidden="false" customHeight="true" outlineLevel="0" collapsed="false">
      <c r="A5" s="15" t="str">
        <f aca="false">Avoirs!A6</f>
        <v>Ass vie acajou 2 Hélène</v>
      </c>
      <c r="B5" s="56" t="s">
        <v>97</v>
      </c>
      <c r="C5" s="129" t="n">
        <f aca="false">IF(COUNTIFS(OPcompte,$A5,OPdevise,$B5,OPcatégorie,Solde)&gt;=2,_xlfn.MINIFS(OPdate,OPcompte,$A5,OPdevise,$B5,OPcatégorie,Solde),0)</f>
        <v>44214</v>
      </c>
      <c r="D5" s="129" t="n">
        <f aca="false">_xlfn.MAXIFS(OPdate,OPcompte,$A5,OPdevise,$B5,OPcatégorie,Solde)</f>
        <v>46027</v>
      </c>
      <c r="E5" s="17" t="n">
        <f aca="false">IF($C5=0,0,_xlfn.XLOOKUP(1,(OPcompte=$A5)*(OPdevise=$B5)*(OPcatégorie=Solde)*(OPdate=$C5),OPmontant,0,0,1))</f>
        <v>15311.21</v>
      </c>
      <c r="F5" s="17" t="n">
        <f aca="false">$E5+SUMIFS(OPmontant,OPcompte,$A5,OPdevise,$B5,OPdate,"&gt;"&amp;$C5,OPdate,"&lt;="&amp;$D5,OPcatégorie,"&lt;&gt;Solde",OPcatégorie,"&lt;&gt;"&amp;Spéciale)</f>
        <v>15446.93</v>
      </c>
      <c r="G5" s="17" t="n">
        <f aca="false">_xlfn.XLOOKUP(1,(OPcompte=$A5)*(OPdevise=$B5)*(OPcatégorie=Solde)*(OPdate=$D5),OPmontant,0,0,-1)</f>
        <v>18261.96</v>
      </c>
      <c r="H5" s="17" t="n">
        <f aca="false">IF(ABS($G5-$F5)&lt;0.015,0,ROUND($G5-$F5,2))</f>
        <v>2815.03</v>
      </c>
      <c r="I5" s="17" t="s">
        <v>1828</v>
      </c>
    </row>
    <row r="6" customFormat="false" ht="15" hidden="false" customHeight="true" outlineLevel="0" collapsed="false">
      <c r="A6" s="15" t="str">
        <f aca="false">Avoirs!A7</f>
        <v>PEE Agrovia Hélène</v>
      </c>
      <c r="B6" s="56" t="s">
        <v>97</v>
      </c>
      <c r="C6" s="129" t="n">
        <f aca="false">IF(COUNTIFS(OPcompte,$A6,OPdevise,$B6,OPcatégorie,Solde)&gt;=2,_xlfn.MINIFS(OPdate,OPcompte,$A6,OPdevise,$B6,OPcatégorie,Solde),0)</f>
        <v>43831</v>
      </c>
      <c r="D6" s="129" t="n">
        <f aca="false">_xlfn.MAXIFS(OPdate,OPcompte,$A6,OPdevise,$B6,OPcatégorie,Solde)</f>
        <v>46055</v>
      </c>
      <c r="E6" s="17" t="n">
        <f aca="false">IF($C6=0,0,_xlfn.XLOOKUP(1,(OPcompte=$A6)*(OPdevise=$B6)*(OPcatégorie=Solde)*(OPdate=$C6),OPmontant,0,0,1))</f>
        <v>26801.73</v>
      </c>
      <c r="F6" s="17" t="n">
        <f aca="false">$E6+SUMIFS(OPmontant,OPcompte,$A6,OPdevise,$B6,OPdate,"&gt;"&amp;$C6,OPdate,"&lt;="&amp;$D6,OPcatégorie,"&lt;&gt;Solde",OPcatégorie,"&lt;&gt;"&amp;Spéciale)</f>
        <v>17371.43</v>
      </c>
      <c r="G6" s="17" t="n">
        <f aca="false">_xlfn.XLOOKUP(1,(OPcompte=$A6)*(OPdevise=$B6)*(OPcatégorie=Solde)*(OPdate=$D6),OPmontant,0,0,-1)</f>
        <v>17694.36</v>
      </c>
      <c r="H6" s="17" t="n">
        <f aca="false">IF(ABS($G6-$F6)&lt;0.015,0,ROUND($G6-$F6,2))</f>
        <v>322.93</v>
      </c>
      <c r="I6" s="17" t="s">
        <v>1828</v>
      </c>
    </row>
    <row r="7" customFormat="false" ht="15" hidden="false" customHeight="true" outlineLevel="0" collapsed="false">
      <c r="A7" s="15" t="str">
        <f aca="false">Avoirs!A8</f>
        <v>Portefeuille BB Titres</v>
      </c>
      <c r="B7" s="56" t="s">
        <v>97</v>
      </c>
      <c r="C7" s="129" t="n">
        <f aca="false">IF(COUNTIFS(OPcompte,$A7,OPdevise,$B7,OPcatégorie,Solde)&gt;=2,_xlfn.MINIFS(OPdate,OPcompte,$A7,OPdevise,$B7,OPcatégorie,Solde),0)</f>
        <v>45515</v>
      </c>
      <c r="D7" s="129" t="n">
        <f aca="false">_xlfn.MAXIFS(OPdate,OPcompte,$A7,OPdevise,$B7,OPcatégorie,Solde)</f>
        <v>46048</v>
      </c>
      <c r="E7" s="17" t="n">
        <f aca="false">IF($C7=0,0,_xlfn.XLOOKUP(1,(OPcompte=$A7)*(OPdevise=$B7)*(OPcatégorie=Solde)*(OPdate=$C7),OPmontant,0,0,1))</f>
        <v>0</v>
      </c>
      <c r="F7" s="17" t="n">
        <f aca="false">$E7+SUMIFS(OPmontant,OPcompte,$A7,OPdevise,$B7,OPdate,"&gt;"&amp;$C7,OPdate,"&lt;="&amp;$D7,OPcatégorie,"&lt;&gt;Solde",OPcatégorie,"&lt;&gt;"&amp;Spéciale)</f>
        <v>11409.72</v>
      </c>
      <c r="G7" s="17" t="n">
        <f aca="false">_xlfn.XLOOKUP(1,(OPcompte=$A7)*(OPdevise=$B7)*(OPcatégorie=Solde)*(OPdate=$D7),OPmontant,0,0,-1)</f>
        <v>11664.86</v>
      </c>
      <c r="H7" s="17" t="n">
        <f aca="false">IF(ABS($G7-$F7)&lt;0.015,0,ROUND($G7-$F7,2))</f>
        <v>255.14</v>
      </c>
      <c r="I7" s="17" t="s">
        <v>1828</v>
      </c>
    </row>
    <row r="8" customFormat="false" ht="15" hidden="false" customHeight="true" outlineLevel="0" collapsed="false">
      <c r="A8" s="15" t="str">
        <f aca="false">Avoirs!A9</f>
        <v>Portefeuille DEGIRO Titres</v>
      </c>
      <c r="B8" s="56" t="s">
        <v>97</v>
      </c>
      <c r="C8" s="129" t="n">
        <f aca="false">IF(COUNTIFS(OPcompte,$A8,OPdevise,$B8,OPcatégorie,Solde)&gt;=2,_xlfn.MINIFS(OPdate,OPcompte,$A8,OPdevise,$B8,OPcatégorie,Solde),0)</f>
        <v>45724</v>
      </c>
      <c r="D8" s="129" t="n">
        <f aca="false">_xlfn.MAXIFS(OPdate,OPcompte,$A8,OPdevise,$B8,OPcatégorie,Solde)</f>
        <v>46083</v>
      </c>
      <c r="E8" s="17" t="n">
        <f aca="false">IF($C8=0,0,_xlfn.XLOOKUP(1,(OPcompte=$A8)*(OPdevise=$B8)*(OPcatégorie=Solde)*(OPdate=$C8),OPmontant,0,0,1))</f>
        <v>1892</v>
      </c>
      <c r="F8" s="17" t="n">
        <f aca="false">$E8+SUMIFS(OPmontant,OPcompte,$A8,OPdevise,$B8,OPdate,"&gt;"&amp;$C8,OPdate,"&lt;="&amp;$D8,OPcatégorie,"&lt;&gt;Solde",OPcatégorie,"&lt;&gt;"&amp;Spéciale)</f>
        <v>2284.51</v>
      </c>
      <c r="G8" s="17" t="n">
        <f aca="false">_xlfn.XLOOKUP(1,(OPcompte=$A8)*(OPdevise=$B8)*(OPcatégorie=Solde)*(OPdate=$D8),OPmontant,0,0,-1)</f>
        <v>2489.97</v>
      </c>
      <c r="H8" s="17" t="n">
        <f aca="false">IF(ABS($G8-$F8)&lt;0.015,0,ROUND($G8-$F8,2))</f>
        <v>205.46</v>
      </c>
      <c r="I8" s="17" t="s">
        <v>1828</v>
      </c>
    </row>
    <row r="9" customFormat="false" ht="15" hidden="false" customHeight="true" outlineLevel="0" collapsed="false">
      <c r="A9" s="15" t="str">
        <f aca="false">Avoirs!A10</f>
        <v>Portefeuille eToro USD Titres</v>
      </c>
      <c r="B9" s="56" t="s">
        <v>103</v>
      </c>
      <c r="C9" s="129" t="n">
        <f aca="false">IF(COUNTIFS(OPcompte,$A9,OPdevise,$B9,OPcatégorie,Solde)&gt;=2,_xlfn.MINIFS(OPdate,OPcompte,$A9,OPdevise,$B9,OPcatégorie,Solde),0)</f>
        <v>45621</v>
      </c>
      <c r="D9" s="129" t="n">
        <f aca="false">_xlfn.MAXIFS(OPdate,OPcompte,$A9,OPdevise,$B9,OPcatégorie,Solde)</f>
        <v>46050</v>
      </c>
      <c r="E9" s="167" t="n">
        <f aca="false">IF($C9=0,0,_xlfn.XLOOKUP(1,(OPcompte=$A9)*(OPdevise=$B9)*(OPcatégorie=Solde)*(OPdate=$C9),OPmontant,0,0,1))</f>
        <v>0</v>
      </c>
      <c r="F9" s="167" t="n">
        <f aca="false">$E9+SUMIFS(OPmontant,OPcompte,$A9,OPdevise,$B9,OPdate,"&gt;"&amp;$C9,OPdate,"&lt;="&amp;$D9,OPcatégorie,"&lt;&gt;Solde",OPcatégorie,"&lt;&gt;"&amp;Spéciale)</f>
        <v>746.98</v>
      </c>
      <c r="G9" s="167" t="n">
        <f aca="false">_xlfn.XLOOKUP(1,(OPcompte=$A9)*(OPdevise=$B9)*(OPcatégorie=Solde)*(OPdate=$D9),OPmontant,0,0,-1)</f>
        <v>710.46</v>
      </c>
      <c r="H9" s="167" t="n">
        <f aca="false">IF(ABS($G9-$F9)&lt;0.015,0,ROUND($G9-$F9,2))</f>
        <v>-36.52</v>
      </c>
      <c r="I9" s="17" t="s">
        <v>1828</v>
      </c>
    </row>
    <row r="10" customFormat="false" ht="15" hidden="false" customHeight="true" outlineLevel="0" collapsed="false">
      <c r="A10" s="15" t="str">
        <f aca="false">Avoirs!A11</f>
        <v>Compte Amazon</v>
      </c>
      <c r="B10" s="56" t="s">
        <v>97</v>
      </c>
      <c r="C10" s="129" t="n">
        <f aca="false">IF(COUNTIFS(OPcompte,$A10,OPdevise,$B10,OPcatégorie,Solde)&gt;=2,_xlfn.MINIFS(OPdate,OPcompte,$A10,OPdevise,$B10,OPcatégorie,Solde),0)</f>
        <v>44999</v>
      </c>
      <c r="D10" s="129" t="n">
        <f aca="false">_xlfn.MAXIFS(OPdate,OPcompte,$A10,OPdevise,$B10,OPcatégorie,Solde)</f>
        <v>45657</v>
      </c>
      <c r="E10" s="17" t="n">
        <f aca="false">IF($C10=0,0,_xlfn.XLOOKUP(1,(OPcompte=$A10)*(OPdevise=$B10)*(OPcatégorie=Solde)*(OPdate=$C10),OPmontant,0,0,1))</f>
        <v>0</v>
      </c>
      <c r="F10" s="17" t="n">
        <f aca="false">$E10+SUMIFS(OPmontant,OPcompte,$A10,OPdevise,$B10,OPdate,"&gt;"&amp;$C10,OPdate,"&lt;="&amp;$D10,OPcatégorie,"&lt;&gt;Solde",OPcatégorie,"&lt;&gt;"&amp;Spéciale)</f>
        <v>0.219999999999999</v>
      </c>
      <c r="G10" s="17" t="n">
        <f aca="false">_xlfn.XLOOKUP(1,(OPcompte=$A10)*(OPdevise=$B10)*(OPcatégorie=Solde)*(OPdate=$D10),OPmontant,0,0,-1)</f>
        <v>0.22</v>
      </c>
      <c r="H10" s="17" t="n">
        <f aca="false">IF(ABS($G10-$F10)&lt;0.015,0,ROUND($G10-$F10,2))</f>
        <v>0</v>
      </c>
      <c r="I10" s="17" t="s">
        <v>1829</v>
      </c>
    </row>
    <row r="11" customFormat="false" ht="15" hidden="false" customHeight="true" outlineLevel="0" collapsed="false">
      <c r="A11" s="15" t="str">
        <f aca="false">Avoirs!A12</f>
        <v>Compte chèque BB</v>
      </c>
      <c r="B11" s="56" t="s">
        <v>97</v>
      </c>
      <c r="C11" s="129" t="n">
        <f aca="false">IF(COUNTIFS(OPcompte,$A11,OPdevise,$B11,OPcatégorie,Solde)&gt;=2,_xlfn.MINIFS(OPdate,OPcompte,$A11,OPdevise,$B11,OPcatégorie,Solde),0)</f>
        <v>45657</v>
      </c>
      <c r="D11" s="129" t="n">
        <f aca="false">_xlfn.MAXIFS(OPdate,OPcompte,$A11,OPdevise,$B11,OPcatégorie,Solde)</f>
        <v>45739</v>
      </c>
      <c r="E11" s="17" t="n">
        <f aca="false">IF($C11=0,0,_xlfn.XLOOKUP(1,(OPcompte=$A11)*(OPdevise=$B11)*(OPcatégorie=Solde)*(OPdate=$C11),OPmontant,0,0,1))</f>
        <v>0</v>
      </c>
      <c r="F11" s="17" t="n">
        <f aca="false">$E11+SUMIFS(OPmontant,OPcompte,$A11,OPdevise,$B11,OPdate,"&gt;"&amp;$C11,OPdate,"&lt;="&amp;$D11,OPcatégorie,"&lt;&gt;Solde",OPcatégorie,"&lt;&gt;"&amp;Spéciale)</f>
        <v>2.12000000000012</v>
      </c>
      <c r="G11" s="17" t="n">
        <f aca="false">_xlfn.XLOOKUP(1,(OPcompte=$A11)*(OPdevise=$B11)*(OPcatégorie=Solde)*(OPdate=$D11),OPmontant,0,0,-1)</f>
        <v>2.12</v>
      </c>
      <c r="H11" s="17" t="n">
        <f aca="false">IF(ABS($G11-$F11)&lt;0.015,0,ROUND($G11-$F11,2))</f>
        <v>0</v>
      </c>
      <c r="I11" s="17" t="s">
        <v>1829</v>
      </c>
    </row>
    <row r="12" customFormat="false" ht="15" hidden="false" customHeight="true" outlineLevel="0" collapsed="false">
      <c r="A12" s="15" t="str">
        <f aca="false">Avoirs!A13</f>
        <v>Compte chèque SG</v>
      </c>
      <c r="B12" s="56" t="s">
        <v>97</v>
      </c>
      <c r="C12" s="129" t="n">
        <f aca="false">IF(COUNTIFS(OPcompte,$A12,OPdevise,$B12,OPcatégorie,Solde)&gt;=2,_xlfn.MINIFS(OPdate,OPcompte,$A12,OPdevise,$B12,OPcatégorie,Solde),0)</f>
        <v>45657</v>
      </c>
      <c r="D12" s="129" t="n">
        <f aca="false">_xlfn.MAXIFS(OPdate,OPcompte,$A12,OPdevise,$B12,OPcatégorie,Solde)</f>
        <v>46084</v>
      </c>
      <c r="E12" s="17" t="n">
        <f aca="false">IF($C12=0,0,_xlfn.XLOOKUP(1,(OPcompte=$A12)*(OPdevise=$B12)*(OPcatégorie=Solde)*(OPdate=$C12),OPmontant,0,0,1))</f>
        <v>4572.63</v>
      </c>
      <c r="F12" s="17" t="n">
        <f aca="false">$E12+SUMIFS(OPmontant,OPcompte,$A12,OPdevise,$B12,OPdate,"&gt;"&amp;$C12,OPdate,"&lt;="&amp;$D12,OPcatégorie,"&lt;&gt;Solde",OPcatégorie,"&lt;&gt;"&amp;Spéciale)</f>
        <v>14462.26</v>
      </c>
      <c r="G12" s="17" t="n">
        <f aca="false">_xlfn.XLOOKUP(1,(OPcompte=$A12)*(OPdevise=$B12)*(OPcatégorie=Solde)*(OPdate=$D12),OPmontant,0,0,-1)</f>
        <v>14462.26</v>
      </c>
      <c r="H12" s="17" t="n">
        <f aca="false">IF(ABS($G12-$F12)&lt;0.015,0,ROUND($G12-$F12,2))</f>
        <v>0</v>
      </c>
      <c r="I12" s="17" t="s">
        <v>1829</v>
      </c>
    </row>
    <row r="13" customFormat="false" ht="15" hidden="false" customHeight="true" outlineLevel="0" collapsed="false">
      <c r="A13" s="15" t="str">
        <f aca="false">Avoirs!A14</f>
        <v>Compte Binance EUR</v>
      </c>
      <c r="B13" s="56" t="s">
        <v>97</v>
      </c>
      <c r="C13" s="129" t="n">
        <f aca="false">IF(COUNTIFS(OPcompte,$A13,OPdevise,$B13,OPcatégorie,Solde)&gt;=2,_xlfn.MINIFS(OPdate,OPcompte,$A13,OPdevise,$B13,OPcatégorie,Solde),0)</f>
        <v>45957</v>
      </c>
      <c r="D13" s="129" t="n">
        <f aca="false">_xlfn.MAXIFS(OPdate,OPcompte,$A13,OPdevise,$B13,OPcatégorie,Solde)</f>
        <v>45994</v>
      </c>
      <c r="E13" s="17" t="n">
        <f aca="false">IF($C13=0,0,_xlfn.XLOOKUP(1,(OPcompte=$A13)*(OPdevise=$B13)*(OPcatégorie=Solde)*(OPdate=$C13),OPmontant,0,0,1))</f>
        <v>0</v>
      </c>
      <c r="F13" s="17" t="n">
        <f aca="false">$E13+SUMIFS(OPmontant,OPcompte,$A13,OPdevise,$B13,OPdate,"&gt;"&amp;$C13,OPdate,"&lt;="&amp;$D13,OPcatégorie,"&lt;&gt;Solde",OPcatégorie,"&lt;&gt;"&amp;Spéciale)</f>
        <v>2.85999999999995</v>
      </c>
      <c r="G13" s="17" t="n">
        <f aca="false">_xlfn.XLOOKUP(1,(OPcompte=$A13)*(OPdevise=$B13)*(OPcatégorie=Solde)*(OPdate=$D13),OPmontant,0,0,-1)</f>
        <v>2.86</v>
      </c>
      <c r="H13" s="17" t="n">
        <f aca="false">IF(ABS($G13-$F13)&lt;0.015,0,ROUND($G13-$F13,2))</f>
        <v>0</v>
      </c>
      <c r="I13" s="17" t="s">
        <v>1829</v>
      </c>
    </row>
    <row r="14" customFormat="false" ht="15" hidden="false" customHeight="true" outlineLevel="0" collapsed="false">
      <c r="A14" s="15" t="str">
        <f aca="false">Avoirs!A15</f>
        <v>Espèces</v>
      </c>
      <c r="B14" s="56" t="s">
        <v>97</v>
      </c>
      <c r="C14" s="129" t="n">
        <f aca="false">IF(COUNTIFS(OPcompte,$A14,OPdevise,$B14,OPcatégorie,Solde)&gt;=2,_xlfn.MINIFS(OPdate,OPcompte,$A14,OPdevise,$B14,OPcatégorie,Solde),0)</f>
        <v>45657</v>
      </c>
      <c r="D14" s="129" t="n">
        <f aca="false">_xlfn.MAXIFS(OPdate,OPcompte,$A14,OPdevise,$B14,OPcatégorie,Solde)</f>
        <v>46084</v>
      </c>
      <c r="E14" s="17" t="n">
        <f aca="false">IF($C14=0,0,_xlfn.XLOOKUP(1,(OPcompte=$A14)*(OPdevise=$B14)*(OPcatégorie=Solde)*(OPdate=$C14),OPmontant,0,0,1))</f>
        <v>1392</v>
      </c>
      <c r="F14" s="17" t="n">
        <f aca="false">$E14+SUMIFS(OPmontant,OPcompte,$A14,OPdevise,$B14,OPdate,"&gt;"&amp;$C14,OPdate,"&lt;="&amp;$D14,OPcatégorie,"&lt;&gt;Solde",OPcatégorie,"&lt;&gt;"&amp;Spéciale)</f>
        <v>300.05</v>
      </c>
      <c r="G14" s="17" t="n">
        <f aca="false">_xlfn.XLOOKUP(1,(OPcompte=$A14)*(OPdevise=$B14)*(OPcatégorie=Solde)*(OPdate=$D14),OPmontant,0,0,-1)</f>
        <v>300.05</v>
      </c>
      <c r="H14" s="17" t="n">
        <f aca="false">IF(ABS($G14-$F14)&lt;0.015,0,ROUND($G14-$F14,2))</f>
        <v>0</v>
      </c>
      <c r="I14" s="17" t="s">
        <v>1829</v>
      </c>
    </row>
    <row r="15" customFormat="false" ht="15" hidden="false" customHeight="true" outlineLevel="0" collapsed="false">
      <c r="A15" s="15" t="str">
        <f aca="false">Avoirs!A16</f>
        <v>Compte livret BB</v>
      </c>
      <c r="B15" s="56" t="s">
        <v>97</v>
      </c>
      <c r="C15" s="129" t="n">
        <f aca="false">IF(COUNTIFS(OPcompte,$A15,OPdevise,$B15,OPcatégorie,Solde)&gt;=2,_xlfn.MINIFS(OPdate,OPcompte,$A15,OPdevise,$B15,OPcatégorie,Solde),0)</f>
        <v>45657</v>
      </c>
      <c r="D15" s="129" t="n">
        <f aca="false">_xlfn.MAXIFS(OPdate,OPcompte,$A15,OPdevise,$B15,OPcatégorie,Solde)</f>
        <v>46024</v>
      </c>
      <c r="E15" s="17" t="n">
        <f aca="false">IF($C15=0,0,_xlfn.XLOOKUP(1,(OPcompte=$A15)*(OPdevise=$B15)*(OPcatégorie=Solde)*(OPdate=$C15),OPmontant,0,0,1))</f>
        <v>3000</v>
      </c>
      <c r="F15" s="17" t="n">
        <f aca="false">$E15+SUMIFS(OPmontant,OPcompte,$A15,OPdevise,$B15,OPdate,"&gt;"&amp;$C15,OPdate,"&lt;="&amp;$D15,OPcatégorie,"&lt;&gt;Solde",OPcatégorie,"&lt;&gt;"&amp;Spéciale)</f>
        <v>119.6</v>
      </c>
      <c r="G15" s="17" t="n">
        <f aca="false">_xlfn.XLOOKUP(1,(OPcompte=$A15)*(OPdevise=$B15)*(OPcatégorie=Solde)*(OPdate=$D15),OPmontant,0,0,-1)</f>
        <v>119.6</v>
      </c>
      <c r="H15" s="17" t="n">
        <f aca="false">IF(ABS($G15-$F15)&lt;0.015,0,ROUND($G15-$F15,2))</f>
        <v>0</v>
      </c>
      <c r="I15" s="17" t="s">
        <v>1829</v>
      </c>
    </row>
    <row r="16" customFormat="false" ht="15" hidden="false" customHeight="true" outlineLevel="0" collapsed="false">
      <c r="A16" s="15" t="str">
        <f aca="false">Avoirs!A17</f>
        <v>Compte livret SG</v>
      </c>
      <c r="B16" s="56" t="s">
        <v>97</v>
      </c>
      <c r="C16" s="129" t="n">
        <f aca="false">IF(COUNTIFS(OPcompte,$A16,OPdevise,$B16,OPcatégorie,Solde)&gt;=2,_xlfn.MINIFS(OPdate,OPcompte,$A16,OPdevise,$B16,OPcatégorie,Solde),0)</f>
        <v>45657</v>
      </c>
      <c r="D16" s="129" t="n">
        <f aca="false">_xlfn.MAXIFS(OPdate,OPcompte,$A16,OPdevise,$B16,OPcatégorie,Solde)</f>
        <v>46030</v>
      </c>
      <c r="E16" s="17" t="n">
        <f aca="false">IF($C16=0,0,_xlfn.XLOOKUP(1,(OPcompte=$A16)*(OPdevise=$B16)*(OPcatégorie=Solde)*(OPdate=$C16),OPmontant,0,0,1))</f>
        <v>3.18</v>
      </c>
      <c r="F16" s="17" t="n">
        <f aca="false">$E16+SUMIFS(OPmontant,OPcompte,$A16,OPdevise,$B16,OPdate,"&gt;"&amp;$C16,OPdate,"&lt;="&amp;$D16,OPcatégorie,"&lt;&gt;Solde",OPcatégorie,"&lt;&gt;"&amp;Spéciale)</f>
        <v>49.7299999999998</v>
      </c>
      <c r="G16" s="17" t="n">
        <f aca="false">_xlfn.XLOOKUP(1,(OPcompte=$A16)*(OPdevise=$B16)*(OPcatégorie=Solde)*(OPdate=$D16),OPmontant,0,0,-1)</f>
        <v>49.73</v>
      </c>
      <c r="H16" s="17" t="n">
        <f aca="false">IF(ABS($G16-$F16)&lt;0.015,0,ROUND($G16-$F16,2))</f>
        <v>0</v>
      </c>
      <c r="I16" s="17" t="s">
        <v>1829</v>
      </c>
    </row>
    <row r="17" customFormat="false" ht="15" hidden="false" customHeight="true" outlineLevel="0" collapsed="false">
      <c r="A17" s="15" t="str">
        <f aca="false">Avoirs!A18</f>
        <v>LDD Hélène</v>
      </c>
      <c r="B17" s="56" t="s">
        <v>97</v>
      </c>
      <c r="C17" s="129" t="n">
        <f aca="false">IF(COUNTIFS(OPcompte,$A17,OPdevise,$B17,OPcatégorie,Solde)&gt;=2,_xlfn.MINIFS(OPdate,OPcompte,$A17,OPdevise,$B17,OPcatégorie,Solde),0)</f>
        <v>45657</v>
      </c>
      <c r="D17" s="129" t="n">
        <f aca="false">_xlfn.MAXIFS(OPdate,OPcompte,$A17,OPdevise,$B17,OPcatégorie,Solde)</f>
        <v>46030</v>
      </c>
      <c r="E17" s="17" t="n">
        <f aca="false">IF($C17=0,0,_xlfn.XLOOKUP(1,(OPcompte=$A17)*(OPdevise=$B17)*(OPcatégorie=Solde)*(OPdate=$C17),OPmontant,0,0,1))</f>
        <v>2396.53</v>
      </c>
      <c r="F17" s="17" t="n">
        <f aca="false">$E17+SUMIFS(OPmontant,OPcompte,$A17,OPdevise,$B17,OPdate,"&gt;"&amp;$C17,OPdate,"&lt;="&amp;$D17,OPcatégorie,"&lt;&gt;Solde",OPcatégorie,"&lt;&gt;"&amp;Spéciale)</f>
        <v>2016.08</v>
      </c>
      <c r="G17" s="17" t="n">
        <f aca="false">_xlfn.XLOOKUP(1,(OPcompte=$A17)*(OPdevise=$B17)*(OPcatégorie=Solde)*(OPdate=$D17),OPmontant,0,0,-1)</f>
        <v>2016.08</v>
      </c>
      <c r="H17" s="17" t="n">
        <f aca="false">IF(ABS($G17-$F17)&lt;0.015,0,ROUND($G17-$F17,2))</f>
        <v>0</v>
      </c>
      <c r="I17" s="17" t="s">
        <v>1829</v>
      </c>
    </row>
    <row r="18" customFormat="false" ht="15" hidden="false" customHeight="true" outlineLevel="0" collapsed="false">
      <c r="A18" s="15" t="str">
        <f aca="false">Avoirs!A19</f>
        <v>LDD Julien</v>
      </c>
      <c r="B18" s="56" t="s">
        <v>97</v>
      </c>
      <c r="C18" s="129" t="n">
        <f aca="false">IF(COUNTIFS(OPcompte,$A18,OPdevise,$B18,OPcatégorie,Solde)&gt;=2,_xlfn.MINIFS(OPdate,OPcompte,$A18,OPdevise,$B18,OPcatégorie,Solde),0)</f>
        <v>45657</v>
      </c>
      <c r="D18" s="129" t="n">
        <f aca="false">_xlfn.MAXIFS(OPdate,OPcompte,$A18,OPdevise,$B18,OPcatégorie,Solde)</f>
        <v>46030</v>
      </c>
      <c r="E18" s="17" t="n">
        <f aca="false">IF($C18=0,0,_xlfn.XLOOKUP(1,(OPcompte=$A18)*(OPdevise=$B18)*(OPcatégorie=Solde)*(OPdate=$C18),OPmontant,0,0,1))</f>
        <v>2396.53</v>
      </c>
      <c r="F18" s="17" t="n">
        <f aca="false">$E18+SUMIFS(OPmontant,OPcompte,$A18,OPdevise,$B18,OPdate,"&gt;"&amp;$C18,OPdate,"&lt;="&amp;$D18,OPcatégorie,"&lt;&gt;Solde",OPcatégorie,"&lt;&gt;"&amp;Spéciale)</f>
        <v>2016.08</v>
      </c>
      <c r="G18" s="17" t="n">
        <f aca="false">_xlfn.XLOOKUP(1,(OPcompte=$A18)*(OPdevise=$B18)*(OPcatégorie=Solde)*(OPdate=$D18),OPmontant,0,0,-1)</f>
        <v>2016.08</v>
      </c>
      <c r="H18" s="17" t="n">
        <f aca="false">IF(ABS($G18-$F18)&lt;0.015,0,ROUND($G18-$F18,2))</f>
        <v>0</v>
      </c>
      <c r="I18" s="17" t="s">
        <v>1829</v>
      </c>
    </row>
    <row r="19" customFormat="false" ht="15" hidden="false" customHeight="true" outlineLevel="0" collapsed="false">
      <c r="A19" s="15" t="str">
        <f aca="false">Avoirs!A20</f>
        <v>Livret A Hélène</v>
      </c>
      <c r="B19" s="56" t="s">
        <v>97</v>
      </c>
      <c r="C19" s="129" t="n">
        <f aca="false">IF(COUNTIFS(OPcompte,$A19,OPdevise,$B19,OPcatégorie,Solde)&gt;=2,_xlfn.MINIFS(OPdate,OPcompte,$A19,OPdevise,$B19,OPcatégorie,Solde),0)</f>
        <v>45657</v>
      </c>
      <c r="D19" s="129" t="n">
        <f aca="false">_xlfn.MAXIFS(OPdate,OPcompte,$A19,OPdevise,$B19,OPcatégorie,Solde)</f>
        <v>46030</v>
      </c>
      <c r="E19" s="17" t="n">
        <f aca="false">IF($C19=0,0,_xlfn.XLOOKUP(1,(OPcompte=$A19)*(OPdevise=$B19)*(OPcatégorie=Solde)*(OPdate=$C19),OPmontant,0,0,1))</f>
        <v>4807.32</v>
      </c>
      <c r="F19" s="17" t="n">
        <f aca="false">$E19+SUMIFS(OPmontant,OPcompte,$A19,OPdevise,$B19,OPdate,"&gt;"&amp;$C19,OPdate,"&lt;="&amp;$D19,OPcatégorie,"&lt;&gt;Solde",OPcatégorie,"&lt;&gt;"&amp;Spéciale)</f>
        <v>4044.7</v>
      </c>
      <c r="G19" s="17" t="n">
        <f aca="false">_xlfn.XLOOKUP(1,(OPcompte=$A19)*(OPdevise=$B19)*(OPcatégorie=Solde)*(OPdate=$D19),OPmontant,0,0,-1)</f>
        <v>4044.7</v>
      </c>
      <c r="H19" s="17" t="n">
        <f aca="false">IF(ABS($G19-$F19)&lt;0.015,0,ROUND($G19-$F19,2))</f>
        <v>0</v>
      </c>
      <c r="I19" s="17" t="s">
        <v>1829</v>
      </c>
    </row>
    <row r="20" customFormat="false" ht="15" hidden="false" customHeight="true" outlineLevel="0" collapsed="false">
      <c r="A20" s="15" t="str">
        <f aca="false">Avoirs!A21</f>
        <v>Livret A Julien</v>
      </c>
      <c r="B20" s="56" t="s">
        <v>97</v>
      </c>
      <c r="C20" s="129" t="n">
        <f aca="false">IF(COUNTIFS(OPcompte,$A20,OPdevise,$B20,OPcatégorie,Solde)&gt;=2,_xlfn.MINIFS(OPdate,OPcompte,$A20,OPdevise,$B20,OPcatégorie,Solde),0)</f>
        <v>45657</v>
      </c>
      <c r="D20" s="129" t="n">
        <f aca="false">_xlfn.MAXIFS(OPdate,OPcompte,$A20,OPdevise,$B20,OPcatégorie,Solde)</f>
        <v>46030</v>
      </c>
      <c r="E20" s="17" t="n">
        <f aca="false">IF($C20=0,0,_xlfn.XLOOKUP(1,(OPcompte=$A20)*(OPdevise=$B20)*(OPcatégorie=Solde)*(OPdate=$C20),OPmontant,0,0,1))</f>
        <v>4807.21</v>
      </c>
      <c r="F20" s="17" t="n">
        <f aca="false">$E20+SUMIFS(OPmontant,OPcompte,$A20,OPdevise,$B20,OPdate,"&gt;"&amp;$C20,OPdate,"&lt;="&amp;$D20,OPcatégorie,"&lt;&gt;Solde",OPcatégorie,"&lt;&gt;"&amp;Spéciale)</f>
        <v>4044.59</v>
      </c>
      <c r="G20" s="17" t="n">
        <f aca="false">_xlfn.XLOOKUP(1,(OPcompte=$A20)*(OPdevise=$B20)*(OPcatégorie=Solde)*(OPdate=$D20),OPmontant,0,0,-1)</f>
        <v>4044.59</v>
      </c>
      <c r="H20" s="17" t="n">
        <f aca="false">IF(ABS($G20-$F20)&lt;0.015,0,ROUND($G20-$F20,2))</f>
        <v>0</v>
      </c>
      <c r="I20" s="17" t="s">
        <v>1829</v>
      </c>
    </row>
    <row r="21" customFormat="false" ht="15" hidden="false" customHeight="true" outlineLevel="0" collapsed="false">
      <c r="A21" s="15" t="str">
        <f aca="false">Avoirs!A22</f>
        <v>Compte Paypal</v>
      </c>
      <c r="B21" s="56" t="s">
        <v>97</v>
      </c>
      <c r="C21" s="129" t="n">
        <f aca="false">IF(COUNTIFS(OPcompte,$A21,OPdevise,$B21,OPcatégorie,Solde)&gt;=2,_xlfn.MINIFS(OPdate,OPcompte,$A21,OPdevise,$B21,OPcatégorie,Solde),0)</f>
        <v>45656</v>
      </c>
      <c r="D21" s="129" t="n">
        <f aca="false">_xlfn.MAXIFS(OPdate,OPcompte,$A21,OPdevise,$B21,OPcatégorie,Solde)</f>
        <v>45657</v>
      </c>
      <c r="E21" s="17" t="n">
        <f aca="false">IF($C21=0,0,_xlfn.XLOOKUP(1,(OPcompte=$A21)*(OPdevise=$B21)*(OPcatégorie=Solde)*(OPdate=$C21),OPmontant,0,0,1))</f>
        <v>0</v>
      </c>
      <c r="F21" s="17" t="n">
        <f aca="false">$E21+SUMIFS(OPmontant,OPcompte,$A21,OPdevise,$B21,OPdate,"&gt;"&amp;$C21,OPdate,"&lt;="&amp;$D21,OPcatégorie,"&lt;&gt;Solde",OPcatégorie,"&lt;&gt;"&amp;Spéciale)</f>
        <v>0</v>
      </c>
      <c r="G21" s="17" t="n">
        <f aca="false">_xlfn.XLOOKUP(1,(OPcompte=$A21)*(OPdevise=$B21)*(OPcatégorie=Solde)*(OPdate=$D21),OPmontant,0,0,-1)</f>
        <v>0</v>
      </c>
      <c r="H21" s="17" t="n">
        <f aca="false">IF(ABS($G21-$F21)&lt;0.015,0,ROUND($G21-$F21,2))</f>
        <v>0</v>
      </c>
      <c r="I21" s="17" t="s">
        <v>1829</v>
      </c>
    </row>
    <row r="22" customFormat="false" ht="15" hidden="false" customHeight="true" outlineLevel="0" collapsed="false">
      <c r="A22" s="15" t="str">
        <f aca="false">Avoirs!A23</f>
        <v>Compte eToro Money</v>
      </c>
      <c r="B22" s="56" t="s">
        <v>97</v>
      </c>
      <c r="C22" s="129" t="n">
        <f aca="false">IF(COUNTIFS(OPcompte,$A22,OPdevise,$B22,OPcatégorie,Solde)&gt;=2,_xlfn.MINIFS(OPdate,OPcompte,$A22,OPdevise,$B22,OPcatégorie,Solde),0)</f>
        <v>45657</v>
      </c>
      <c r="D22" s="129" t="n">
        <f aca="false">_xlfn.MAXIFS(OPdate,OPcompte,$A22,OPdevise,$B22,OPcatégorie,Solde)</f>
        <v>46050</v>
      </c>
      <c r="E22" s="17" t="n">
        <f aca="false">IF($C22=0,0,_xlfn.XLOOKUP(1,(OPcompte=$A22)*(OPdevise=$B22)*(OPcatégorie=Solde)*(OPdate=$C22),OPmontant,0,0,1))</f>
        <v>0.14</v>
      </c>
      <c r="F22" s="17" t="n">
        <f aca="false">$E22+SUMIFS(OPmontant,OPcompte,$A22,OPdevise,$B22,OPdate,"&gt;"&amp;$C22,OPdate,"&lt;="&amp;$D22,OPcatégorie,"&lt;&gt;Solde",OPcatégorie,"&lt;&gt;"&amp;Spéciale)</f>
        <v>16</v>
      </c>
      <c r="G22" s="17" t="n">
        <f aca="false">_xlfn.XLOOKUP(1,(OPcompte=$A22)*(OPdevise=$B22)*(OPcatégorie=Solde)*(OPdate=$D22),OPmontant,0,0,-1)</f>
        <v>16</v>
      </c>
      <c r="H22" s="17" t="n">
        <f aca="false">IF(ABS($G22-$F22)&lt;0.015,0,ROUND($G22-$F22,2))</f>
        <v>0</v>
      </c>
      <c r="I22" s="17" t="s">
        <v>1829</v>
      </c>
    </row>
    <row r="23" customFormat="false" ht="15" hidden="false" customHeight="true" outlineLevel="0" collapsed="false">
      <c r="A23" s="15" t="str">
        <f aca="false">Avoirs!A24</f>
        <v>Compte Wise EUR</v>
      </c>
      <c r="B23" s="56" t="s">
        <v>97</v>
      </c>
      <c r="C23" s="129" t="n">
        <f aca="false">IF(COUNTIFS(OPcompte,$A23,OPdevise,$B23,OPcatégorie,Solde)&gt;=2,_xlfn.MINIFS(OPdate,OPcompte,$A23,OPdevise,$B23,OPcatégorie,Solde),0)</f>
        <v>45657</v>
      </c>
      <c r="D23" s="129" t="n">
        <f aca="false">_xlfn.MAXIFS(OPdate,OPcompte,$A23,OPdevise,$B23,OPcatégorie,Solde)</f>
        <v>46056</v>
      </c>
      <c r="E23" s="17" t="n">
        <f aca="false">IF($C23=0,0,_xlfn.XLOOKUP(1,(OPcompte=$A23)*(OPdevise=$B23)*(OPcatégorie=Solde)*(OPdate=$C23),OPmontant,0,0,1))</f>
        <v>1000</v>
      </c>
      <c r="F23" s="17" t="n">
        <f aca="false">$E23+SUMIFS(OPmontant,OPcompte,$A23,OPdevise,$B23,OPdate,"&gt;"&amp;$C23,OPdate,"&lt;="&amp;$D23,OPcatégorie,"&lt;&gt;Solde",OPcatégorie,"&lt;&gt;"&amp;Spéciale)</f>
        <v>396.56</v>
      </c>
      <c r="G23" s="17" t="n">
        <f aca="false">_xlfn.XLOOKUP(1,(OPcompte=$A23)*(OPdevise=$B23)*(OPcatégorie=Solde)*(OPdate=$D23),OPmontant,0,0,-1)</f>
        <v>396.56</v>
      </c>
      <c r="H23" s="17" t="n">
        <f aca="false">IF(ABS($G23-$F23)&lt;0.015,0,ROUND($G23-$F23,2))</f>
        <v>0</v>
      </c>
      <c r="I23" s="17" t="s">
        <v>1829</v>
      </c>
    </row>
    <row r="24" customFormat="false" ht="15" hidden="false" customHeight="true" outlineLevel="0" collapsed="false">
      <c r="A24" s="15" t="str">
        <f aca="false">Avoirs!A25</f>
        <v>Compte Wise EUR Intérêts</v>
      </c>
      <c r="B24" s="56" t="s">
        <v>97</v>
      </c>
      <c r="C24" s="129" t="n">
        <f aca="false">IF(COUNTIFS(OPcompte,$A24,OPdevise,$B24,OPcatégorie,Solde)&gt;=2,_xlfn.MINIFS(OPdate,OPcompte,$A24,OPdevise,$B24,OPcatégorie,Solde),0)</f>
        <v>45657</v>
      </c>
      <c r="D24" s="129" t="n">
        <f aca="false">_xlfn.MAXIFS(OPdate,OPcompte,$A24,OPdevise,$B24,OPcatégorie,Solde)</f>
        <v>46023</v>
      </c>
      <c r="E24" s="17" t="n">
        <f aca="false">IF($C24=0,0,_xlfn.XLOOKUP(1,(OPcompte=$A24)*(OPdevise=$B24)*(OPcatégorie=Solde)*(OPdate=$C24),OPmontant,0,0,1))</f>
        <v>0.22</v>
      </c>
      <c r="F24" s="17" t="n">
        <f aca="false">$E24+SUMIFS(OPmontant,OPcompte,$A24,OPdevise,$B24,OPdate,"&gt;"&amp;$C24,OPdate,"&lt;="&amp;$D24,OPcatégorie,"&lt;&gt;Solde",OPcatégorie,"&lt;&gt;"&amp;Spéciale)</f>
        <v>19.51</v>
      </c>
      <c r="G24" s="17" t="n">
        <f aca="false">_xlfn.XLOOKUP(1,(OPcompte=$A24)*(OPdevise=$B24)*(OPcatégorie=Solde)*(OPdate=$D24),OPmontant,0,0,-1)</f>
        <v>19.51</v>
      </c>
      <c r="H24" s="17" t="n">
        <f aca="false">IF(ABS($G24-$F24)&lt;0.015,0,ROUND($G24-$F24,2))</f>
        <v>0</v>
      </c>
      <c r="I24" s="17" t="s">
        <v>1829</v>
      </c>
    </row>
    <row r="25" customFormat="false" ht="15" hidden="false" customHeight="true" outlineLevel="0" collapsed="false">
      <c r="A25" s="15" t="str">
        <f aca="false">Avoirs!A26</f>
        <v>Compte Kraken EUR</v>
      </c>
      <c r="B25" s="56" t="s">
        <v>97</v>
      </c>
      <c r="C25" s="129" t="n">
        <f aca="false">IF(COUNTIFS(OPcompte,$A25,OPdevise,$B25,OPcatégorie,Solde)&gt;=2,_xlfn.MINIFS(OPdate,OPcompte,$A25,OPdevise,$B25,OPcatégorie,Solde),0)</f>
        <v>45904</v>
      </c>
      <c r="D25" s="129" t="n">
        <f aca="false">_xlfn.MAXIFS(OPdate,OPcompte,$A25,OPdevise,$B25,OPcatégorie,Solde)</f>
        <v>46041</v>
      </c>
      <c r="E25" s="17" t="n">
        <f aca="false">IF($C25=0,0,_xlfn.XLOOKUP(1,(OPcompte=$A25)*(OPdevise=$B25)*(OPcatégorie=Solde)*(OPdate=$C25),OPmontant,0,0,1))</f>
        <v>0</v>
      </c>
      <c r="F25" s="17" t="n">
        <f aca="false">$E25+SUMIFS(OPmontant,OPcompte,$A25,OPdevise,$B25,OPdate,"&gt;"&amp;$C25,OPdate,"&lt;="&amp;$D25,OPcatégorie,"&lt;&gt;Solde",OPcatégorie,"&lt;&gt;"&amp;Spéciale)</f>
        <v>42.16</v>
      </c>
      <c r="G25" s="17" t="n">
        <f aca="false">_xlfn.XLOOKUP(1,(OPcompte=$A25)*(OPdevise=$B25)*(OPcatégorie=Solde)*(OPdate=$D25),OPmontant,0,0,-1)</f>
        <v>42.16</v>
      </c>
      <c r="H25" s="17" t="n">
        <f aca="false">IF(ABS($G25-$F25)&lt;0.015,0,ROUND($G25-$F25,2))</f>
        <v>0</v>
      </c>
      <c r="I25" s="17" t="s">
        <v>1829</v>
      </c>
    </row>
    <row r="26" customFormat="false" ht="15" hidden="false" customHeight="true" outlineLevel="0" collapsed="false">
      <c r="A26" s="15" t="str">
        <f aca="false">Avoirs!A28</f>
        <v>Portefeuille DEGIRO Réserve</v>
      </c>
      <c r="B26" s="56" t="s">
        <v>97</v>
      </c>
      <c r="C26" s="129" t="n">
        <f aca="false">IF(COUNTIFS(OPcompte,$A26,OPdevise,$B26,OPcatégorie,Solde)&gt;=2,_xlfn.MINIFS(OPdate,OPcompte,$A26,OPdevise,$B26,OPcatégorie,Solde),0)</f>
        <v>45616</v>
      </c>
      <c r="D26" s="129" t="n">
        <f aca="false">_xlfn.MAXIFS(OPdate,OPcompte,$A26,OPdevise,$B26,OPcatégorie,Solde)</f>
        <v>46083</v>
      </c>
      <c r="E26" s="17" t="n">
        <f aca="false">IF($C26=0,0,_xlfn.XLOOKUP(1,(OPcompte=$A26)*(OPdevise=$B26)*(OPcatégorie=Solde)*(OPdate=$C26),OPmontant,0,0,1))</f>
        <v>0</v>
      </c>
      <c r="F26" s="17" t="n">
        <f aca="false">$E26+SUMIFS(OPmontant,OPcompte,$A26,OPdevise,$B26,OPdate,"&gt;"&amp;$C26,OPdate,"&lt;="&amp;$D26,OPcatégorie,"&lt;&gt;Solde",OPcatégorie,"&lt;&gt;"&amp;Spéciale)</f>
        <v>93.5399999999999</v>
      </c>
      <c r="G26" s="17" t="n">
        <f aca="false">_xlfn.XLOOKUP(1,(OPcompte=$A26)*(OPdevise=$B26)*(OPcatégorie=Solde)*(OPdate=$D26),OPmontant,0,0,-1)</f>
        <v>93.54</v>
      </c>
      <c r="H26" s="17" t="n">
        <f aca="false">IF(ABS($G26-$F26)&lt;0.015,0,ROUND($G26-$F26,2))</f>
        <v>0</v>
      </c>
      <c r="I26" s="17" t="s">
        <v>1829</v>
      </c>
    </row>
    <row r="27" customFormat="false" ht="15" hidden="false" customHeight="true" outlineLevel="0" collapsed="false">
      <c r="A27" s="15" t="str">
        <f aca="false">Avoirs!A29</f>
        <v>Portefeuille BB Réserve</v>
      </c>
      <c r="B27" s="56" t="s">
        <v>97</v>
      </c>
      <c r="C27" s="129" t="n">
        <f aca="false">IF(COUNTIFS(OPcompte,$A27,OPdevise,$B27,OPcatégorie,Solde)&gt;=2,_xlfn.MINIFS(OPdate,OPcompte,$A27,OPdevise,$B27,OPcatégorie,Solde),0)</f>
        <v>45515</v>
      </c>
      <c r="D27" s="129" t="n">
        <f aca="false">_xlfn.MAXIFS(OPdate,OPcompte,$A27,OPdevise,$B27,OPcatégorie,Solde)</f>
        <v>46057</v>
      </c>
      <c r="E27" s="17" t="n">
        <f aca="false">IF($C27=0,0,_xlfn.XLOOKUP(1,(OPcompte=$A27)*(OPdevise=$B27)*(OPcatégorie=Solde)*(OPdate=$C27),OPmontant,0,0,1))</f>
        <v>0</v>
      </c>
      <c r="F27" s="17" t="n">
        <f aca="false">$E27+SUMIFS(OPmontant,OPcompte,$A27,OPdevise,$B27,OPdate,"&gt;"&amp;$C27,OPdate,"&lt;="&amp;$D27,OPcatégorie,"&lt;&gt;Solde",OPcatégorie,"&lt;&gt;"&amp;Spéciale)</f>
        <v>367.62</v>
      </c>
      <c r="G27" s="17" t="n">
        <f aca="false">_xlfn.XLOOKUP(1,(OPcompte=$A27)*(OPdevise=$B27)*(OPcatégorie=Solde)*(OPdate=$D27),OPmontant,0,0,-1)</f>
        <v>367.62</v>
      </c>
      <c r="H27" s="17" t="n">
        <f aca="false">IF(ABS($G27-$F27)&lt;0.015,0,ROUND($G27-$F27,2))</f>
        <v>0</v>
      </c>
      <c r="I27" s="17" t="s">
        <v>1829</v>
      </c>
    </row>
    <row r="28" customFormat="false" ht="15" hidden="false" customHeight="true" outlineLevel="0" collapsed="false">
      <c r="A28" s="15" t="str">
        <f aca="false">Avoirs!A31</f>
        <v>Compte Wise USD</v>
      </c>
      <c r="B28" s="56" t="s">
        <v>103</v>
      </c>
      <c r="C28" s="129" t="n">
        <f aca="false">IF(COUNTIFS(OPcompte,$A28,OPdevise,$B28,OPcatégorie,Solde)&gt;=2,_xlfn.MINIFS(OPdate,OPcompte,$A28,OPdevise,$B28,OPcatégorie,Solde),0)</f>
        <v>45652</v>
      </c>
      <c r="D28" s="129" t="n">
        <f aca="false">_xlfn.MAXIFS(OPdate,OPcompte,$A28,OPdevise,$B28,OPcatégorie,Solde)</f>
        <v>46071</v>
      </c>
      <c r="E28" s="167" t="n">
        <f aca="false">IF($C28=0,0,_xlfn.XLOOKUP(1,(OPcompte=$A28)*(OPdevise=$B28)*(OPcatégorie=Solde)*(OPdate=$C28),OPmontant,0,0,1))</f>
        <v>0</v>
      </c>
      <c r="F28" s="167" t="n">
        <f aca="false">$E28+SUMIFS(OPmontant,OPcompte,$A28,OPdevise,$B28,OPdate,"&gt;"&amp;$C28,OPdate,"&lt;="&amp;$D28,OPcatégorie,"&lt;&gt;Solde",OPcatégorie,"&lt;&gt;"&amp;Spéciale)</f>
        <v>4883.39</v>
      </c>
      <c r="G28" s="167" t="n">
        <f aca="false">_xlfn.XLOOKUP(1,(OPcompte=$A28)*(OPdevise=$B28)*(OPcatégorie=Solde)*(OPdate=$D28),OPmontant,0,0,-1)</f>
        <v>4883.39</v>
      </c>
      <c r="H28" s="167" t="n">
        <f aca="false">IF(ABS($G28-$F28)&lt;0.015,0,ROUND($G28-$F28,2))</f>
        <v>0</v>
      </c>
      <c r="I28" s="17" t="s">
        <v>1829</v>
      </c>
    </row>
    <row r="29" customFormat="false" ht="15" hidden="false" customHeight="true" outlineLevel="0" collapsed="false">
      <c r="A29" s="15" t="str">
        <f aca="false">Avoirs!A32</f>
        <v>Compte Wise USD Intérêts</v>
      </c>
      <c r="B29" s="56" t="s">
        <v>103</v>
      </c>
      <c r="C29" s="129" t="n">
        <f aca="false">IF(COUNTIFS(OPcompte,$A29,OPdevise,$B29,OPcatégorie,Solde)&gt;=2,_xlfn.MINIFS(OPdate,OPcompte,$A29,OPdevise,$B29,OPcatégorie,Solde),0)</f>
        <v>45657</v>
      </c>
      <c r="D29" s="129" t="n">
        <f aca="false">_xlfn.MAXIFS(OPdate,OPcompte,$A29,OPdevise,$B29,OPcatégorie,Solde)</f>
        <v>46023</v>
      </c>
      <c r="E29" s="167" t="n">
        <f aca="false">IF($C29=0,0,_xlfn.XLOOKUP(1,(OPcompte=$A29)*(OPdevise=$B29)*(OPcatégorie=Solde)*(OPdate=$C29),OPmontant,0,0,1))</f>
        <v>0.18</v>
      </c>
      <c r="F29" s="167" t="n">
        <f aca="false">$E29+SUMIFS(OPmontant,OPcompte,$A29,OPdevise,$B29,OPdate,"&gt;"&amp;$C29,OPdate,"&lt;="&amp;$D29,OPcatégorie,"&lt;&gt;Solde",OPcatégorie,"&lt;&gt;"&amp;Spéciale)</f>
        <v>273.54</v>
      </c>
      <c r="G29" s="167" t="n">
        <f aca="false">_xlfn.XLOOKUP(1,(OPcompte=$A29)*(OPdevise=$B29)*(OPcatégorie=Solde)*(OPdate=$D29),OPmontant,0,0,-1)</f>
        <v>273.54</v>
      </c>
      <c r="H29" s="167" t="n">
        <f aca="false">IF(ABS($G29-$F29)&lt;0.015,0,ROUND($G29-$F29,2))</f>
        <v>0</v>
      </c>
      <c r="I29" s="17" t="s">
        <v>1829</v>
      </c>
    </row>
    <row r="30" customFormat="false" ht="15" hidden="false" customHeight="true" outlineLevel="0" collapsed="false">
      <c r="A30" s="15" t="str">
        <f aca="false">Avoirs!A33</f>
        <v>Compte Wise SGD</v>
      </c>
      <c r="B30" s="56" t="s">
        <v>128</v>
      </c>
      <c r="C30" s="129" t="n">
        <f aca="false">IF(COUNTIFS(OPcompte,$A30,OPdevise,$B30,OPcatégorie,Solde)&gt;=2,_xlfn.MINIFS(OPdate,OPcompte,$A30,OPdevise,$B30,OPcatégorie,Solde),0)</f>
        <v>45630</v>
      </c>
      <c r="D30" s="129" t="n">
        <f aca="false">_xlfn.MAXIFS(OPdate,OPcompte,$A30,OPdevise,$B30,OPcatégorie,Solde)</f>
        <v>45735</v>
      </c>
      <c r="E30" s="168" t="n">
        <f aca="false">IF($C30=0,0,_xlfn.XLOOKUP(1,(OPcompte=$A30)*(OPdevise=$B30)*(OPcatégorie=Solde)*(OPdate=$C30),OPmontant,0,0,1))</f>
        <v>0</v>
      </c>
      <c r="F30" s="168" t="n">
        <f aca="false">$E30+SUMIFS(OPmontant,OPcompte,$A30,OPdevise,$B30,OPdate,"&gt;"&amp;$C30,OPdate,"&lt;="&amp;$D30,OPcatégorie,"&lt;&gt;Solde",OPcatégorie,"&lt;&gt;"&amp;Spéciale)</f>
        <v>1696.63</v>
      </c>
      <c r="G30" s="168" t="n">
        <f aca="false">_xlfn.XLOOKUP(1,(OPcompte=$A30)*(OPdevise=$B30)*(OPcatégorie=Solde)*(OPdate=$D30),OPmontant,0,0,-1)</f>
        <v>1696.63</v>
      </c>
      <c r="H30" s="168" t="n">
        <f aca="false">IF(ABS($G30-$F30)&lt;0.015,0,ROUND($G30-$F30,2))</f>
        <v>0</v>
      </c>
      <c r="I30" s="17" t="s">
        <v>1829</v>
      </c>
    </row>
    <row r="31" customFormat="false" ht="15" hidden="false" customHeight="true" outlineLevel="0" collapsed="false">
      <c r="A31" s="15" t="str">
        <f aca="false">Avoirs!A34</f>
        <v>Compte Wise SEK</v>
      </c>
      <c r="B31" s="56" t="s">
        <v>130</v>
      </c>
      <c r="C31" s="129" t="n">
        <f aca="false">IF(COUNTIFS(OPcompte,$A31,OPdevise,$B31,OPcatégorie,Solde)&gt;=2,_xlfn.MINIFS(OPdate,OPcompte,$A31,OPdevise,$B31,OPcatégorie,Solde),0)</f>
        <v>45955</v>
      </c>
      <c r="D31" s="129" t="n">
        <f aca="false">_xlfn.MAXIFS(OPdate,OPcompte,$A31,OPdevise,$B31,OPcatégorie,Solde)</f>
        <v>45956</v>
      </c>
      <c r="E31" s="169" t="n">
        <f aca="false">IF($C31=0,0,_xlfn.XLOOKUP(1,(OPcompte=$A31)*(OPdevise=$B31)*(OPcatégorie=Solde)*(OPdate=$C31),OPmontant,0,0,1))</f>
        <v>0</v>
      </c>
      <c r="F31" s="169" t="n">
        <f aca="false">$E31+SUMIFS(OPmontant,OPcompte,$A31,OPdevise,$B31,OPdate,"&gt;"&amp;$C31,OPdate,"&lt;="&amp;$D31,OPcatégorie,"&lt;&gt;Solde",OPcatégorie,"&lt;&gt;"&amp;Spéciale)</f>
        <v>2179.79</v>
      </c>
      <c r="G31" s="169" t="n">
        <f aca="false">_xlfn.XLOOKUP(1,(OPcompte=$A31)*(OPdevise=$B31)*(OPcatégorie=Solde)*(OPdate=$D31),OPmontant,0,0,-1)</f>
        <v>2179.79</v>
      </c>
      <c r="H31" s="169" t="n">
        <f aca="false">IF(ABS($G31-$F31)&lt;0.015,0,ROUND($G31-$F31,2))</f>
        <v>0</v>
      </c>
      <c r="I31" s="17" t="s">
        <v>1829</v>
      </c>
    </row>
    <row r="32" customFormat="false" ht="15" hidden="false" customHeight="true" outlineLevel="0" collapsed="false">
      <c r="A32" s="15" t="str">
        <f aca="false">Avoirs!A35</f>
        <v>Portefeuille eToro USD Réserve</v>
      </c>
      <c r="B32" s="56" t="s">
        <v>103</v>
      </c>
      <c r="C32" s="129" t="n">
        <f aca="false">IF(COUNTIFS(OPcompte,$A32,OPdevise,$B32,OPcatégorie,Solde)&gt;=2,_xlfn.MINIFS(OPdate,OPcompte,$A32,OPdevise,$B32,OPcatégorie,Solde),0)</f>
        <v>45621</v>
      </c>
      <c r="D32" s="129" t="n">
        <f aca="false">_xlfn.MAXIFS(OPdate,OPcompte,$A32,OPdevise,$B32,OPcatégorie,Solde)</f>
        <v>46050</v>
      </c>
      <c r="E32" s="167" t="n">
        <f aca="false">IF($C32=0,0,_xlfn.XLOOKUP(1,(OPcompte=$A32)*(OPdevise=$B32)*(OPcatégorie=Solde)*(OPdate=$C32),OPmontant,0,0,1))</f>
        <v>0</v>
      </c>
      <c r="F32" s="167" t="n">
        <f aca="false">$E32+SUMIFS(OPmontant,OPcompte,$A32,OPdevise,$B32,OPdate,"&gt;"&amp;$C32,OPdate,"&lt;="&amp;$D32,OPcatégorie,"&lt;&gt;Solde",OPcatégorie,"&lt;&gt;"&amp;Spéciale)</f>
        <v>67.53</v>
      </c>
      <c r="G32" s="167" t="n">
        <f aca="false">_xlfn.XLOOKUP(1,(OPcompte=$A32)*(OPdevise=$B32)*(OPcatégorie=Solde)*(OPdate=$D32),OPmontant,0,0,-1)</f>
        <v>67.53</v>
      </c>
      <c r="H32" s="167" t="n">
        <f aca="false">IF(ABS($G32-$F32)&lt;0.015,0,ROUND($G32-$F32,2))</f>
        <v>0</v>
      </c>
      <c r="I32" s="17" t="s">
        <v>1829</v>
      </c>
    </row>
    <row r="33" customFormat="false" ht="15" hidden="false" customHeight="true" outlineLevel="0" collapsed="false">
      <c r="A33" s="15" t="str">
        <f aca="false">Avoirs!A36</f>
        <v>Créance prêt familial</v>
      </c>
      <c r="B33" s="56" t="s">
        <v>97</v>
      </c>
      <c r="C33" s="129" t="n">
        <f aca="false">IF(COUNTIFS(OPcompte,$A33,OPdevise,$B33,OPcatégorie,Solde)&gt;=2,_xlfn.MINIFS(OPdate,OPcompte,$A33,OPdevise,$B33,OPcatégorie,Solde),0)</f>
        <v>45657</v>
      </c>
      <c r="D33" s="129" t="n">
        <f aca="false">_xlfn.MAXIFS(OPdate,OPcompte,$A33,OPdevise,$B33,OPcatégorie,Solde)</f>
        <v>46058</v>
      </c>
      <c r="E33" s="17" t="n">
        <f aca="false">IF($C33=0,0,_xlfn.XLOOKUP(1,(OPcompte=$A33)*(OPdevise=$B33)*(OPcatégorie=Solde)*(OPdate=$C33),OPmontant,0,0,1))</f>
        <v>22593</v>
      </c>
      <c r="F33" s="17" t="n">
        <f aca="false">$E33+SUMIFS(OPmontant,OPcompte,$A33,OPdevise,$B33,OPdate,"&gt;"&amp;$C33,OPdate,"&lt;="&amp;$D33,OPcatégorie,"&lt;&gt;Solde",OPcatégorie,"&lt;&gt;"&amp;Spéciale)</f>
        <v>21193.42</v>
      </c>
      <c r="G33" s="17" t="n">
        <f aca="false">_xlfn.XLOOKUP(1,(OPcompte=$A33)*(OPdevise=$B33)*(OPcatégorie=Solde)*(OPdate=$D33),OPmontant,0,0,-1)</f>
        <v>21193.42</v>
      </c>
      <c r="H33" s="17" t="n">
        <f aca="false">IF(ABS($G33-$F33)&lt;0.015,0,ROUND($G33-$F33,2))</f>
        <v>0</v>
      </c>
      <c r="I33" s="17" t="s">
        <v>1829</v>
      </c>
    </row>
    <row r="34" customFormat="false" ht="15" hidden="false" customHeight="true" outlineLevel="0" collapsed="false">
      <c r="A34" s="15" t="str">
        <f aca="false">Avoirs!A37</f>
        <v>Créance 3 prêt familial</v>
      </c>
      <c r="B34" s="56" t="s">
        <v>97</v>
      </c>
      <c r="C34" s="129" t="n">
        <f aca="false">IF(COUNTIFS(OPcompte,$A34,OPdevise,$B34,OPcatégorie,Solde)&gt;=2,_xlfn.MINIFS(OPdate,OPcompte,$A34,OPdevise,$B34,OPcatégorie,Solde),0)</f>
        <v>45657</v>
      </c>
      <c r="D34" s="129" t="n">
        <f aca="false">_xlfn.MAXIFS(OPdate,OPcompte,$A34,OPdevise,$B34,OPcatégorie,Solde)</f>
        <v>46057</v>
      </c>
      <c r="E34" s="17" t="n">
        <f aca="false">IF($C34=0,0,_xlfn.XLOOKUP(1,(OPcompte=$A34)*(OPdevise=$B34)*(OPcatégorie=Solde)*(OPdate=$C34),OPmontant,0,0,1))</f>
        <v>9300</v>
      </c>
      <c r="F34" s="17" t="n">
        <f aca="false">$E34+SUMIFS(OPmontant,OPcompte,$A34,OPdevise,$B34,OPdate,"&gt;"&amp;$C34,OPdate,"&lt;="&amp;$D34,OPcatégorie,"&lt;&gt;Solde",OPcatégorie,"&lt;&gt;"&amp;Spéciale)</f>
        <v>7900.42</v>
      </c>
      <c r="G34" s="17" t="n">
        <f aca="false">_xlfn.XLOOKUP(1,(OPcompte=$A34)*(OPdevise=$B34)*(OPcatégorie=Solde)*(OPdate=$D34),OPmontant,0,0,-1)</f>
        <v>7900.42</v>
      </c>
      <c r="H34" s="17" t="n">
        <f aca="false">IF(ABS($G34-$F34)&lt;0.015,0,ROUND($G34-$F34,2))</f>
        <v>0</v>
      </c>
      <c r="I34" s="17" t="s">
        <v>1829</v>
      </c>
    </row>
    <row r="35" customFormat="false" ht="15" hidden="false" customHeight="true" outlineLevel="0" collapsed="false">
      <c r="A35" s="15" t="str">
        <f aca="false">Avoirs!A38</f>
        <v>Créance 4 prêt Zoe</v>
      </c>
      <c r="B35" s="56" t="s">
        <v>97</v>
      </c>
      <c r="C35" s="129" t="n">
        <f aca="false">IF(COUNTIFS(OPcompte,$A35,OPdevise,$B35,OPcatégorie,Solde)&gt;=2,_xlfn.MINIFS(OPdate,OPcompte,$A35,OPdevise,$B35,OPcatégorie,Solde),0)</f>
        <v>45721</v>
      </c>
      <c r="D35" s="129" t="n">
        <f aca="false">_xlfn.MAXIFS(OPdate,OPcompte,$A35,OPdevise,$B35,OPcatégorie,Solde)</f>
        <v>45988</v>
      </c>
      <c r="E35" s="17" t="n">
        <f aca="false">IF($C35=0,0,_xlfn.XLOOKUP(1,(OPcompte=$A35)*(OPdevise=$B35)*(OPcatégorie=Solde)*(OPdate=$C35),OPmontant,0,0,1))</f>
        <v>10000</v>
      </c>
      <c r="F35" s="17" t="n">
        <f aca="false">$E35+SUMIFS(OPmontant,OPcompte,$A35,OPdevise,$B35,OPdate,"&gt;"&amp;$C35,OPdate,"&lt;="&amp;$D35,OPcatégorie,"&lt;&gt;Solde",OPcatégorie,"&lt;&gt;"&amp;Spéciale)</f>
        <v>0</v>
      </c>
      <c r="G35" s="17" t="n">
        <f aca="false">_xlfn.XLOOKUP(1,(OPcompte=$A35)*(OPdevise=$B35)*(OPcatégorie=Solde)*(OPdate=$D35),OPmontant,0,0,-1)</f>
        <v>0</v>
      </c>
      <c r="H35" s="17" t="n">
        <f aca="false">IF(ABS($G35-$F35)&lt;0.015,0,ROUND($G35-$F35,2))</f>
        <v>0</v>
      </c>
      <c r="I35" s="17" t="s">
        <v>1829</v>
      </c>
    </row>
    <row r="36" customFormat="false" ht="15" hidden="false" customHeight="true" outlineLevel="0" collapsed="false">
      <c r="A36" s="15" t="str">
        <f aca="false">Avoirs!A39</f>
        <v>Relai BTC</v>
      </c>
      <c r="B36" s="56" t="s">
        <v>136</v>
      </c>
      <c r="C36" s="129" t="n">
        <f aca="false">IF(COUNTIFS(OPcompte,$A36,OPdevise,$B36,OPcatégorie,Solde)&gt;=2,_xlfn.MINIFS(OPdate,OPcompte,$A36,OPdevise,$B36,OPcatégorie,Solde),0)</f>
        <v>44914</v>
      </c>
      <c r="D36" s="129" t="n">
        <f aca="false">_xlfn.MAXIFS(OPdate,OPcompte,$A36,OPdevise,$B36,OPcatégorie,Solde)</f>
        <v>45539</v>
      </c>
      <c r="E36" s="170" t="n">
        <f aca="false">IF($C36=0,0,_xlfn.XLOOKUP(1,(OPcompte=$A36)*(OPdevise=$B36)*(OPcatégorie=Solde)*(OPdate=$C36),OPmontant,0,0,1))</f>
        <v>0</v>
      </c>
      <c r="F36" s="170" t="n">
        <f aca="false">$E36+SUMIFS(OPmontant,OPcompte,$A36,OPdevise,$B36,OPdate,"&gt;"&amp;$C36,OPdate,"&lt;="&amp;$D36,OPcatégorie,"&lt;&gt;Solde",OPcatégorie,"&lt;&gt;"&amp;Spéciale)</f>
        <v>1629960.72</v>
      </c>
      <c r="G36" s="170" t="n">
        <f aca="false">_xlfn.XLOOKUP(1,(OPcompte=$A36)*(OPdevise=$B36)*(OPcatégorie=Solde)*(OPdate=$D36),OPmontant,0,0,-1)</f>
        <v>1629960.72</v>
      </c>
      <c r="H36" s="170" t="n">
        <f aca="false">IF(ABS($G36-$F36)&lt;0.015,0,ROUND($G36-$F36,2))</f>
        <v>0</v>
      </c>
      <c r="I36" s="17" t="s">
        <v>1829</v>
      </c>
    </row>
    <row r="37" customFormat="false" ht="15" hidden="false" customHeight="true" outlineLevel="0" collapsed="false">
      <c r="A37" s="15" t="str">
        <f aca="false">Avoirs!A40</f>
        <v>BlueWallet BTC</v>
      </c>
      <c r="B37" s="56" t="s">
        <v>136</v>
      </c>
      <c r="C37" s="129" t="n">
        <f aca="false">IF(COUNTIFS(OPcompte,$A37,OPdevise,$B37,OPcatégorie,Solde)&gt;=2,_xlfn.MINIFS(OPdate,OPcompte,$A37,OPdevise,$B37,OPcatégorie,Solde),0)</f>
        <v>44927</v>
      </c>
      <c r="D37" s="129" t="n">
        <f aca="false">_xlfn.MAXIFS(OPdate,OPcompte,$A37,OPdevise,$B37,OPcatégorie,Solde)</f>
        <v>45292</v>
      </c>
      <c r="E37" s="170" t="n">
        <f aca="false">IF($C37=0,0,_xlfn.XLOOKUP(1,(OPcompte=$A37)*(OPdevise=$B37)*(OPcatégorie=Solde)*(OPdate=$C37),OPmontant,0,0,1))</f>
        <v>0</v>
      </c>
      <c r="F37" s="170" t="n">
        <f aca="false">$E37+SUMIFS(OPmontant,OPcompte,$A37,OPdevise,$B37,OPdate,"&gt;"&amp;$C37,OPdate,"&lt;="&amp;$D37,OPcatégorie,"&lt;&gt;Solde",OPcatégorie,"&lt;&gt;"&amp;Spéciale)</f>
        <v>5679.97000000001</v>
      </c>
      <c r="G37" s="170" t="n">
        <f aca="false">_xlfn.XLOOKUP(1,(OPcompte=$A37)*(OPdevise=$B37)*(OPcatégorie=Solde)*(OPdate=$D37),OPmontant,0,0,-1)</f>
        <v>5679.97</v>
      </c>
      <c r="H37" s="170" t="n">
        <f aca="false">IF(ABS($G37-$F37)&lt;0.015,0,ROUND($G37-$F37,2))</f>
        <v>0</v>
      </c>
      <c r="I37" s="17" t="s">
        <v>1829</v>
      </c>
    </row>
    <row r="38" customFormat="false" ht="15" hidden="false" customHeight="true" outlineLevel="0" collapsed="false">
      <c r="A38" s="15" t="str">
        <f aca="false">Avoirs!A41</f>
        <v>Sparrow BTC</v>
      </c>
      <c r="B38" s="56" t="s">
        <v>136</v>
      </c>
      <c r="C38" s="129" t="n">
        <f aca="false">IF(COUNTIFS(OPcompte,$A38,OPdevise,$B38,OPcatégorie,Solde)&gt;=2,_xlfn.MINIFS(OPdate,OPcompte,$A38,OPdevise,$B38,OPcatégorie,Solde),0)</f>
        <v>44927</v>
      </c>
      <c r="D38" s="129" t="n">
        <f aca="false">_xlfn.MAXIFS(OPdate,OPcompte,$A38,OPdevise,$B38,OPcatégorie,Solde)</f>
        <v>45538</v>
      </c>
      <c r="E38" s="170" t="n">
        <f aca="false">IF($C38=0,0,_xlfn.XLOOKUP(1,(OPcompte=$A38)*(OPdevise=$B38)*(OPcatégorie=Solde)*(OPdate=$C38),OPmontant,0,0,1))</f>
        <v>0</v>
      </c>
      <c r="F38" s="170" t="n">
        <f aca="false">$E38+SUMIFS(OPmontant,OPcompte,$A38,OPdevise,$B38,OPdate,"&gt;"&amp;$C38,OPdate,"&lt;="&amp;$D38,OPcatégorie,"&lt;&gt;Solde",OPcatégorie,"&lt;&gt;"&amp;Spéciale)</f>
        <v>6129627.35</v>
      </c>
      <c r="G38" s="170" t="n">
        <f aca="false">_xlfn.XLOOKUP(1,(OPcompte=$A38)*(OPdevise=$B38)*(OPcatégorie=Solde)*(OPdate=$D38),OPmontant,0,0,-1)</f>
        <v>6129627.35</v>
      </c>
      <c r="H38" s="170" t="n">
        <f aca="false">IF(ABS($G38-$F38)&lt;0.015,0,ROUND($G38-$F38,2))</f>
        <v>0</v>
      </c>
      <c r="I38" s="17" t="s">
        <v>1829</v>
      </c>
    </row>
    <row r="39" customFormat="false" ht="15" hidden="false" customHeight="true" outlineLevel="0" collapsed="false">
      <c r="A39" s="15" t="str">
        <f aca="false">Avoirs!A42</f>
        <v>Phoenix Lightning BTC</v>
      </c>
      <c r="B39" s="56" t="s">
        <v>136</v>
      </c>
      <c r="C39" s="129" t="n">
        <f aca="false">IF(COUNTIFS(OPcompte,$A39,OPdevise,$B39,OPcatégorie,Solde)&gt;=2,_xlfn.MINIFS(OPdate,OPcompte,$A39,OPdevise,$B39,OPcatégorie,Solde),0)</f>
        <v>44927</v>
      </c>
      <c r="D39" s="129" t="n">
        <f aca="false">_xlfn.MAXIFS(OPdate,OPcompte,$A39,OPdevise,$B39,OPcatégorie,Solde)</f>
        <v>45292</v>
      </c>
      <c r="E39" s="170" t="n">
        <f aca="false">IF($C39=0,0,_xlfn.XLOOKUP(1,(OPcompte=$A39)*(OPdevise=$B39)*(OPcatégorie=Solde)*(OPdate=$C39),OPmontant,0,0,1))</f>
        <v>0</v>
      </c>
      <c r="F39" s="170" t="n">
        <f aca="false">$E39+SUMIFS(OPmontant,OPcompte,$A39,OPdevise,$B39,OPdate,"&gt;"&amp;$C39,OPdate,"&lt;="&amp;$D39,OPcatégorie,"&lt;&gt;Solde",OPcatégorie,"&lt;&gt;"&amp;Spéciale)</f>
        <v>49005.19</v>
      </c>
      <c r="G39" s="170" t="n">
        <f aca="false">_xlfn.XLOOKUP(1,(OPcompte=$A39)*(OPdevise=$B39)*(OPcatégorie=Solde)*(OPdate=$D39),OPmontant,0,0,-1)</f>
        <v>49005.19</v>
      </c>
      <c r="H39" s="170" t="n">
        <f aca="false">IF(ABS($G39-$F39)&lt;0.015,0,ROUND($G39-$F39,2))</f>
        <v>0</v>
      </c>
      <c r="I39" s="17" t="s">
        <v>1829</v>
      </c>
    </row>
    <row r="40" customFormat="false" ht="15" hidden="false" customHeight="true" outlineLevel="0" collapsed="false">
      <c r="A40" s="15" t="str">
        <f aca="false">Avoirs!A43</f>
        <v>Cake Wallet XMR</v>
      </c>
      <c r="B40" s="56" t="s">
        <v>141</v>
      </c>
      <c r="C40" s="129" t="n">
        <f aca="false">IF(COUNTIFS(OPcompte,$A40,OPdevise,$B40,OPcatégorie,Solde)&gt;=2,_xlfn.MINIFS(OPdate,OPcompte,$A40,OPdevise,$B40,OPcatégorie,Solde),0)</f>
        <v>44927</v>
      </c>
      <c r="D40" s="129" t="n">
        <f aca="false">_xlfn.MAXIFS(OPdate,OPcompte,$A40,OPdevise,$B40,OPcatégorie,Solde)</f>
        <v>45830</v>
      </c>
      <c r="E40" s="171" t="n">
        <f aca="false">IF($C40=0,0,_xlfn.XLOOKUP(1,(OPcompte=$A40)*(OPdevise=$B40)*(OPcatégorie=Solde)*(OPdate=$C40),OPmontant,0,0,1))</f>
        <v>0</v>
      </c>
      <c r="F40" s="171" t="n">
        <f aca="false">$E40+SUMIFS(OPmontant,OPcompte,$A40,OPdevise,$B40,OPdate,"&gt;"&amp;$C40,OPdate,"&lt;="&amp;$D40,OPcatégorie,"&lt;&gt;Solde",OPcatégorie,"&lt;&gt;"&amp;Spéciale)</f>
        <v>16.38747</v>
      </c>
      <c r="G40" s="171" t="n">
        <f aca="false">_xlfn.XLOOKUP(1,(OPcompte=$A40)*(OPdevise=$B40)*(OPcatégorie=Solde)*(OPdate=$D40),OPmontant,0,0,-1)</f>
        <v>16.38747</v>
      </c>
      <c r="H40" s="171" t="n">
        <f aca="false">IF(ABS($G40-$F40)&lt;0.015,0,ROUND($G40-$F40,2))</f>
        <v>0</v>
      </c>
      <c r="I40" s="17" t="s">
        <v>1829</v>
      </c>
    </row>
    <row r="41" customFormat="false" ht="15" hidden="false" customHeight="true" outlineLevel="0" collapsed="false">
      <c r="A41" s="15" t="str">
        <f aca="false">Avoirs!A44</f>
        <v>Julien XMR</v>
      </c>
      <c r="B41" s="56" t="s">
        <v>141</v>
      </c>
      <c r="C41" s="129" t="n">
        <f aca="false">IF(COUNTIFS(OPcompte,$A41,OPdevise,$B41,OPcatégorie,Solde)&gt;=2,_xlfn.MINIFS(OPdate,OPcompte,$A41,OPdevise,$B41,OPcatégorie,Solde),0)</f>
        <v>45826</v>
      </c>
      <c r="D41" s="129" t="n">
        <f aca="false">_xlfn.MAXIFS(OPdate,OPcompte,$A41,OPdevise,$B41,OPcatégorie,Solde)</f>
        <v>46063</v>
      </c>
      <c r="E41" s="171" t="n">
        <f aca="false">IF($C41=0,0,_xlfn.XLOOKUP(1,(OPcompte=$A41)*(OPdevise=$B41)*(OPcatégorie=Solde)*(OPdate=$C41),OPmontant,0,0,1))</f>
        <v>0</v>
      </c>
      <c r="F41" s="171" t="n">
        <f aca="false">$E41+SUMIFS(OPmontant,OPcompte,$A41,OPdevise,$B41,OPdate,"&gt;"&amp;$C41,OPdate,"&lt;="&amp;$D41,OPcatégorie,"&lt;&gt;Solde",OPcatégorie,"&lt;&gt;"&amp;Spéciale)</f>
        <v>2.92573</v>
      </c>
      <c r="G41" s="171" t="n">
        <f aca="false">_xlfn.XLOOKUP(1,(OPcompte=$A41)*(OPdevise=$B41)*(OPcatégorie=Solde)*(OPdate=$D41),OPmontant,0,0,-1)</f>
        <v>2.92573</v>
      </c>
      <c r="H41" s="171" t="n">
        <f aca="false">IF(ABS($G41-$F41)&lt;0.015,0,ROUND($G41-$F41,2))</f>
        <v>0</v>
      </c>
      <c r="I41" s="17" t="s">
        <v>1829</v>
      </c>
    </row>
    <row r="42" customFormat="false" ht="15" hidden="false" customHeight="true" outlineLevel="0" collapsed="false">
      <c r="A42" s="15" t="str">
        <f aca="false">Avoirs!A45</f>
        <v>Compte Kraken BTC</v>
      </c>
      <c r="B42" s="56" t="s">
        <v>136</v>
      </c>
      <c r="C42" s="129" t="n">
        <f aca="false">IF(COUNTIFS(OPcompte,$A42,OPdevise,$B42,OPcatégorie,Solde)&gt;=2,_xlfn.MINIFS(OPdate,OPcompte,$A42,OPdevise,$B42,OPcatégorie,Solde),0)</f>
        <v>45923</v>
      </c>
      <c r="D42" s="129" t="n">
        <f aca="false">_xlfn.MAXIFS(OPdate,OPcompte,$A42,OPdevise,$B42,OPcatégorie,Solde)</f>
        <v>45967</v>
      </c>
      <c r="E42" s="170" t="n">
        <f aca="false">IF($C42=0,0,_xlfn.XLOOKUP(1,(OPcompte=$A42)*(OPdevise=$B42)*(OPcatégorie=Solde)*(OPdate=$C42),OPmontant,0,0,1))</f>
        <v>10255.4</v>
      </c>
      <c r="F42" s="170" t="n">
        <f aca="false">$E42+SUMIFS(OPmontant,OPcompte,$A42,OPdevise,$B42,OPdate,"&gt;"&amp;$C42,OPdate,"&lt;="&amp;$D42,OPcatégorie,"&lt;&gt;Solde",OPcatégorie,"&lt;&gt;"&amp;Spéciale)</f>
        <v>858194.89</v>
      </c>
      <c r="G42" s="170" t="n">
        <f aca="false">_xlfn.XLOOKUP(1,(OPcompte=$A42)*(OPdevise=$B42)*(OPcatégorie=Solde)*(OPdate=$D42),OPmontant,0,0,-1)</f>
        <v>858194.89</v>
      </c>
      <c r="H42" s="170" t="n">
        <f aca="false">IF(ABS($G42-$F42)&lt;0.015,0,ROUND($G42-$F42,2))</f>
        <v>0</v>
      </c>
      <c r="I42" s="17" t="s">
        <v>1829</v>
      </c>
    </row>
    <row r="43" customFormat="false" ht="15" hidden="false" customHeight="true" outlineLevel="0" collapsed="false">
      <c r="A43" s="15" t="str">
        <f aca="false">Avoirs!A46</f>
        <v>Binance BTC</v>
      </c>
      <c r="B43" s="56" t="s">
        <v>136</v>
      </c>
      <c r="C43" s="129" t="n">
        <f aca="false">IF(COUNTIFS(OPcompte,$A43,OPdevise,$B43,OPcatégorie,Solde)&gt;=2,_xlfn.MINIFS(OPdate,OPcompte,$A43,OPdevise,$B43,OPcatégorie,Solde),0)</f>
        <v>45958</v>
      </c>
      <c r="D43" s="129" t="n">
        <f aca="false">_xlfn.MAXIFS(OPdate,OPcompte,$A43,OPdevise,$B43,OPcatégorie,Solde)</f>
        <v>45959</v>
      </c>
      <c r="E43" s="170" t="n">
        <f aca="false">IF($C43=0,0,_xlfn.XLOOKUP(1,(OPcompte=$A43)*(OPdevise=$B43)*(OPcatégorie=Solde)*(OPdate=$C43),OPmontant,0,0,1))</f>
        <v>0</v>
      </c>
      <c r="F43" s="170" t="n">
        <f aca="false">$E43+SUMIFS(OPmontant,OPcompte,$A43,OPdevise,$B43,OPdate,"&gt;"&amp;$C43,OPdate,"&lt;="&amp;$D43,OPcatégorie,"&lt;&gt;Solde",OPcatégorie,"&lt;&gt;"&amp;Spéciale)</f>
        <v>202182.39</v>
      </c>
      <c r="G43" s="170" t="n">
        <f aca="false">_xlfn.XLOOKUP(1,(OPcompte=$A43)*(OPdevise=$B43)*(OPcatégorie=Solde)*(OPdate=$D43),OPmontant,0,0,-1)</f>
        <v>202182.39</v>
      </c>
      <c r="H43" s="170" t="n">
        <f aca="false">IF(ABS($G43-$F43)&lt;0.015,0,ROUND($G43-$F43,2))</f>
        <v>0</v>
      </c>
      <c r="I43" s="17" t="s">
        <v>1829</v>
      </c>
    </row>
    <row r="44" customFormat="false" ht="16.5" hidden="false" customHeight="true" outlineLevel="0" collapsed="false">
      <c r="A44" s="172" t="s">
        <v>4</v>
      </c>
      <c r="B44" s="173"/>
      <c r="C44" s="173"/>
      <c r="D44" s="173"/>
      <c r="E44" s="173"/>
      <c r="F44" s="174"/>
      <c r="G44" s="175"/>
      <c r="H44" s="175"/>
      <c r="I44" s="173"/>
    </row>
    <row r="45" customFormat="false" ht="17.25" hidden="false" customHeight="true" outlineLevel="0" collapsed="false">
      <c r="A45" s="78"/>
      <c r="B45" s="80"/>
      <c r="C45" s="80"/>
      <c r="D45" s="80"/>
      <c r="E45" s="80"/>
      <c r="F45" s="176"/>
      <c r="G45" s="78"/>
      <c r="H45" s="78"/>
      <c r="I45" s="78"/>
    </row>
    <row r="47" customFormat="false" ht="18.75" hidden="false" customHeight="true" outlineLevel="0" collapsed="false">
      <c r="J47" s="96" t="s">
        <v>1830</v>
      </c>
      <c r="K47" s="96"/>
      <c r="L47" s="96"/>
      <c r="M47" s="96"/>
    </row>
    <row r="48" customFormat="false" ht="19.5" hidden="false" customHeight="true" outlineLevel="0" collapsed="false">
      <c r="J48" s="27" t="s">
        <v>1831</v>
      </c>
      <c r="K48" s="27" t="s">
        <v>1832</v>
      </c>
      <c r="L48" s="27" t="s">
        <v>1833</v>
      </c>
      <c r="M48" s="98" t="s">
        <v>97</v>
      </c>
    </row>
    <row r="49" customFormat="false" ht="16.5" hidden="false" customHeight="true" outlineLevel="0" collapsed="false">
      <c r="J49" s="15" t="s">
        <v>4</v>
      </c>
      <c r="K49" s="56"/>
      <c r="L49" s="177"/>
      <c r="M49" s="103"/>
    </row>
    <row r="50" customFormat="false" ht="16.5" hidden="false" customHeight="true" outlineLevel="0" collapsed="false">
      <c r="J50" s="33" t="s">
        <v>1834</v>
      </c>
      <c r="K50" s="178" t="str">
        <f aca="false">IF(L50=0,"✓","✗")</f>
        <v>✓</v>
      </c>
      <c r="L50" s="179" t="n">
        <f aca="false">COUNTIFS(CTRL1controle,"Oui")-COUNTIFS(CTRL1controle,"Oui",CTRL1ecart,0)</f>
        <v>0</v>
      </c>
      <c r="M50" s="180" t="n">
        <f aca="false">COUNTIFS(CTRL1devise,M$48,CTRL1controle,"Oui")-COUNTIFS(CTRL1devise,M$48,CTRL1controle,"Oui",CTRL1ecart,0)</f>
        <v>0</v>
      </c>
    </row>
    <row r="51" customFormat="false" ht="16.5" hidden="false" customHeight="true" outlineLevel="0" collapsed="false">
      <c r="J51" s="33" t="s">
        <v>68</v>
      </c>
      <c r="K51" s="178" t="str">
        <f aca="false">IF(L51&gt;0,"✗","✓")</f>
        <v>✓</v>
      </c>
      <c r="L51" s="181" t="n">
        <f aca="false">IF(L52&gt;0,1,0)+IF(L53&gt;0,1,0)+IF(ABS(L54)&gt;=1,1,0)</f>
        <v>0</v>
      </c>
      <c r="M51" s="180"/>
    </row>
    <row r="52" customFormat="false" ht="16.5" hidden="false" customHeight="true" outlineLevel="0" collapsed="false">
      <c r="J52" s="33" t="s">
        <v>1835</v>
      </c>
      <c r="K52" s="173"/>
      <c r="L52" s="181" t="n">
        <f aca="false">SUMPRODUCT(ISNUMBER(OPdate)*(OPcatégorie=""))</f>
        <v>0</v>
      </c>
      <c r="M52" s="180"/>
    </row>
    <row r="53" customFormat="false" ht="16.5" hidden="false" customHeight="true" outlineLevel="0" collapsed="false">
      <c r="J53" s="33" t="s">
        <v>1836</v>
      </c>
      <c r="K53" s="173"/>
      <c r="L53" s="181" t="n">
        <f aca="false">SUMPRODUCT((COUNTIF(CATnom,OPcatégorie)=0)*(OPcatégorie&lt;&gt;"")*(LEFT(OPcatégorie,1)&lt;&gt;"#"))</f>
        <v>0</v>
      </c>
      <c r="M53" s="180"/>
    </row>
    <row r="54" customFormat="false" ht="16.5" hidden="false" customHeight="true" outlineLevel="0" collapsed="false">
      <c r="J54" s="33" t="s">
        <v>1837</v>
      </c>
      <c r="K54" s="173"/>
      <c r="L54" s="182" t="n">
        <f aca="false">ABS(Budget!G$99)+ABS(Budget!I$100-Budget!G$100)+ABS(Budget!C$26)</f>
        <v>0</v>
      </c>
      <c r="M54" s="116" t="n">
        <f aca="false">ROUND(SUMPRODUCT(SUMIFS(OPmontant,OPdevise,M$48,OPcatégorie,CATnom,OPdate,"&gt;"&amp;Budget!$C$2-365))-SUMIFS(OPmontant,OPdevise,M$48,OPcatégorie,"&lt;&gt;"&amp;Spéciale,OPdate,"&gt;"&amp;Budget!$C$2-365),2)</f>
        <v>0</v>
      </c>
    </row>
    <row r="55" customFormat="false" ht="16.5" hidden="false" customHeight="true" outlineLevel="0" collapsed="false">
      <c r="J55" s="33" t="s">
        <v>72</v>
      </c>
      <c r="K55" s="178" t="str">
        <f aca="false">IF(L55&gt;0,"⚠","✓")</f>
        <v>✓</v>
      </c>
      <c r="L55" s="181" t="n">
        <f aca="false">SUM(L56:L58)</f>
        <v>0</v>
      </c>
      <c r="M55" s="180"/>
    </row>
    <row r="56" customFormat="false" ht="16.5" hidden="false" customHeight="true" outlineLevel="0" collapsed="false">
      <c r="J56" s="183" t="s">
        <v>1838</v>
      </c>
      <c r="K56" s="173"/>
      <c r="L56" s="181" t="n">
        <f aca="false">COUNTIF(OPdate,"&lt;"&amp;DATE(2020,1,1))+COUNTIF(OPdate,"&gt;"&amp;DATE(année_courante,12,31))</f>
        <v>0</v>
      </c>
      <c r="M56" s="180"/>
    </row>
    <row r="57" customFormat="false" ht="16.5" hidden="false" customHeight="true" outlineLevel="0" collapsed="false">
      <c r="J57" s="183" t="s">
        <v>1839</v>
      </c>
      <c r="K57" s="173"/>
      <c r="L57" s="181" t="n">
        <f aca="false">Patrimoine!D57</f>
        <v>0</v>
      </c>
      <c r="M57" s="180"/>
    </row>
    <row r="58" customFormat="false" ht="16.5" hidden="false" customHeight="true" outlineLevel="0" collapsed="false">
      <c r="J58" s="183" t="s">
        <v>1840</v>
      </c>
      <c r="K58" s="173"/>
      <c r="L58" s="181" t="n">
        <f aca="false">IF(Cotations!B34="⚠",1,0)</f>
        <v>0</v>
      </c>
      <c r="M58" s="180"/>
    </row>
    <row r="59" customFormat="false" ht="16.5" hidden="false" customHeight="true" outlineLevel="0" collapsed="false">
      <c r="J59" s="33" t="s">
        <v>1841</v>
      </c>
      <c r="K59" s="178" t="str">
        <f aca="false">IF(L59=0,"✓","⚠")</f>
        <v>⚠</v>
      </c>
      <c r="L59" s="179" t="n">
        <f aca="false">COUNTIFS(OPréf,"-")</f>
        <v>1</v>
      </c>
      <c r="M59" s="180" t="n">
        <f aca="false">COUNTIFS(OPréf,"-",OPdevise,M$48)</f>
        <v>0</v>
      </c>
    </row>
    <row r="60" customFormat="false" ht="16.5" hidden="false" customHeight="true" outlineLevel="0" collapsed="false">
      <c r="J60" s="172" t="s">
        <v>1842</v>
      </c>
      <c r="K60" s="178" t="str">
        <f aca="false">IF(L60=0,"✓","⚠")</f>
        <v>⚠</v>
      </c>
      <c r="L60" s="179" t="n">
        <f aca="false">3-COUNTIFS(L61:L63,0)</f>
        <v>1</v>
      </c>
      <c r="M60" s="180" t="n">
        <f aca="false">COUNTA($J61:$J63)-COUNTIFS(M61:M63,0)</f>
        <v>1</v>
      </c>
    </row>
    <row r="61" customFormat="false" ht="16.5" hidden="false" customHeight="true" outlineLevel="0" collapsed="false">
      <c r="J61" s="184" t="s">
        <v>1843</v>
      </c>
      <c r="K61" s="56"/>
      <c r="L61" s="182" t="n">
        <f aca="false">ROUND(SUMIFS(OPequiv_euro,OPcatégorie,"@Virement"),0)</f>
        <v>0</v>
      </c>
      <c r="M61" s="114" t="n">
        <f aca="false">SUMIFS(OPequiv_euro,OPdevise,M$48,OPcatégorie,"@Virement")</f>
        <v>0</v>
      </c>
    </row>
    <row r="62" customFormat="false" ht="16.5" hidden="false" customHeight="true" outlineLevel="0" collapsed="false">
      <c r="J62" s="184" t="s">
        <v>1844</v>
      </c>
      <c r="K62" s="56"/>
      <c r="L62" s="182" t="n">
        <f aca="false">ROUND(SUMIFS(OPequiv_euro,OPcatégorie,"*titres"),0)</f>
        <v>0</v>
      </c>
      <c r="M62" s="116" t="n">
        <f aca="false">SUMIFS(OPequiv_euro,OPdevise,M$48,OPcatégorie,"*titres")</f>
        <v>0</v>
      </c>
    </row>
    <row r="63" customFormat="false" ht="16.5" hidden="false" customHeight="true" outlineLevel="0" collapsed="false">
      <c r="J63" s="184" t="s">
        <v>1845</v>
      </c>
      <c r="K63" s="56"/>
      <c r="L63" s="182" t="n">
        <f aca="false">ROUND(SUMIFS(OPequiv_euro,OPcatégorie,"@Change") + SUMIFS(OPequiv_euro,OPcatégorie,"@Achat métaux"),0)</f>
        <v>53</v>
      </c>
      <c r="M63" s="116" t="n">
        <f aca="false">SUMIFS(OPequiv_euro,OPdevise,M$48,OPcatégorie,"@Change")+SUMIFS(OPequiv_euro,OPdevise,M$48,OPcatégorie,"@Achat métaux")</f>
        <v>-25147.67</v>
      </c>
    </row>
    <row r="64" customFormat="false" ht="16.5" hidden="false" customHeight="true" outlineLevel="0" collapsed="false">
      <c r="J64" s="185" t="s">
        <v>1846</v>
      </c>
      <c r="K64" s="56"/>
      <c r="L64" s="182" t="n">
        <f aca="false">L61+L62+L63</f>
        <v>53</v>
      </c>
      <c r="M64" s="116" t="n">
        <f aca="false">M61+M62+M63</f>
        <v>-25147.67</v>
      </c>
    </row>
    <row r="65" customFormat="false" ht="16.5" hidden="false" customHeight="true" outlineLevel="0" collapsed="false">
      <c r="J65" s="172" t="s">
        <v>1847</v>
      </c>
      <c r="K65" s="178" t="str">
        <f aca="false">IF(L65=0,"✓","✗")</f>
        <v>✓</v>
      </c>
      <c r="L65" s="179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65" s="180"/>
    </row>
    <row r="66" customFormat="false" ht="16.5" hidden="false" customHeight="true" outlineLevel="0" collapsed="false">
      <c r="J66" s="172" t="s">
        <v>1848</v>
      </c>
      <c r="K66" s="178" t="str">
        <f aca="false">IF(L66&gt;0,"✗","✓")</f>
        <v>✓</v>
      </c>
      <c r="L66" s="179" t="n">
        <f aca="false">SUM(L67:L68)</f>
        <v>0</v>
      </c>
      <c r="M66" s="180"/>
    </row>
    <row r="67" customFormat="false" ht="16.5" hidden="false" customHeight="true" outlineLevel="0" collapsed="false">
      <c r="J67" s="184" t="s">
        <v>1849</v>
      </c>
      <c r="K67" s="173"/>
      <c r="L67" s="179" t="n">
        <f aca="false">IF(Avoirs!L1="✗",1,0)</f>
        <v>0</v>
      </c>
      <c r="M67" s="180"/>
    </row>
    <row r="68" customFormat="false" ht="16.5" hidden="false" customHeight="true" outlineLevel="0" collapsed="false">
      <c r="J68" s="184" t="s">
        <v>1850</v>
      </c>
      <c r="K68" s="173"/>
      <c r="L68" s="179" t="n">
        <f aca="false">IF(Plus_value!B3="✗",1,0)</f>
        <v>0</v>
      </c>
      <c r="M68" s="180"/>
    </row>
    <row r="69" customFormat="false" ht="16.5" hidden="false" customHeight="true" outlineLevel="0" collapsed="false">
      <c r="J69" s="15" t="s">
        <v>4</v>
      </c>
      <c r="K69" s="56"/>
      <c r="L69" s="177"/>
      <c r="M69" s="103"/>
    </row>
    <row r="70" customFormat="false" ht="17.25" hidden="false" customHeight="true" outlineLevel="0" collapsed="false">
      <c r="J70" s="78" t="s">
        <v>1851</v>
      </c>
      <c r="K70" s="186" t="str">
        <f aca="false">IF(ISNUMBER(FIND("✗",IFERROR(K50,"⚠")&amp;IFERROR(K51,"⚠")&amp;IFERROR(K55,"⚠")&amp;IFERROR(K59,"⚠")&amp;IFERROR(K60,"⚠")&amp;IFERROR(K65,"⚠")&amp;IFERROR(K66,"⚠"))),"✗",IF(ISNUMBER(FIND("⚠",IFERROR(K50,"⚠")&amp;IFERROR(K51,"⚠")&amp;IFERROR(K55,"⚠")&amp;IFERROR(K59,"⚠")&amp;IFERROR(K60,"⚠")&amp;IFERROR(K65,"⚠")&amp;IFERROR(K66,"⚠"))),"⚠","✓"))</f>
        <v>⚠</v>
      </c>
      <c r="L70" s="187"/>
      <c r="M70" s="78"/>
    </row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47:M47"/>
  </mergeCells>
  <conditionalFormatting sqref="L51 L61:L64">
    <cfRule type="cellIs" priority="2" operator="notEqual" aboveAverage="0" equalAverage="0" bottom="0" percent="0" rank="0" text="" dxfId="0">
      <formula>0</formula>
    </cfRule>
  </conditionalFormatting>
  <conditionalFormatting sqref="L49:L50 L55:L60 L65:L69">
    <cfRule type="cellIs" priority="3" operator="notEqual" aboveAverage="0" equalAverage="0" bottom="0" percent="0" rank="0" text="" dxfId="0">
      <formula>0</formula>
    </cfRule>
  </conditionalFormatting>
  <conditionalFormatting sqref="K5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59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60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7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55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6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66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52">
    <cfRule type="cellIs" priority="22" operator="notEqual" aboveAverage="0" equalAverage="0" bottom="0" percent="0" rank="0" text="" dxfId="0">
      <formula>0</formula>
    </cfRule>
  </conditionalFormatting>
  <conditionalFormatting sqref="L53">
    <cfRule type="cellIs" priority="23" operator="notEqual" aboveAverage="0" equalAverage="0" bottom="0" percent="0" rank="0" text="" dxfId="0">
      <formula>0</formula>
    </cfRule>
  </conditionalFormatting>
  <conditionalFormatting sqref="L54">
    <cfRule type="cellIs" priority="24" operator="notEqual" aboveAverage="0" equalAverage="0" bottom="0" percent="0" rank="0" text="" dxfId="0">
      <formula>0</formula>
    </cfRule>
  </conditionalFormatting>
  <conditionalFormatting sqref="K51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4:M47" type="none">
      <formula1>0</formula1>
      <formula2>0</formula2>
    </dataValidation>
    <dataValidation allowBlank="true" errorStyle="stop" operator="equal" showDropDown="false" showErrorMessage="true" showInputMessage="false" sqref="M48" type="list">
      <formula1>Cotations!$E$4:$E$18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84" width="45.77"/>
    <col collapsed="false" customWidth="true" hidden="false" outlineLevel="0" max="3" min="2" style="84" width="9"/>
    <col collapsed="false" customWidth="true" hidden="false" outlineLevel="0" max="4" min="4" style="84" width="10.66"/>
    <col collapsed="false" customWidth="true" hidden="false" outlineLevel="0" max="5" min="5" style="107" width="9"/>
    <col collapsed="false" customWidth="true" hidden="false" outlineLevel="0" max="6" min="6" style="84" width="14.47"/>
    <col collapsed="false" customWidth="true" hidden="false" outlineLevel="0" max="7" min="7" style="84" width="13.44"/>
    <col collapsed="false" customWidth="true" hidden="false" outlineLevel="0" max="8" min="8" style="84" width="27.36"/>
    <col collapsed="false" customWidth="true" hidden="false" outlineLevel="0" max="9" min="9" style="45" width="9.83"/>
    <col collapsed="false" customWidth="true" hidden="false" outlineLevel="0" max="10" min="10" style="45" width="9.52"/>
    <col collapsed="false" customWidth="true" hidden="false" outlineLevel="0" max="11" min="11" style="45" width="3.5"/>
    <col collapsed="false" customWidth="true" hidden="false" outlineLevel="0" max="12" min="12" style="45" width="16.15"/>
    <col collapsed="false" customWidth="false" hidden="false" outlineLevel="0" max="16383" min="13" style="45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08" t="str">
        <f aca="false">Contrôles!$K$70</f>
        <v>⚠</v>
      </c>
      <c r="B1" s="97"/>
      <c r="C1" s="97"/>
      <c r="D1" s="97"/>
      <c r="E1" s="97"/>
      <c r="F1" s="97" t="str">
        <f aca="false">année_courante</f>
        <v>2026</v>
      </c>
      <c r="G1" s="97"/>
      <c r="H1" s="13"/>
    </row>
    <row r="2" customFormat="false" ht="21" hidden="false" customHeight="true" outlineLevel="0" collapsed="false">
      <c r="A2" s="27" t="s">
        <v>1852</v>
      </c>
      <c r="B2" s="27" t="s">
        <v>1853</v>
      </c>
      <c r="C2" s="27" t="s">
        <v>1854</v>
      </c>
      <c r="D2" s="27" t="s">
        <v>1855</v>
      </c>
      <c r="E2" s="52" t="s">
        <v>1856</v>
      </c>
      <c r="F2" s="52" t="s">
        <v>1857</v>
      </c>
      <c r="G2" s="52" t="s">
        <v>93</v>
      </c>
      <c r="H2" s="52" t="s">
        <v>1858</v>
      </c>
    </row>
    <row r="3" customFormat="false" ht="14.25" hidden="false" customHeight="true" outlineLevel="0" collapsed="false">
      <c r="A3" s="188" t="s">
        <v>4</v>
      </c>
      <c r="B3" s="189"/>
      <c r="C3" s="189"/>
      <c r="D3" s="189"/>
      <c r="E3" s="56"/>
      <c r="F3" s="17"/>
      <c r="G3" s="17"/>
      <c r="H3" s="17"/>
    </row>
    <row r="4" customFormat="false" ht="16.5" hidden="false" customHeight="true" outlineLevel="0" collapsed="false">
      <c r="A4" s="188" t="s">
        <v>17</v>
      </c>
      <c r="B4" s="189" t="s">
        <v>1859</v>
      </c>
      <c r="C4" s="189" t="s">
        <v>1860</v>
      </c>
      <c r="D4" s="189" t="n">
        <v>2</v>
      </c>
      <c r="E4" s="56" t="s">
        <v>97</v>
      </c>
      <c r="F4" s="147" t="n">
        <v>1</v>
      </c>
      <c r="G4" s="147"/>
      <c r="H4" s="190"/>
    </row>
    <row r="5" customFormat="false" ht="16.5" hidden="false" customHeight="true" outlineLevel="0" collapsed="false">
      <c r="A5" s="188" t="s">
        <v>21</v>
      </c>
      <c r="B5" s="189" t="s">
        <v>1859</v>
      </c>
      <c r="C5" s="189" t="s">
        <v>1860</v>
      </c>
      <c r="D5" s="189" t="n">
        <v>2</v>
      </c>
      <c r="E5" s="56" t="s">
        <v>103</v>
      </c>
      <c r="F5" s="147" t="n">
        <v>0.8653</v>
      </c>
      <c r="G5" s="191" t="s">
        <v>1861</v>
      </c>
      <c r="H5" s="192" t="n">
        <f aca="false">1/F5</f>
        <v>1.15566855425864</v>
      </c>
    </row>
    <row r="6" customFormat="false" ht="16.5" hidden="false" customHeight="true" outlineLevel="0" collapsed="false">
      <c r="A6" s="188" t="s">
        <v>22</v>
      </c>
      <c r="B6" s="189" t="s">
        <v>1859</v>
      </c>
      <c r="C6" s="189" t="s">
        <v>1860</v>
      </c>
      <c r="D6" s="189" t="n">
        <v>2</v>
      </c>
      <c r="E6" s="56" t="s">
        <v>124</v>
      </c>
      <c r="F6" s="147" t="n">
        <v>1.082</v>
      </c>
      <c r="G6" s="191" t="s">
        <v>1861</v>
      </c>
      <c r="H6" s="193" t="n">
        <f aca="false">1/F6</f>
        <v>0.924214417744917</v>
      </c>
    </row>
    <row r="7" customFormat="false" ht="16.5" hidden="false" customHeight="true" outlineLevel="0" collapsed="false">
      <c r="A7" s="188" t="s">
        <v>1862</v>
      </c>
      <c r="B7" s="189" t="s">
        <v>1859</v>
      </c>
      <c r="C7" s="189" t="s">
        <v>1860</v>
      </c>
      <c r="D7" s="189" t="n">
        <v>2</v>
      </c>
      <c r="E7" s="56" t="s">
        <v>1863</v>
      </c>
      <c r="F7" s="147" t="n">
        <v>0.0054</v>
      </c>
      <c r="G7" s="191" t="s">
        <v>1861</v>
      </c>
      <c r="H7" s="194" t="n">
        <f aca="false">1/F7</f>
        <v>185.185185185185</v>
      </c>
    </row>
    <row r="8" customFormat="false" ht="16.5" hidden="false" customHeight="true" outlineLevel="0" collapsed="false">
      <c r="A8" s="188" t="s">
        <v>20</v>
      </c>
      <c r="B8" s="189" t="s">
        <v>1859</v>
      </c>
      <c r="C8" s="189" t="s">
        <v>1860</v>
      </c>
      <c r="D8" s="189" t="n">
        <v>2</v>
      </c>
      <c r="E8" s="56" t="s">
        <v>128</v>
      </c>
      <c r="F8" s="147" t="n">
        <v>0.6735</v>
      </c>
      <c r="G8" s="191" t="s">
        <v>1861</v>
      </c>
      <c r="H8" s="195" t="n">
        <f aca="false">1/F8</f>
        <v>1.48478099480327</v>
      </c>
    </row>
    <row r="9" customFormat="false" ht="16.5" hidden="false" customHeight="true" outlineLevel="0" collapsed="false">
      <c r="A9" s="188" t="s">
        <v>19</v>
      </c>
      <c r="B9" s="189" t="s">
        <v>1859</v>
      </c>
      <c r="C9" s="189" t="s">
        <v>1860</v>
      </c>
      <c r="D9" s="189" t="n">
        <v>2</v>
      </c>
      <c r="E9" s="56" t="s">
        <v>130</v>
      </c>
      <c r="F9" s="147" t="n">
        <v>0.091</v>
      </c>
      <c r="G9" s="191" t="s">
        <v>1861</v>
      </c>
      <c r="H9" s="196" t="n">
        <f aca="false">1/F9</f>
        <v>10.989010989011</v>
      </c>
    </row>
    <row r="10" customFormat="false" ht="16.5" hidden="false" customHeight="true" outlineLevel="0" collapsed="false">
      <c r="A10" s="188" t="s">
        <v>1864</v>
      </c>
      <c r="B10" s="189" t="s">
        <v>1859</v>
      </c>
      <c r="C10" s="189" t="s">
        <v>1865</v>
      </c>
      <c r="D10" s="189" t="n">
        <v>2</v>
      </c>
      <c r="E10" s="56" t="s">
        <v>1866</v>
      </c>
      <c r="F10" s="147" t="n">
        <v>134.02</v>
      </c>
      <c r="G10" s="191" t="s">
        <v>1861</v>
      </c>
      <c r="H10" s="197" t="n">
        <f aca="false">1/F10</f>
        <v>0.00746157289956723</v>
      </c>
    </row>
    <row r="11" customFormat="false" ht="16.5" hidden="false" customHeight="true" outlineLevel="0" collapsed="false">
      <c r="A11" s="188" t="s">
        <v>1867</v>
      </c>
      <c r="B11" s="189" t="s">
        <v>1859</v>
      </c>
      <c r="C11" s="189" t="s">
        <v>1865</v>
      </c>
      <c r="D11" s="189" t="n">
        <v>2</v>
      </c>
      <c r="E11" s="56" t="s">
        <v>1868</v>
      </c>
      <c r="F11" s="147" t="n">
        <v>2.14</v>
      </c>
      <c r="G11" s="191" t="s">
        <v>1861</v>
      </c>
      <c r="H11" s="198" t="n">
        <f aca="false">1/F11</f>
        <v>0.467289719626168</v>
      </c>
    </row>
    <row r="12" customFormat="false" ht="16.5" hidden="false" customHeight="true" outlineLevel="0" collapsed="false">
      <c r="A12" s="188" t="s">
        <v>1869</v>
      </c>
      <c r="B12" s="189" t="s">
        <v>1870</v>
      </c>
      <c r="C12" s="189" t="s">
        <v>1865</v>
      </c>
      <c r="D12" s="189" t="n">
        <v>5</v>
      </c>
      <c r="E12" s="56" t="s">
        <v>146</v>
      </c>
      <c r="F12" s="199" t="n">
        <f aca="false">F$10*1.043</f>
        <v>139.78286</v>
      </c>
      <c r="G12" s="191"/>
      <c r="H12" s="200" t="n">
        <f aca="false">1/F12</f>
        <v>0.00715395292384202</v>
      </c>
    </row>
    <row r="13" customFormat="false" ht="16.5" hidden="false" customHeight="true" outlineLevel="0" collapsed="false">
      <c r="A13" s="188" t="s">
        <v>1871</v>
      </c>
      <c r="B13" s="189" t="s">
        <v>1870</v>
      </c>
      <c r="C13" s="189" t="s">
        <v>1865</v>
      </c>
      <c r="D13" s="189" t="n">
        <v>5</v>
      </c>
      <c r="E13" s="56" t="s">
        <v>1872</v>
      </c>
      <c r="F13" s="199" t="n">
        <f aca="false">F$11*1.043</f>
        <v>2.23202</v>
      </c>
      <c r="G13" s="191"/>
      <c r="H13" s="201" t="n">
        <f aca="false">1/F13</f>
        <v>0.448024659277247</v>
      </c>
    </row>
    <row r="14" customFormat="false" ht="16.5" hidden="false" customHeight="true" outlineLevel="0" collapsed="false">
      <c r="A14" s="188" t="s">
        <v>1873</v>
      </c>
      <c r="B14" s="189" t="s">
        <v>1870</v>
      </c>
      <c r="C14" s="189" t="s">
        <v>1865</v>
      </c>
      <c r="D14" s="189" t="n">
        <v>5</v>
      </c>
      <c r="E14" s="56" t="s">
        <v>150</v>
      </c>
      <c r="F14" s="199" t="n">
        <f aca="false">F$10/2</f>
        <v>67.01</v>
      </c>
      <c r="G14" s="191"/>
      <c r="H14" s="202" t="n">
        <f aca="false">1/F14</f>
        <v>0.0149231457991345</v>
      </c>
    </row>
    <row r="15" customFormat="false" ht="16.5" hidden="false" customHeight="true" outlineLevel="0" collapsed="false">
      <c r="A15" s="188" t="s">
        <v>1874</v>
      </c>
      <c r="B15" s="189" t="s">
        <v>1870</v>
      </c>
      <c r="C15" s="189" t="s">
        <v>1865</v>
      </c>
      <c r="D15" s="189" t="n">
        <v>5</v>
      </c>
      <c r="E15" s="56" t="s">
        <v>148</v>
      </c>
      <c r="F15" s="199" t="n">
        <f aca="false">F$11/2</f>
        <v>1.07</v>
      </c>
      <c r="G15" s="191"/>
      <c r="H15" s="203" t="n">
        <f aca="false">1/F15</f>
        <v>0.934579439252336</v>
      </c>
    </row>
    <row r="16" customFormat="false" ht="16.5" hidden="false" customHeight="true" outlineLevel="0" collapsed="false">
      <c r="A16" s="188" t="s">
        <v>18</v>
      </c>
      <c r="B16" s="189" t="s">
        <v>1859</v>
      </c>
      <c r="C16" s="189" t="s">
        <v>300</v>
      </c>
      <c r="D16" s="189" t="n">
        <v>2</v>
      </c>
      <c r="E16" s="56" t="s">
        <v>1875</v>
      </c>
      <c r="F16" s="147" t="n">
        <v>61291</v>
      </c>
      <c r="G16" s="191" t="s">
        <v>1861</v>
      </c>
      <c r="H16" s="204" t="n">
        <f aca="false">1/F16</f>
        <v>1.63156091432674E-005</v>
      </c>
    </row>
    <row r="17" customFormat="false" ht="16.5" hidden="false" customHeight="true" outlineLevel="0" collapsed="false">
      <c r="A17" s="188" t="s">
        <v>23</v>
      </c>
      <c r="B17" s="189" t="s">
        <v>1859</v>
      </c>
      <c r="C17" s="189" t="s">
        <v>300</v>
      </c>
      <c r="D17" s="189" t="n">
        <v>5</v>
      </c>
      <c r="E17" s="56" t="s">
        <v>141</v>
      </c>
      <c r="F17" s="147" t="n">
        <v>290.52</v>
      </c>
      <c r="G17" s="191" t="s">
        <v>1861</v>
      </c>
      <c r="H17" s="205" t="n">
        <f aca="false">1/F17</f>
        <v>0.00344210381385103</v>
      </c>
    </row>
    <row r="18" customFormat="false" ht="16.5" hidden="false" customHeight="true" outlineLevel="0" collapsed="false">
      <c r="A18" s="188" t="s">
        <v>1876</v>
      </c>
      <c r="B18" s="189" t="s">
        <v>1870</v>
      </c>
      <c r="C18" s="189" t="s">
        <v>300</v>
      </c>
      <c r="D18" s="189" t="n">
        <v>2</v>
      </c>
      <c r="E18" s="56" t="s">
        <v>136</v>
      </c>
      <c r="F18" s="199" t="n">
        <f aca="false">F$16/100000000</f>
        <v>0.00061291</v>
      </c>
      <c r="G18" s="191"/>
      <c r="H18" s="206" t="n">
        <f aca="false">1/F18</f>
        <v>1631.56091432674</v>
      </c>
    </row>
    <row r="19" customFormat="false" ht="16.5" hidden="false" customHeight="true" outlineLevel="0" collapsed="false">
      <c r="A19" s="188" t="s">
        <v>4</v>
      </c>
      <c r="B19" s="189"/>
      <c r="C19" s="189"/>
      <c r="D19" s="189"/>
      <c r="E19" s="56"/>
      <c r="F19" s="17"/>
      <c r="G19" s="17"/>
      <c r="H19" s="17"/>
    </row>
    <row r="20" customFormat="false" ht="15" hidden="false" customHeight="true" outlineLevel="0" collapsed="false">
      <c r="A20" s="78" t="s">
        <v>1877</v>
      </c>
      <c r="B20" s="18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20" s="78"/>
      <c r="D20" s="78"/>
      <c r="E20" s="78"/>
      <c r="F20" s="78"/>
      <c r="G20" s="78"/>
      <c r="H20" s="78"/>
    </row>
    <row r="21" customFormat="false" ht="18" hidden="false" customHeight="true" outlineLevel="0" collapsed="false">
      <c r="F21" s="207"/>
      <c r="G21" s="207"/>
    </row>
    <row r="22" customFormat="false" ht="18" hidden="false" customHeight="true" outlineLevel="0" collapsed="false">
      <c r="F22" s="207"/>
      <c r="G22" s="207"/>
    </row>
    <row r="23" customFormat="false" ht="18" hidden="false" customHeight="true" outlineLevel="0" collapsed="false">
      <c r="F23" s="207"/>
      <c r="G23" s="207"/>
    </row>
    <row r="24" customFormat="false" ht="18" hidden="false" customHeight="true" outlineLevel="0" collapsed="false">
      <c r="F24" s="207"/>
      <c r="G24" s="207"/>
    </row>
    <row r="25" customFormat="false" ht="18" hidden="false" customHeight="true" outlineLevel="0" collapsed="false">
      <c r="F25" s="207"/>
      <c r="G25" s="207"/>
    </row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2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LibreOffice/26.2.6.3$Linux_X86_64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2026-10-10T23:35:56Z</dcterms:modified>
  <cp:revision>1033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