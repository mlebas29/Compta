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Patrimoine" sheetId="1" state="visible" r:id="rId1"/>
    <sheet name="Avoirs" sheetId="2" state="visible" r:id="rId2"/>
    <sheet name="Budget" sheetId="3" state="visible" r:id="rId3"/>
    <sheet name="Plus_value" sheetId="4" state="visible" r:id="rId4"/>
    <sheet name="Opérations" sheetId="5" state="visible" r:id="rId5"/>
    <sheet name="Contrôles" sheetId="6" state="visible" r:id="rId6"/>
    <sheet name="Cotations" sheetId="7" state="visible" r:id="rId7"/>
  </sheets>
  <definedNames>
    <definedName name="année_courante" hidden="0" function="0" vbProcedure="0">Avoirs!$A$1</definedName>
    <definedName name="AVRdate_solde" hidden="0" function="0" vbProcedure="0">Avoirs!$J$5:$J$31</definedName>
    <definedName name="AVRdomiciliation" hidden="0" function="0" vbProcedure="0">Avoirs!$C$5:$C$31</definedName>
    <definedName name="AVRintitulé" hidden="0" function="0" vbProcedure="0">Avoirs!$A$5:$A$31</definedName>
    <definedName name="AVRmontant_solde" hidden="0" function="0" vbProcedure="0">Avoirs!$K$5:$K$31</definedName>
    <definedName name="AVRmontant_solde_euro" hidden="0" function="0" vbProcedure="0">Avoirs!$L$5:$L$31</definedName>
    <definedName name="AVRpropriete" hidden="0" function="0" vbProcedure="0">Avoirs!$G$5:$G$31</definedName>
    <definedName name="AVRsous_type" hidden="0" function="0" vbProcedure="0">Avoirs!$D$5:$D$31</definedName>
    <definedName name="AVRtitulaire" hidden="0" function="0" vbProcedure="0">Avoirs!$F$5:$F$31</definedName>
    <definedName name="AVRtype" hidden="0" function="0" vbProcedure="0">Avoirs!$B$5:$B$31</definedName>
    <definedName name="cours_AgJo" hidden="0" function="0" vbProcedure="0">#REF!</definedName>
    <definedName name="cours_AgPr" hidden="0" function="0" vbProcedure="0">#REF!</definedName>
    <definedName name="cours_BTC" hidden="0" function="0" vbProcedure="0">Cotations!$D$10</definedName>
    <definedName name="cours_CHF" hidden="0" function="0" vbProcedure="0">#REF!</definedName>
    <definedName name="cours_JPY" hidden="0" function="0" vbProcedure="0">#REF!</definedName>
    <definedName name="cours_OrJo" hidden="0" function="0" vbProcedure="0">#REF!</definedName>
    <definedName name="cours_OrPr" hidden="0" function="0" vbProcedure="0">Cotations!$D$7</definedName>
    <definedName name="cours_SAT" hidden="0" function="0" vbProcedure="0">Cotations!$D$6</definedName>
    <definedName name="cours_SEK" hidden="0" function="0" vbProcedure="0">#REF!</definedName>
    <definedName name="cours_SGD" hidden="0" function="0" vbProcedure="0">Cotations!$D$8</definedName>
    <definedName name="cours_USD" hidden="0" function="0" vbProcedure="0">Cotations!$D$9</definedName>
    <definedName name="cours_XAU" hidden="0" function="0" vbProcedure="0">Cotations!$D$4</definedName>
    <definedName name="cours_XMR" hidden="0" function="0" vbProcedure="0">Cotations!$D$5</definedName>
    <definedName name="côte_appartement_montigny" hidden="0" function="0" vbProcedure="0">#REF!</definedName>
    <definedName name="côte_maison_plouguin" hidden="0" function="0" vbProcedure="0">#REF!</definedName>
    <definedName name="END_AVR" hidden="0" function="0" vbProcedure="0">Avoirs!$A$31</definedName>
    <definedName name="END_CAT" hidden="0" function="0" vbProcedure="0">Budget!$E$40</definedName>
    <definedName name="END_COT" hidden="0" function="0" vbProcedure="0">Cotations!$A$11</definedName>
    <definedName name="END_CTRL1" hidden="0" function="0" vbProcedure="0">Contrôles!$A$30</definedName>
    <definedName name="END_CTRL2" hidden="0" function="0" vbProcedure="0">Contrôles!$P$48</definedName>
    <definedName name="END_PAT" hidden="0" function="0" vbProcedure="0">Patrimoine!$B$51</definedName>
    <definedName name="END_POSTES" hidden="0" function="0" vbProcedure="0">Budget!$A$13</definedName>
    <definedName name="END_PVL" hidden="0" function="0" vbProcedure="0">Plus_value!$B$50</definedName>
    <definedName name="OPcatégorie" hidden="0" function="0" vbProcedure="0">Opérations!$G$4:$G$5960</definedName>
    <definedName name="OPcompte" hidden="0" function="0" vbProcedure="0">Opérations!$H$4:$H$5960</definedName>
    <definedName name="OPdate" hidden="0" function="0" vbProcedure="0">Opérations!$A$4:$A$5960</definedName>
    <definedName name="OPdevise" hidden="0" function="0" vbProcedure="0">Opérations!$D$4:$D$5960</definedName>
    <definedName name="OPequiv_euro" hidden="0" function="0" vbProcedure="0">Opérations!$E$4:$E$5960</definedName>
    <definedName name="OPlibellé" hidden="0" function="0" vbProcedure="0">Opérations!$B$4:$B$5960</definedName>
    <definedName name="OPmontant" hidden="0" function="0" vbProcedure="0">Opérations!$C$4:$C$5960</definedName>
    <definedName name="OPréf" hidden="0" function="0" vbProcedure="0">Opérations!$F$4:$F$5960</definedName>
    <definedName name="PVLcompte" hidden="0" function="0" vbProcedure="0">Plus_value!$B$6:$B$50</definedName>
    <definedName name="PVLdate" hidden="0" function="0" vbProcedure="0">Plus_value!$J$6:$J$50</definedName>
    <definedName name="PVLmontant" hidden="0" function="0" vbProcedure="0">Plus_value!$K$6:$K$50</definedName>
    <definedName name="PVLtitre" hidden="0" function="0" vbProcedure="0">Plus_value!$C$6:$C$50</definedName>
    <definedName name="Retenu" hidden="0" function="0" vbProcedure="0">"Retenu"</definedName>
    <definedName name="Solde" hidden="0" function="0" vbProcedure="0">"#Solde"</definedName>
    <definedName name="Spéciale" hidden="0" function="0" vbProcedure="0">"#*"</definedName>
    <definedName name="START_AVR" hidden="0" function="0" vbProcedure="0">Avoirs!$A$5</definedName>
    <definedName name="START_CAT" hidden="0" function="0" vbProcedure="0">Budget!$E$18</definedName>
    <definedName name="START_COT" hidden="0" function="0" vbProcedure="0">Cotations!$A$3</definedName>
    <definedName name="START_CTRL1" hidden="0" function="0" vbProcedure="0">Contrôles!$A$3</definedName>
    <definedName name="START_CTRL2" hidden="0" function="0" vbProcedure="0">Contrôles!$P$36</definedName>
    <definedName name="START_PAT" hidden="0" function="0" vbProcedure="0">Patrimoine!$B$2</definedName>
    <definedName name="START_POSTES" hidden="0" function="0" vbProcedure="0">Budget!$A$5</definedName>
    <definedName name="START_PVL" hidden="0" function="0" vbProcedure="0">Plus_value!$B$6</definedName>
    <definedName name="_xlnm._FilterDatabase" localSheetId="4" hidden="1">'Opérations'!$A$3:$I$4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1">
    <numFmt numFmtId="164" formatCode="dd/mm/yy"/>
    <numFmt numFmtId="165" formatCode="#,##0.00\ [$€-40C];[RED]\-#,##0.00\ [$€-40C]"/>
    <numFmt numFmtId="166" formatCode="0\ %"/>
    <numFmt numFmtId="167" formatCode="#,##0.00\ [$€-40C];\-#,##0.00\ [$€-40C]"/>
    <numFmt numFmtId="168" formatCode="#,##0%"/>
    <numFmt numFmtId="169" formatCode="\ 0.00\ [$€-40C]"/>
    <numFmt numFmtId="170" formatCode="\ 0.00\ [$$-409]"/>
    <numFmt numFmtId="171" formatCode="dd/mm/yyyy"/>
    <numFmt numFmtId="172" formatCode="#,##0.00\ [$USD]"/>
    <numFmt numFmtId="173" formatCode="#,##0.00\ [$SGD]"/>
    <numFmt numFmtId="174" formatCode="#,##0\ [$SAT]"/>
    <numFmt numFmtId="175" formatCode="#,##0.00000\ [$XMR]"/>
    <numFmt numFmtId="176" formatCode="#,##0.00000\ [$OrPr]"/>
    <numFmt numFmtId="177" formatCode="[$€-40C]\ #,##0.00"/>
    <numFmt numFmtId="178" formatCode="d\ mmm\ yyyy"/>
    <numFmt numFmtId="179" formatCode="\ #,##0\ [$€-40C]"/>
    <numFmt numFmtId="180" formatCode="\ #,##0.00\ [$€-40C]"/>
    <numFmt numFmtId="181" formatCode="#,##0.00\ [$XAU]"/>
    <numFmt numFmtId="182" formatCode="#,##0.00\ [$BTC]"/>
    <numFmt numFmtId="183" formatCode="#,##0.00\ [$USD];[RED]\-#,##0.00\ [$USD]"/>
    <numFmt numFmtId="184" formatCode="#,##0.00000\ [$OrPr];[RED]\-#,##0.00000\ [$OrPr]"/>
    <numFmt numFmtId="185" formatCode="#,##0\ [$SAT];[RED]\-#,##0\ [$SAT]"/>
    <numFmt numFmtId="186" formatCode="#,##0.00000\ [$XMR];[RED]\-#,##0.00000\ [$XMR]"/>
    <numFmt numFmtId="187" formatCode="#,##0.00\ [$SGD];[RED]\-#,##0.00\ [$SGD]"/>
    <numFmt numFmtId="188" formatCode="[$-40C]dd/mm/yy"/>
    <numFmt numFmtId="189" formatCode="0.00000"/>
    <numFmt numFmtId="190" formatCode="#,##0.00\ [$XAU];[RED]\-#,##0.00\ [$XAU]"/>
    <numFmt numFmtId="191" formatCode="#,##0.00\ [$BTC];[RED]\-#,##0.00\ [$BTC]"/>
    <numFmt numFmtId="192" formatCode="\ #,##0.0000\ [$CHF-40C]"/>
    <numFmt numFmtId="193" formatCode="#,##0.000000000"/>
    <numFmt numFmtId="194" formatCode="mmm\-yy"/>
  </numFmts>
  <fonts count="2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C0C0C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rgb="FF669C35"/>
      <sz val="10"/>
    </font>
    <font>
      <name val="Arial"/>
      <charset val="1"/>
      <family val="2"/>
      <color rgb="FFE32400"/>
      <sz val="10"/>
    </font>
    <font>
      <name val="Arial"/>
      <charset val="1"/>
      <family val="2"/>
      <i val="1"/>
      <color rgb="FFE324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sz val="12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b val="1"/>
      <sz val="11"/>
    </font>
    <font>
      <name val="Arial"/>
      <charset val="1"/>
      <family val="2"/>
      <color rgb="FF0432FF"/>
      <sz val="11"/>
    </font>
    <font>
      <name val="Arial"/>
      <charset val="1"/>
      <family val="2"/>
      <color rgb="FF4A2F04"/>
      <sz val="11"/>
    </font>
    <font>
      <name val="Arial"/>
      <charset val="1"/>
      <family val="2"/>
      <color rgb="FF0000FF"/>
      <sz val="11"/>
    </font>
    <font>
      <name val="Arial"/>
      <charset val="1"/>
      <family val="2"/>
      <color rgb="FF4A2F04"/>
      <sz val="12"/>
    </font>
    <font>
      <name val="Arial"/>
      <charset val="1"/>
      <family val="2"/>
      <b val="1"/>
      <color rgb="FF4A2F04"/>
      <sz val="12"/>
    </font>
    <font>
      <name val="Helvetica Neue"/>
      <charset val="1"/>
      <family val="0"/>
      <b val="1"/>
      <color rgb="FF000000"/>
      <sz val="10.5"/>
    </font>
    <font>
      <name val="Arial"/>
      <charset val="1"/>
      <family val="2"/>
      <color rgb="FF0432FF"/>
      <sz val="11"/>
    </font>
    <font>
      <name val="Arial"/>
      <charset val="1"/>
      <family val="2"/>
      <sz val="11"/>
    </font>
    <font>
      <name val="Arial"/>
      <family val="2"/>
      <sz val="10"/>
    </font>
    <font>
      <name val="Arial"/>
      <charset val="1"/>
      <family val="2"/>
      <color rgb="FF000000"/>
      <sz val="11"/>
    </font>
    <font>
      <name val="Arial"/>
      <charset val="1"/>
      <family val="2"/>
      <sz val="10"/>
      <u val="single"/>
    </font>
  </fonts>
  <fills count="22">
    <fill>
      <patternFill/>
    </fill>
    <fill>
      <patternFill patternType="gray125"/>
    </fill>
    <fill>
      <patternFill patternType="solid">
        <fgColor rgb="FFFFFFFF"/>
        <bgColor rgb="FFFFFBEE"/>
      </patternFill>
    </fill>
    <fill>
      <patternFill patternType="solid">
        <fgColor rgb="FF006666"/>
        <bgColor rgb="FF0066CC"/>
      </patternFill>
    </fill>
    <fill>
      <patternFill patternType="solid">
        <fgColor rgb="FF0099CC"/>
        <bgColor rgb="FF0066CC"/>
      </patternFill>
    </fill>
    <fill>
      <patternFill patternType="solid">
        <fgColor rgb="FFFF9781"/>
        <bgColor rgb="FFFF968C"/>
      </patternFill>
    </fill>
    <fill>
      <patternFill patternType="solid">
        <fgColor rgb="FFFFFC98"/>
        <bgColor rgb="FFFFEB9C"/>
      </patternFill>
    </fill>
    <fill>
      <patternFill patternType="solid">
        <fgColor rgb="FFFFD38A"/>
        <bgColor rgb="FFFFEB9C"/>
      </patternFill>
    </fill>
    <fill>
      <patternFill patternType="solid">
        <fgColor rgb="FFD5D5D5"/>
        <bgColor rgb="FFDCDCDC"/>
      </patternFill>
    </fill>
    <fill>
      <patternFill patternType="solid">
        <fgColor rgb="FFF8D2E0"/>
        <bgColor rgb="FFFFCCCC"/>
      </patternFill>
    </fill>
    <fill>
      <patternFill patternType="solid">
        <fgColor rgb="FFFFC7CE"/>
        <bgColor rgb="FFFFCCCC"/>
      </patternFill>
    </fill>
    <fill>
      <patternFill patternType="solid">
        <fgColor rgb="FFC6EFCE"/>
        <bgColor rgb="FFD4FDD5"/>
      </patternFill>
    </fill>
    <fill>
      <patternFill patternType="solid">
        <fgColor rgb="FFFFEB9C"/>
        <bgColor rgb="FFFFFC98"/>
      </patternFill>
    </fill>
    <fill>
      <patternFill patternType="solid">
        <fgColor rgb="FFE6E6E6"/>
        <bgColor rgb="FFE3E3E3"/>
      </patternFill>
    </fill>
    <fill>
      <patternFill patternType="solid">
        <fgColor rgb="FFD2C195"/>
        <bgColor rgb="FFC0C0C0"/>
      </patternFill>
    </fill>
    <fill>
      <patternFill patternType="solid">
        <fgColor rgb="FFFFFF00"/>
        <bgColor rgb="FFFEFB66"/>
      </patternFill>
    </fill>
    <fill>
      <patternFill patternType="solid">
        <fgColor rgb="FFEEEBDB"/>
        <bgColor rgb="FFF3EFE4"/>
      </patternFill>
    </fill>
    <fill>
      <patternFill patternType="solid">
        <fgColor rgb="FFD4FDD5"/>
        <bgColor rgb="FFC6EFCE"/>
      </patternFill>
    </fill>
    <fill>
      <patternFill patternType="solid">
        <fgColor rgb="FFFF968C"/>
        <bgColor rgb="FFFF9781"/>
      </patternFill>
    </fill>
    <fill>
      <patternFill patternType="solid">
        <fgColor rgb="FFDCDCDC"/>
        <bgColor rgb="FFD5D5D5"/>
      </patternFill>
    </fill>
    <fill>
      <patternFill patternType="solid">
        <fgColor rgb="FFFEFB66"/>
        <bgColor rgb="FFFFFC98"/>
      </patternFill>
    </fill>
    <fill>
      <patternFill patternType="solid">
        <fgColor rgb="FFFFFBEE"/>
        <bgColor rgb="FFFFFFFF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/>
      <right style="thick">
        <color rgb="FF808080"/>
      </right>
      <top/>
      <bottom/>
      <diagonal/>
    </border>
    <border>
      <left style="hair"/>
      <right style="hair"/>
      <top style="hair"/>
      <bottom style="hair"/>
      <diagonal/>
    </border>
    <border>
      <left style="hair">
        <color rgb="FFD2C195"/>
      </left>
      <right style="hair">
        <color rgb="FFD2C195"/>
      </right>
      <top style="hair">
        <color rgb="FFD2C195"/>
      </top>
      <bottom style="hair">
        <color rgb="FFD2C195"/>
      </bottom>
      <diagonal/>
    </border>
    <border>
      <left style="hair">
        <color rgb="FFD2C195"/>
      </left>
      <right style="hair"/>
      <top style="hair">
        <color rgb="FFD2C195"/>
      </top>
      <bottom style="hair">
        <color rgb="FFD2C195"/>
      </bottom>
      <diagonal/>
    </border>
    <border>
      <left style="hair">
        <color rgb="FFD2C195"/>
      </left>
      <right style="hair">
        <color rgb="FFD2C195"/>
      </right>
      <top style="hair">
        <color rgb="FFD2C195"/>
      </top>
      <bottom style="hair"/>
      <diagonal/>
    </border>
    <border>
      <left style="hair">
        <color rgb="FF7F7F7F"/>
      </left>
      <right style="hair">
        <color rgb="FF7F7F7F"/>
      </right>
      <top style="hair">
        <color rgb="FFBFBFBF"/>
      </top>
      <bottom style="hair"/>
      <diagonal/>
    </border>
    <border>
      <left style="hair"/>
      <right style="hair">
        <color rgb="FFD2C195"/>
      </right>
      <top style="hair">
        <color rgb="FFBFBFBF"/>
      </top>
      <bottom style="hair">
        <color rgb="FFD2C195"/>
      </bottom>
      <diagonal/>
    </border>
    <border>
      <left style="hair">
        <color rgb="FFD2C195"/>
      </left>
      <right style="hair">
        <color rgb="FFD2C195"/>
      </right>
      <top style="hair">
        <color rgb="FFBFBFBF"/>
      </top>
      <bottom style="hair">
        <color rgb="FFD2C195"/>
      </bottom>
      <diagonal/>
    </border>
    <border>
      <left style="hair">
        <color rgb="FFD2C195"/>
      </left>
      <right style="hair">
        <color rgb="FFD2C195"/>
      </right>
      <top style="hair"/>
      <bottom style="hair">
        <color rgb="FFD2C195"/>
      </bottom>
      <diagonal/>
    </border>
    <border>
      <left style="hair">
        <color rgb="FFD2C195"/>
      </left>
      <right/>
      <top style="thick">
        <color rgb="FF6C2E24"/>
      </top>
      <bottom style="hair">
        <color rgb="FFD2C195"/>
      </bottom>
      <diagonal/>
    </border>
    <border>
      <left/>
      <right/>
      <top style="thick">
        <color rgb="FF6C2E24"/>
      </top>
      <bottom style="hair">
        <color rgb="FFD2C195"/>
      </bottom>
      <diagonal/>
    </border>
    <border>
      <left style="hair"/>
      <right style="hair"/>
      <top style="medium"/>
      <bottom style="hair"/>
      <diagonal/>
    </border>
    <border>
      <left style="hair"/>
      <right style="hair">
        <color rgb="FFD2C195"/>
      </right>
      <top style="hair">
        <color rgb="FFD2C195"/>
      </top>
      <bottom style="hair">
        <color rgb="FFD2C195"/>
      </bottom>
      <diagonal/>
    </border>
    <border>
      <left style="hair">
        <color rgb="FFD2C195"/>
      </left>
      <right/>
      <top style="thick">
        <color rgb="FF6C2E24"/>
      </top>
      <bottom/>
      <diagonal/>
    </border>
    <border>
      <left/>
      <right style="hair"/>
      <top style="thick">
        <color rgb="FF6C2E24"/>
      </top>
      <bottom/>
      <diagonal/>
    </border>
    <border>
      <left style="hair"/>
      <right style="thin"/>
      <top style="thick">
        <color rgb="FF6C2E24"/>
      </top>
      <bottom/>
      <diagonal/>
    </border>
    <border>
      <left/>
      <right style="hair">
        <color rgb="FFD2C195"/>
      </right>
      <top style="thick">
        <color rgb="FF6C2E24"/>
      </top>
      <bottom/>
      <diagonal/>
    </border>
    <border>
      <left style="hair">
        <color rgb="FFD2C195"/>
      </left>
      <right/>
      <top/>
      <bottom/>
      <diagonal/>
    </border>
    <border>
      <left/>
      <right/>
      <top style="hair"/>
      <bottom/>
      <diagonal/>
    </border>
    <border>
      <left/>
      <right style="hair">
        <color rgb="FFD2C195"/>
      </right>
      <top/>
      <bottom/>
      <diagonal/>
    </border>
    <border>
      <left/>
      <right/>
      <top/>
      <bottom style="hair"/>
      <diagonal/>
    </border>
    <border>
      <left style="hair">
        <color rgb="FFD2C195"/>
      </left>
      <right/>
      <top/>
      <bottom style="hair">
        <color rgb="FFD2C195"/>
      </bottom>
      <diagonal/>
    </border>
    <border>
      <left/>
      <right style="hair"/>
      <top/>
      <bottom style="hair">
        <color rgb="FFD2C195"/>
      </bottom>
      <diagonal/>
    </border>
    <border>
      <left/>
      <right style="hair">
        <color rgb="FFD2C195"/>
      </right>
      <top/>
      <bottom style="hair">
        <color rgb="FFD2C195"/>
      </bottom>
      <diagonal/>
    </border>
    <border>
      <left style="hair"/>
      <right style="hair">
        <color rgb="FFD2C195"/>
      </right>
      <top style="hair"/>
      <bottom style="hair"/>
      <diagonal/>
    </border>
    <border>
      <left style="hair">
        <color rgb="FFD2C195"/>
      </left>
      <right style="hair">
        <color rgb="FFD2C195"/>
      </right>
      <top style="hair"/>
      <bottom style="hair"/>
      <diagonal/>
    </border>
    <border>
      <left style="hair">
        <color rgb="FFD2C195"/>
      </left>
      <right style="hair"/>
      <top style="hair"/>
      <bottom style="hair"/>
      <diagonal/>
    </border>
    <border>
      <left style="hair"/>
      <right style="hair"/>
      <top style="hair"/>
      <bottom style="thin"/>
      <diagonal/>
    </border>
    <border>
      <left style="hair">
        <color rgb="FFBFBFBF"/>
      </left>
      <right style="hair">
        <color rgb="FFC8C8C8"/>
      </right>
      <top style="hair">
        <color rgb="FFBFBFBF"/>
      </top>
      <bottom style="hair">
        <color rgb="FFBFBFBF"/>
      </bottom>
      <diagonal/>
    </border>
    <border>
      <left style="hair">
        <color rgb="FFC8C8C8"/>
      </left>
      <right style="hair">
        <color rgb="FF7F7F7F"/>
      </right>
      <top style="hair">
        <color rgb="FFC8C8C8"/>
      </top>
      <bottom style="hair">
        <color rgb="FFC8C8C8"/>
      </bottom>
      <diagonal/>
    </border>
    <border>
      <left style="hair">
        <color rgb="FFBFBFBF"/>
      </left>
      <right style="hair">
        <color rgb="FFD2C195"/>
      </right>
      <top style="hair">
        <color rgb="FFD2C195"/>
      </top>
      <bottom style="hair">
        <color rgb="FFD2C195"/>
      </bottom>
      <diagonal/>
    </border>
    <border>
      <left style="hair">
        <color rgb="FFD2C195"/>
      </left>
      <right style="hair">
        <color rgb="FFC8C8C8"/>
      </right>
      <top style="hair">
        <color rgb="FFD2C195"/>
      </top>
      <bottom style="hair">
        <color rgb="FFD2C195"/>
      </bottom>
      <diagonal/>
    </border>
    <border>
      <left style="hair">
        <color rgb="FFE3E3E3"/>
      </left>
      <right style="hair">
        <color rgb="FFD2C195"/>
      </right>
      <top style="hair">
        <color rgb="FFD2C195"/>
      </top>
      <bottom style="hair">
        <color rgb="FFD2C195"/>
      </bottom>
      <diagonal/>
    </border>
    <border>
      <left style="hair">
        <color rgb="FFBFBFBF"/>
      </left>
      <right style="hair">
        <color rgb="FFD2C195"/>
      </right>
      <top style="hair">
        <color rgb="FFD2C195"/>
      </top>
      <bottom style="hair"/>
      <diagonal/>
    </border>
    <border>
      <left style="hair">
        <color rgb="FFBFBFBF"/>
      </left>
      <right style="hair"/>
      <top style="hair">
        <color rgb="FFD2C195"/>
      </top>
      <bottom style="hair">
        <color rgb="FFD2C195"/>
      </bottom>
      <diagonal/>
    </border>
    <border>
      <left/>
      <right/>
      <top style="medium"/>
      <bottom style="hair">
        <color rgb="FF7F7F7F"/>
      </bottom>
      <diagonal/>
    </border>
    <border>
      <left/>
      <right/>
      <top style="thick">
        <color rgb="FF6C2E24"/>
      </top>
      <bottom/>
      <diagonal/>
    </border>
    <border>
      <left style="hair">
        <color rgb="FFD2C195"/>
      </left>
      <right style="hair">
        <color rgb="FF7F7F7F"/>
      </right>
      <top/>
      <bottom/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/>
      <diagonal/>
    </border>
    <border>
      <left style="hair">
        <color rgb="FF7F7F7F"/>
      </left>
      <right/>
      <top/>
      <bottom/>
      <diagonal/>
    </border>
    <border>
      <left style="hair">
        <color rgb="FFD2C195"/>
      </left>
      <right style="hair"/>
      <top/>
      <bottom/>
      <diagonal/>
    </border>
    <border>
      <left style="hair"/>
      <right/>
      <top/>
      <bottom style="hair"/>
      <diagonal/>
    </border>
    <border>
      <left style="hair"/>
      <right style="hair"/>
      <top/>
      <bottom/>
      <diagonal/>
    </border>
    <border>
      <left/>
      <right style="hair"/>
      <top style="hair"/>
      <bottom style="hair">
        <color rgb="FFD2C195"/>
      </bottom>
      <diagonal/>
    </border>
    <border>
      <left style="hair"/>
      <right style="hair">
        <color rgb="FFD2C195"/>
      </right>
      <top/>
      <bottom/>
      <diagonal/>
    </border>
    <border>
      <left/>
      <right/>
      <top/>
      <bottom style="hair">
        <color rgb="FFD2C195"/>
      </bottom>
      <diagonal/>
    </border>
    <border>
      <left style="hair"/>
      <right/>
      <top/>
      <bottom style="hair">
        <color rgb="FFD2C195"/>
      </bottom>
      <diagonal/>
    </border>
    <border>
      <left/>
      <right/>
      <top style="hair"/>
      <bottom style="hair">
        <color rgb="FFD2C195"/>
      </bottom>
      <diagonal/>
    </border>
    <border>
      <left/>
      <right style="hair">
        <color rgb="FFD2C195"/>
      </right>
      <top style="hair">
        <color rgb="FFD2C195"/>
      </top>
      <bottom style="hair">
        <color rgb="FFD2C195"/>
      </bottom>
      <diagonal/>
    </border>
    <border>
      <left/>
      <right/>
      <top style="hair">
        <color rgb="FFD2C195"/>
      </top>
      <bottom style="hair">
        <color rgb="FFD2C195"/>
      </bottom>
      <diagonal/>
    </border>
    <border>
      <left style="hair">
        <color rgb="FFD2C195"/>
      </left>
      <right style="hair">
        <color rgb="FFD2C195"/>
      </right>
      <top style="thick">
        <color rgb="FF6C2E24"/>
      </top>
      <bottom style="hair">
        <color rgb="FFD2C195"/>
      </bottom>
      <diagonal/>
    </border>
    <border>
      <left style="hair">
        <color rgb="FFF3EFE4"/>
      </left>
      <right style="hair">
        <color rgb="FFD2C195"/>
      </right>
      <top style="thick">
        <color rgb="FF6C2E24"/>
      </top>
      <bottom/>
      <diagonal/>
    </border>
    <border>
      <left style="hair">
        <color rgb="FFF3EFE4"/>
      </left>
      <right style="hair">
        <color rgb="FFD2C195"/>
      </right>
      <top/>
      <bottom/>
      <diagonal/>
    </border>
    <border>
      <left style="hair">
        <color rgb="FFF3EFE4"/>
      </left>
      <right style="hair">
        <color rgb="FFD2C195"/>
      </right>
      <top/>
      <bottom style="hair"/>
      <diagonal/>
    </border>
    <border>
      <left style="hair"/>
      <right style="hair"/>
      <top style="hair">
        <color rgb="FFD2C195"/>
      </top>
      <bottom style="hair">
        <color rgb="FFD2C195"/>
      </bottom>
      <diagonal/>
    </border>
    <border>
      <left style="hair">
        <color rgb="FFD2C195"/>
      </left>
      <right style="hair">
        <color rgb="FFD2C195"/>
      </right>
      <top style="hair">
        <color rgb="FFD2C195"/>
      </top>
      <bottom style="hair">
        <color rgb="FFD5D5D5"/>
      </bottom>
      <diagonal/>
    </border>
    <border>
      <left style="hair">
        <color rgb="FFD5D5D5"/>
      </left>
      <right style="hair">
        <color rgb="FFD5D5D5"/>
      </right>
      <top style="hair">
        <color rgb="FFD5D5D5"/>
      </top>
      <bottom style="hair">
        <color rgb="FFD5D5D5"/>
      </bottom>
      <diagonal/>
    </border>
    <border>
      <left style="hair">
        <color rgb="FFD2C195"/>
      </left>
      <right style="hair">
        <color rgb="FF3F3F3F"/>
      </right>
      <top style="hair">
        <color rgb="FFD2C195"/>
      </top>
      <bottom style="hair">
        <color rgb="FFD2C195"/>
      </bottom>
      <diagonal/>
    </border>
  </borders>
  <cellStyleXfs count="29">
    <xf numFmtId="0" fontId="0" fillId="2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3" borderId="0" applyAlignment="1">
      <alignment horizontal="general" vertical="center"/>
    </xf>
    <xf numFmtId="0" fontId="0" fillId="4" borderId="0" applyAlignment="1">
      <alignment horizontal="right" vertical="center" wrapText="1"/>
    </xf>
    <xf numFmtId="0" fontId="0" fillId="4" borderId="1" applyAlignment="1">
      <alignment horizontal="right" vertical="center" wrapText="1"/>
    </xf>
    <xf numFmtId="0" fontId="0" fillId="4" borderId="1" applyAlignment="1">
      <alignment horizontal="right" vertical="center" wrapText="1"/>
    </xf>
    <xf numFmtId="0" fontId="0" fillId="4" borderId="2" applyAlignment="1">
      <alignment horizontal="right" vertical="center" wrapText="1"/>
    </xf>
    <xf numFmtId="0" fontId="0" fillId="4" borderId="0" applyAlignment="1">
      <alignment horizontal="right" vertical="center" wrapText="1"/>
    </xf>
    <xf numFmtId="0" fontId="0" fillId="4" borderId="3" applyAlignment="1">
      <alignment horizontal="right" vertical="center" wrapText="1"/>
    </xf>
    <xf numFmtId="0" fontId="0" fillId="4" borderId="0" applyAlignment="1">
      <alignment horizontal="right" vertical="center" wrapText="1"/>
    </xf>
    <xf numFmtId="0" fontId="0" fillId="4" borderId="0" applyAlignment="1">
      <alignment horizontal="right" vertical="center" wrapText="1"/>
    </xf>
    <xf numFmtId="0" fontId="0" fillId="4" borderId="3" applyAlignment="1">
      <alignment horizontal="right" vertical="center" wrapText="1"/>
    </xf>
    <xf numFmtId="0" fontId="5" fillId="5" borderId="0" applyAlignment="1">
      <alignment horizontal="general" vertical="center"/>
    </xf>
    <xf numFmtId="0" fontId="5" fillId="6" borderId="0" applyAlignment="1">
      <alignment horizontal="general" vertical="center"/>
    </xf>
    <xf numFmtId="0" fontId="6" fillId="2" borderId="0" applyAlignment="1">
      <alignment horizontal="general" vertical="center"/>
    </xf>
    <xf numFmtId="0" fontId="7" fillId="2" borderId="0" applyAlignment="1">
      <alignment horizontal="general" vertical="center"/>
    </xf>
    <xf numFmtId="0" fontId="5" fillId="7" borderId="0" applyAlignment="1">
      <alignment horizontal="general" vertical="center"/>
    </xf>
    <xf numFmtId="0" fontId="0" fillId="8" borderId="0" applyAlignment="1">
      <alignment horizontal="general" vertical="center"/>
    </xf>
    <xf numFmtId="0" fontId="8" fillId="9" borderId="0" applyAlignment="1">
      <alignment horizontal="general" vertical="center"/>
    </xf>
    <xf numFmtId="0" fontId="0" fillId="4" borderId="0" applyAlignment="1">
      <alignment horizontal="right" vertical="bottom" wrapText="1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193" fontId="0" fillId="0" borderId="4" applyAlignment="1" applyProtection="1">
      <alignment horizontal="general" vertical="center"/>
      <protection locked="0" hidden="0"/>
    </xf>
    <xf numFmtId="194" fontId="9" fillId="13" borderId="4" applyAlignment="1">
      <alignment horizontal="general" vertical="center"/>
    </xf>
  </cellStyleXfs>
  <cellXfs count="599">
    <xf numFmtId="0" fontId="0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10" fillId="14" borderId="5" applyAlignment="1" pivotButton="0" quotePrefix="0" xfId="0">
      <alignment horizontal="center" vertical="center"/>
    </xf>
    <xf numFmtId="0" fontId="10" fillId="14" borderId="5" applyAlignment="1" pivotButton="0" quotePrefix="0" xfId="0">
      <alignment horizontal="left" vertical="center"/>
    </xf>
    <xf numFmtId="0" fontId="11" fillId="14" borderId="5" applyAlignment="1" pivotButton="0" quotePrefix="0" xfId="0">
      <alignment horizontal="left" vertical="center" wrapText="1"/>
    </xf>
    <xf numFmtId="0" fontId="12" fillId="14" borderId="5" applyAlignment="1" pivotButton="0" quotePrefix="0" xfId="0">
      <alignment horizontal="left" vertical="center"/>
    </xf>
    <xf numFmtId="0" fontId="11" fillId="14" borderId="5" applyAlignment="1" pivotButton="0" quotePrefix="0" xfId="0">
      <alignment horizontal="center" vertical="center"/>
    </xf>
    <xf numFmtId="0" fontId="10" fillId="14" borderId="5" applyAlignment="1" pivotButton="0" quotePrefix="0" xfId="0">
      <alignment horizontal="center" vertical="center" wrapText="1"/>
    </xf>
    <xf numFmtId="49" fontId="10" fillId="14" borderId="5" applyAlignment="1" pivotButton="0" quotePrefix="0" xfId="0">
      <alignment horizontal="left" vertical="center"/>
    </xf>
    <xf numFmtId="0" fontId="13" fillId="14" borderId="5" applyAlignment="1" pivotButton="0" quotePrefix="0" xfId="0">
      <alignment horizontal="left" vertical="center"/>
    </xf>
    <xf numFmtId="164" fontId="12" fillId="14" borderId="5" applyAlignment="1" pivotButton="0" quotePrefix="0" xfId="0">
      <alignment horizontal="center" vertical="center" wrapText="1"/>
    </xf>
    <xf numFmtId="49" fontId="13" fillId="14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 wrapText="1"/>
    </xf>
    <xf numFmtId="0" fontId="12" fillId="14" borderId="5" applyAlignment="1" pivotButton="0" quotePrefix="0" xfId="0">
      <alignment horizontal="left" vertical="center" wrapText="1"/>
    </xf>
    <xf numFmtId="166" fontId="12" fillId="14" borderId="5" applyAlignment="1" pivotButton="0" quotePrefix="0" xfId="0">
      <alignment horizontal="center" vertical="center" wrapText="1"/>
    </xf>
    <xf numFmtId="49" fontId="13" fillId="14" borderId="5" applyAlignment="1" pivotButton="0" quotePrefix="0" xfId="0">
      <alignment horizontal="left" vertical="center"/>
    </xf>
    <xf numFmtId="49" fontId="13" fillId="14" borderId="5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general" vertical="center"/>
    </xf>
    <xf numFmtId="49" fontId="12" fillId="16" borderId="5" applyAlignment="1" pivotButton="0" quotePrefix="0" xfId="0">
      <alignment horizontal="center" vertical="top" wrapText="1"/>
    </xf>
    <xf numFmtId="1" fontId="12" fillId="2" borderId="5" applyAlignment="1" pivotButton="0" quotePrefix="0" xfId="0">
      <alignment horizontal="center" vertical="top" wrapText="1"/>
    </xf>
    <xf numFmtId="167" fontId="12" fillId="2" borderId="5" applyAlignment="1" pivotButton="0" quotePrefix="0" xfId="0">
      <alignment horizontal="right" vertical="top" wrapText="1"/>
    </xf>
    <xf numFmtId="168" fontId="12" fillId="2" borderId="5" applyAlignment="1" pivotButton="0" quotePrefix="0" xfId="0">
      <alignment horizontal="right" vertical="top" wrapText="1"/>
    </xf>
    <xf numFmtId="49" fontId="13" fillId="16" borderId="6" applyAlignment="1" pivotButton="0" quotePrefix="0" xfId="0">
      <alignment horizontal="center" vertical="top" wrapText="1"/>
    </xf>
    <xf numFmtId="167" fontId="12" fillId="15" borderId="4" applyAlignment="1" pivotButton="0" quotePrefix="0" xfId="0">
      <alignment horizontal="right" vertical="top" wrapText="1"/>
    </xf>
    <xf numFmtId="1" fontId="13" fillId="14" borderId="5" applyAlignment="1" pivotButton="0" quotePrefix="0" xfId="0">
      <alignment horizontal="center" vertical="center"/>
    </xf>
    <xf numFmtId="49" fontId="12" fillId="14" borderId="5" applyAlignment="1" pivotButton="0" quotePrefix="0" xfId="0">
      <alignment horizontal="left" vertical="center" wrapText="1"/>
    </xf>
    <xf numFmtId="0" fontId="13" fillId="14" borderId="5" applyAlignment="1" pivotButton="0" quotePrefix="0" xfId="0">
      <alignment horizontal="left" vertical="center" wrapText="1"/>
    </xf>
    <xf numFmtId="1" fontId="13" fillId="14" borderId="5" applyAlignment="1" pivotButton="0" quotePrefix="0" xfId="0">
      <alignment horizontal="center" vertical="center" wrapText="1"/>
    </xf>
    <xf numFmtId="49" fontId="12" fillId="16" borderId="5" applyAlignment="1" pivotButton="0" quotePrefix="0" xfId="0">
      <alignment horizontal="center" vertical="top"/>
    </xf>
    <xf numFmtId="167" fontId="12" fillId="2" borderId="7" applyAlignment="1" pivotButton="0" quotePrefix="0" xfId="0">
      <alignment horizontal="right" vertical="top" wrapText="1"/>
    </xf>
    <xf numFmtId="169" fontId="12" fillId="17" borderId="0" applyAlignment="1" pivotButton="0" quotePrefix="0" xfId="0">
      <alignment horizontal="left" vertical="bottom" wrapText="1"/>
    </xf>
    <xf numFmtId="49" fontId="13" fillId="17" borderId="0" applyAlignment="1" pivotButton="0" quotePrefix="0" xfId="0">
      <alignment horizontal="left" vertical="bottom"/>
    </xf>
    <xf numFmtId="49" fontId="12" fillId="17" borderId="0" applyAlignment="1" pivotButton="0" quotePrefix="0" xfId="0">
      <alignment horizontal="left" vertical="bottom"/>
    </xf>
    <xf numFmtId="0" fontId="12" fillId="17" borderId="0" applyAlignment="1" pivotButton="0" quotePrefix="0" xfId="0">
      <alignment horizontal="left" vertical="bottom" wrapText="1"/>
    </xf>
    <xf numFmtId="167" fontId="14" fillId="2" borderId="0" applyAlignment="1" pivotButton="0" quotePrefix="0" xfId="0">
      <alignment horizontal="right" vertical="bottom" wrapText="1"/>
    </xf>
    <xf numFmtId="167" fontId="14" fillId="17" borderId="0" applyAlignment="1" pivotButton="0" quotePrefix="0" xfId="0">
      <alignment horizontal="right" vertical="bottom" wrapText="1"/>
    </xf>
    <xf numFmtId="49" fontId="12" fillId="17" borderId="0" applyAlignment="1" pivotButton="0" quotePrefix="0" xfId="0">
      <alignment horizontal="left" vertical="bottom" wrapText="1"/>
    </xf>
    <xf numFmtId="167" fontId="12" fillId="2" borderId="0" applyAlignment="1" pivotButton="0" quotePrefix="0" xfId="0">
      <alignment horizontal="right" vertical="bottom" wrapText="1"/>
    </xf>
    <xf numFmtId="167" fontId="12" fillId="17" borderId="0" applyAlignment="1" pivotButton="0" quotePrefix="0" xfId="0">
      <alignment horizontal="right" vertical="bottom" wrapText="1"/>
    </xf>
    <xf numFmtId="167" fontId="12" fillId="2" borderId="4" applyAlignment="1" pivotButton="0" quotePrefix="0" xfId="0">
      <alignment horizontal="right" vertical="bottom" wrapText="1"/>
    </xf>
    <xf numFmtId="167" fontId="12" fillId="18" borderId="4" applyAlignment="1" pivotButton="0" quotePrefix="0" xfId="0">
      <alignment horizontal="right" vertical="bottom" wrapText="1"/>
    </xf>
    <xf numFmtId="170" fontId="12" fillId="19" borderId="0" applyAlignment="1" pivotButton="0" quotePrefix="0" xfId="0">
      <alignment horizontal="right" vertical="bottom" wrapText="1"/>
    </xf>
    <xf numFmtId="167" fontId="12" fillId="20" borderId="0" applyAlignment="1" pivotButton="0" quotePrefix="0" xfId="0">
      <alignment horizontal="right" vertical="bottom" wrapText="1"/>
    </xf>
    <xf numFmtId="0" fontId="15" fillId="2" borderId="0" applyAlignment="1" pivotButton="0" quotePrefix="0" xfId="0">
      <alignment horizontal="general" vertical="top" wrapText="1"/>
    </xf>
    <xf numFmtId="0" fontId="15" fillId="2" borderId="0" applyAlignment="1" pivotButton="0" quotePrefix="0" xfId="0">
      <alignment horizontal="center" vertical="top" wrapText="1"/>
    </xf>
    <xf numFmtId="0" fontId="16" fillId="14" borderId="8" applyAlignment="1" pivotButton="0" quotePrefix="0" xfId="0">
      <alignment horizontal="center" vertical="center"/>
    </xf>
    <xf numFmtId="49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center" vertical="center"/>
    </xf>
    <xf numFmtId="165" fontId="12" fillId="14" borderId="5" applyAlignment="1" pivotButton="0" quotePrefix="0" xfId="0">
      <alignment horizontal="center" vertical="center"/>
    </xf>
    <xf numFmtId="49" fontId="12" fillId="14" borderId="4" applyAlignment="1" pivotButton="0" quotePrefix="0" xfId="0">
      <alignment horizontal="center" vertical="center"/>
    </xf>
    <xf numFmtId="0" fontId="12" fillId="14" borderId="9" applyAlignment="1" pivotButton="0" quotePrefix="0" xfId="0">
      <alignment horizontal="left" vertical="center"/>
    </xf>
    <xf numFmtId="0" fontId="12" fillId="14" borderId="10" applyAlignment="1" pivotButton="0" quotePrefix="0" xfId="0">
      <alignment horizontal="center" vertical="center"/>
    </xf>
    <xf numFmtId="49" fontId="12" fillId="14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left" vertical="center" wrapText="1"/>
    </xf>
    <xf numFmtId="49" fontId="12" fillId="14" borderId="5" applyAlignment="1" pivotButton="0" quotePrefix="0" xfId="0">
      <alignment horizontal="left" vertical="center"/>
    </xf>
    <xf numFmtId="49" fontId="12" fillId="14" borderId="5" applyAlignment="1" pivotButton="0" quotePrefix="0" xfId="0">
      <alignment horizontal="center" vertical="center" wrapText="1"/>
    </xf>
    <xf numFmtId="49" fontId="12" fillId="16" borderId="5" applyAlignment="1" pivotButton="0" quotePrefix="0" xfId="0">
      <alignment horizontal="left" vertical="top"/>
    </xf>
    <xf numFmtId="49" fontId="12" fillId="2" borderId="5" applyAlignment="1" pivotButton="0" quotePrefix="0" xfId="0">
      <alignment horizontal="left" vertical="top" wrapText="1"/>
    </xf>
    <xf numFmtId="49" fontId="12" fillId="2" borderId="5" applyAlignment="1" pivotButton="0" quotePrefix="0" xfId="0">
      <alignment horizontal="left" vertical="top"/>
    </xf>
    <xf numFmtId="49" fontId="12" fillId="2" borderId="5" applyAlignment="1" pivotButton="0" quotePrefix="0" xfId="0">
      <alignment horizontal="center" vertical="top"/>
    </xf>
    <xf numFmtId="49" fontId="12" fillId="2" borderId="6" applyAlignment="1" pivotButton="0" quotePrefix="0" xfId="0">
      <alignment horizontal="center" vertical="top" wrapText="1"/>
    </xf>
    <xf numFmtId="171" fontId="12" fillId="2" borderId="6" applyAlignment="1" pivotButton="0" quotePrefix="0" xfId="0">
      <alignment horizontal="center" vertical="top" wrapText="1"/>
    </xf>
    <xf numFmtId="167" fontId="12" fillId="2" borderId="6" applyAlignment="1" pivotButton="0" quotePrefix="0" xfId="0">
      <alignment horizontal="center" vertical="top" wrapText="1"/>
    </xf>
    <xf numFmtId="164" fontId="12" fillId="2" borderId="6" applyAlignment="1" pivotButton="0" quotePrefix="0" xfId="0">
      <alignment horizontal="center" vertical="top" wrapText="1"/>
    </xf>
    <xf numFmtId="49" fontId="12" fillId="19" borderId="5" applyAlignment="1" pivotButton="0" quotePrefix="0" xfId="0">
      <alignment horizontal="center" vertical="top"/>
    </xf>
    <xf numFmtId="172" fontId="12" fillId="19" borderId="6" applyAlignment="1" pivotButton="0" quotePrefix="0" xfId="0">
      <alignment horizontal="center" vertical="top" wrapText="1"/>
    </xf>
    <xf numFmtId="173" fontId="12" fillId="19" borderId="6" applyAlignment="1" pivotButton="0" quotePrefix="0" xfId="0">
      <alignment horizontal="center" vertical="top" wrapText="1"/>
    </xf>
    <xf numFmtId="174" fontId="12" fillId="19" borderId="6" applyAlignment="1" pivotButton="0" quotePrefix="0" xfId="0">
      <alignment horizontal="center" vertical="top" wrapText="1"/>
    </xf>
    <xf numFmtId="175" fontId="12" fillId="19" borderId="6" applyAlignment="1" pivotButton="0" quotePrefix="0" xfId="0">
      <alignment horizontal="center" vertical="top" wrapText="1"/>
    </xf>
    <xf numFmtId="176" fontId="12" fillId="19" borderId="6" applyAlignment="1" pivotButton="0" quotePrefix="0" xfId="0">
      <alignment horizontal="center" vertical="top" wrapText="1"/>
    </xf>
    <xf numFmtId="49" fontId="12" fillId="2" borderId="6" applyAlignment="1" pivotButton="0" quotePrefix="0" xfId="0">
      <alignment horizontal="center" vertical="top"/>
    </xf>
    <xf numFmtId="167" fontId="14" fillId="2" borderId="5" applyAlignment="1" pivotButton="0" quotePrefix="0" xfId="0">
      <alignment horizontal="right" vertical="top"/>
    </xf>
    <xf numFmtId="0" fontId="12" fillId="16" borderId="12" applyAlignment="1" pivotButton="0" quotePrefix="0" xfId="0">
      <alignment horizontal="left" vertical="center" wrapText="1"/>
    </xf>
    <xf numFmtId="0" fontId="12" fillId="16" borderId="13" applyAlignment="1" pivotButton="0" quotePrefix="0" xfId="0">
      <alignment horizontal="left" vertical="center" wrapText="1"/>
    </xf>
    <xf numFmtId="0" fontId="12" fillId="16" borderId="13" applyAlignment="1" pivotButton="0" quotePrefix="0" xfId="0">
      <alignment horizontal="left" vertical="center"/>
    </xf>
    <xf numFmtId="0" fontId="12" fillId="16" borderId="13" applyAlignment="1" pivotButton="0" quotePrefix="0" xfId="0">
      <alignment horizontal="center" vertical="center"/>
    </xf>
    <xf numFmtId="0" fontId="12" fillId="16" borderId="13" applyAlignment="1" pivotButton="0" quotePrefix="0" xfId="0">
      <alignment horizontal="center" vertical="center" wrapText="1"/>
    </xf>
    <xf numFmtId="167" fontId="12" fillId="16" borderId="13" applyAlignment="1" pivotButton="0" quotePrefix="0" xfId="0">
      <alignment horizontal="right" vertical="center" wrapText="1"/>
    </xf>
    <xf numFmtId="167" fontId="12" fillId="15" borderId="14" applyAlignment="1" pivotButton="0" quotePrefix="0" xfId="0">
      <alignment horizontal="right" vertical="center"/>
    </xf>
    <xf numFmtId="177" fontId="12" fillId="2" borderId="5" applyAlignment="1" pivotButton="0" quotePrefix="0" xfId="0">
      <alignment horizontal="left" vertical="top" wrapText="1"/>
    </xf>
    <xf numFmtId="0" fontId="17" fillId="2" borderId="0" applyAlignment="1" pivotButton="0" quotePrefix="0" xfId="0">
      <alignment horizontal="general" vertical="top" wrapText="1"/>
    </xf>
    <xf numFmtId="49" fontId="12" fillId="14" borderId="4" applyAlignment="1" pivotButton="0" quotePrefix="0" xfId="0">
      <alignment horizontal="center" vertical="center" wrapText="1"/>
    </xf>
    <xf numFmtId="0" fontId="12" fillId="14" borderId="15" applyAlignment="1" pivotButton="0" quotePrefix="0" xfId="0">
      <alignment horizontal="left" vertical="center" wrapText="1"/>
    </xf>
    <xf numFmtId="178" fontId="12" fillId="14" borderId="5" applyAlignment="1" pivotButton="0" quotePrefix="0" xfId="0">
      <alignment horizontal="left" vertical="center" wrapText="1"/>
    </xf>
    <xf numFmtId="0" fontId="12" fillId="14" borderId="11" applyAlignment="1" pivotButton="0" quotePrefix="0" xfId="0">
      <alignment horizontal="left" vertical="center" wrapText="1"/>
    </xf>
    <xf numFmtId="49" fontId="12" fillId="16" borderId="5" applyAlignment="1" pivotButton="0" quotePrefix="0" xfId="0">
      <alignment horizontal="left" vertical="top" wrapText="1"/>
    </xf>
    <xf numFmtId="49" fontId="12" fillId="2" borderId="5" applyAlignment="1" pivotButton="0" quotePrefix="0" xfId="0">
      <alignment horizontal="center" vertical="top" wrapText="1"/>
    </xf>
    <xf numFmtId="49" fontId="12" fillId="21" borderId="5" applyAlignment="1" pivotButton="0" quotePrefix="0" xfId="0">
      <alignment horizontal="center" vertical="top" wrapText="1"/>
    </xf>
    <xf numFmtId="167" fontId="12" fillId="21" borderId="5" applyAlignment="1" pivotButton="0" quotePrefix="0" xfId="0">
      <alignment horizontal="right" vertical="top" wrapText="1"/>
    </xf>
    <xf numFmtId="49" fontId="12" fillId="16" borderId="16" applyAlignment="1" pivotButton="0" quotePrefix="0" xfId="0">
      <alignment horizontal="left" vertical="center" wrapText="1"/>
    </xf>
    <xf numFmtId="0" fontId="12" fillId="16" borderId="17" applyAlignment="1" pivotButton="0" quotePrefix="0" xfId="0">
      <alignment horizontal="left" vertical="center" wrapText="1"/>
    </xf>
    <xf numFmtId="167" fontId="12" fillId="16" borderId="18" applyAlignment="1" pivotButton="0" quotePrefix="0" xfId="0">
      <alignment horizontal="right" vertical="center" wrapText="1"/>
    </xf>
    <xf numFmtId="179" fontId="12" fillId="16" borderId="19" applyAlignment="1" pivotButton="0" quotePrefix="0" xfId="0">
      <alignment horizontal="left" vertical="center" wrapText="1"/>
    </xf>
    <xf numFmtId="49" fontId="12" fillId="16" borderId="2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left" vertical="center" wrapText="1"/>
    </xf>
    <xf numFmtId="167" fontId="12" fillId="16" borderId="21" applyAlignment="1" pivotButton="0" quotePrefix="0" xfId="0">
      <alignment horizontal="right" vertical="center" wrapText="1"/>
    </xf>
    <xf numFmtId="179" fontId="12" fillId="16" borderId="22" applyAlignment="1" pivotButton="0" quotePrefix="0" xfId="0">
      <alignment horizontal="left" vertical="center" wrapText="1"/>
    </xf>
    <xf numFmtId="167" fontId="12" fillId="16" borderId="23" applyAlignment="1" pivotButton="0" quotePrefix="0" xfId="0">
      <alignment horizontal="right" vertical="center" wrapText="1"/>
    </xf>
    <xf numFmtId="180" fontId="12" fillId="16" borderId="22" applyAlignment="1" pivotButton="0" quotePrefix="0" xfId="0">
      <alignment horizontal="left" vertical="center" wrapText="1"/>
    </xf>
    <xf numFmtId="49" fontId="12" fillId="16" borderId="24" applyAlignment="1" pivotButton="0" quotePrefix="0" xfId="0">
      <alignment horizontal="left" vertical="center" wrapText="1"/>
    </xf>
    <xf numFmtId="0" fontId="12" fillId="16" borderId="25" applyAlignment="1" pivotButton="0" quotePrefix="0" xfId="0">
      <alignment horizontal="left" vertical="center" wrapText="1"/>
    </xf>
    <xf numFmtId="167" fontId="12" fillId="16" borderId="4" applyAlignment="1" pivotButton="0" quotePrefix="0" xfId="0">
      <alignment horizontal="right" vertical="center" wrapText="1"/>
    </xf>
    <xf numFmtId="180" fontId="12" fillId="16" borderId="26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12" fillId="14" borderId="27" applyAlignment="1" pivotButton="0" quotePrefix="0" xfId="0">
      <alignment horizontal="left" vertical="center" wrapText="1"/>
    </xf>
    <xf numFmtId="49" fontId="12" fillId="14" borderId="28" applyAlignment="1" pivotButton="0" quotePrefix="0" xfId="0">
      <alignment horizontal="center" vertical="center" wrapText="1"/>
    </xf>
    <xf numFmtId="49" fontId="12" fillId="14" borderId="29" applyAlignment="1" pivotButton="0" quotePrefix="0" xfId="0">
      <alignment horizontal="left" vertical="center" wrapText="1"/>
    </xf>
    <xf numFmtId="49" fontId="12" fillId="14" borderId="4" applyAlignment="1" pivotButton="0" quotePrefix="0" xfId="0">
      <alignment horizontal="left" vertical="center" wrapText="1"/>
    </xf>
    <xf numFmtId="165" fontId="12" fillId="14" borderId="30" applyAlignment="1" pivotButton="0" quotePrefix="0" xfId="0">
      <alignment horizontal="center" vertical="center" wrapText="1"/>
    </xf>
    <xf numFmtId="181" fontId="12" fillId="19" borderId="30" applyAlignment="1" pivotButton="0" quotePrefix="0" xfId="0">
      <alignment horizontal="center" vertical="center" wrapText="1"/>
    </xf>
    <xf numFmtId="182" fontId="12" fillId="19" borderId="30" applyAlignment="1" pivotButton="0" quotePrefix="0" xfId="0">
      <alignment horizontal="center" vertical="center" wrapText="1"/>
    </xf>
    <xf numFmtId="172" fontId="12" fillId="19" borderId="30" applyAlignment="1" pivotButton="0" quotePrefix="0" xfId="0">
      <alignment horizontal="center" vertical="center" wrapText="1"/>
    </xf>
    <xf numFmtId="173" fontId="12" fillId="19" borderId="30" applyAlignment="1" pivotButton="0" quotePrefix="0" xfId="0">
      <alignment horizontal="center" vertical="center" wrapText="1"/>
    </xf>
    <xf numFmtId="176" fontId="12" fillId="19" borderId="30" applyAlignment="1" pivotButton="0" quotePrefix="0" xfId="0">
      <alignment horizontal="center" vertical="center" wrapText="1"/>
    </xf>
    <xf numFmtId="174" fontId="12" fillId="19" borderId="30" applyAlignment="1" pivotButton="0" quotePrefix="0" xfId="0">
      <alignment horizontal="center" vertical="center" wrapText="1"/>
    </xf>
    <xf numFmtId="175" fontId="12" fillId="19" borderId="30" applyAlignment="1" pivotButton="0" quotePrefix="0" xfId="0">
      <alignment horizontal="center" vertical="center" wrapText="1"/>
    </xf>
    <xf numFmtId="0" fontId="12" fillId="14" borderId="29" applyAlignment="1" pivotButton="0" quotePrefix="0" xfId="0">
      <alignment horizontal="left" vertical="center" wrapText="1"/>
    </xf>
    <xf numFmtId="0" fontId="12" fillId="14" borderId="4" applyAlignment="1" pivotButton="0" quotePrefix="0" xfId="0">
      <alignment horizontal="right" vertical="center" wrapText="1"/>
    </xf>
    <xf numFmtId="180" fontId="12" fillId="14" borderId="4" applyAlignment="1" pivotButton="0" quotePrefix="0" xfId="0">
      <alignment horizontal="left" vertical="center" wrapText="1"/>
    </xf>
    <xf numFmtId="49" fontId="12" fillId="16" borderId="31" applyAlignment="1" pivotButton="0" quotePrefix="0" xfId="0">
      <alignment horizontal="left" vertical="top" wrapText="1"/>
    </xf>
    <xf numFmtId="167" fontId="12" fillId="2" borderId="32" applyAlignment="1" pivotButton="0" quotePrefix="0" xfId="0">
      <alignment horizontal="right" vertical="top" wrapText="1"/>
    </xf>
    <xf numFmtId="181" fontId="12" fillId="19" borderId="32" applyAlignment="1" pivotButton="0" quotePrefix="0" xfId="0">
      <alignment horizontal="right" vertical="top" wrapText="1"/>
    </xf>
    <xf numFmtId="182" fontId="12" fillId="19" borderId="32" applyAlignment="1" pivotButton="0" quotePrefix="0" xfId="0">
      <alignment horizontal="right" vertical="top" wrapText="1"/>
    </xf>
    <xf numFmtId="172" fontId="12" fillId="19" borderId="32" applyAlignment="1" pivotButton="0" quotePrefix="0" xfId="0">
      <alignment horizontal="right" vertical="top" wrapText="1"/>
    </xf>
    <xf numFmtId="173" fontId="12" fillId="19" borderId="32" applyAlignment="1" pivotButton="0" quotePrefix="0" xfId="0">
      <alignment horizontal="right" vertical="top" wrapText="1"/>
    </xf>
    <xf numFmtId="176" fontId="12" fillId="19" borderId="32" applyAlignment="1" pivotButton="0" quotePrefix="0" xfId="0">
      <alignment horizontal="right" vertical="top" wrapText="1"/>
    </xf>
    <xf numFmtId="174" fontId="12" fillId="19" borderId="32" applyAlignment="1" pivotButton="0" quotePrefix="0" xfId="0">
      <alignment horizontal="right" vertical="top" wrapText="1"/>
    </xf>
    <xf numFmtId="175" fontId="12" fillId="19" borderId="32" applyAlignment="1" pivotButton="0" quotePrefix="0" xfId="0">
      <alignment horizontal="right" vertical="top" wrapText="1"/>
    </xf>
    <xf numFmtId="167" fontId="12" fillId="2" borderId="33" applyAlignment="1" pivotButton="0" quotePrefix="0" xfId="0">
      <alignment horizontal="right" vertical="top" wrapText="1"/>
    </xf>
    <xf numFmtId="0" fontId="12" fillId="2" borderId="5" applyAlignment="1" pivotButton="0" quotePrefix="0" xfId="0">
      <alignment horizontal="right" vertical="top" wrapText="1"/>
    </xf>
    <xf numFmtId="180" fontId="12" fillId="2" borderId="5" applyAlignment="1" pivotButton="0" quotePrefix="0" xfId="0">
      <alignment horizontal="left" vertical="top" wrapText="1"/>
    </xf>
    <xf numFmtId="49" fontId="12" fillId="16" borderId="34" applyAlignment="1" pivotButton="0" quotePrefix="0" xfId="0">
      <alignment horizontal="left" vertical="top" wrapText="1"/>
    </xf>
    <xf numFmtId="167" fontId="12" fillId="2" borderId="35" applyAlignment="1" pivotButton="0" quotePrefix="0" xfId="0">
      <alignment horizontal="right" vertical="top" wrapText="1"/>
    </xf>
    <xf numFmtId="167" fontId="12" fillId="2" borderId="36" applyAlignment="1" pivotButton="0" quotePrefix="0" xfId="0">
      <alignment horizontal="right" vertical="top" wrapText="1"/>
    </xf>
    <xf numFmtId="167" fontId="12" fillId="2" borderId="37" applyAlignment="1" pivotButton="0" quotePrefix="0" xfId="0">
      <alignment horizontal="right" vertical="top" wrapText="1"/>
    </xf>
    <xf numFmtId="166" fontId="12" fillId="2" borderId="15" applyAlignment="1" pivotButton="0" quotePrefix="0" xfId="0">
      <alignment horizontal="right" vertical="top" wrapText="1"/>
    </xf>
    <xf numFmtId="167" fontId="12" fillId="16" borderId="38" applyAlignment="1" pivotButton="0" quotePrefix="0" xfId="0">
      <alignment horizontal="right" vertical="center" wrapText="1"/>
    </xf>
    <xf numFmtId="181" fontId="12" fillId="19" borderId="38" applyAlignment="1" pivotButton="0" quotePrefix="0" xfId="0">
      <alignment horizontal="right" vertical="center" wrapText="1"/>
    </xf>
    <xf numFmtId="182" fontId="12" fillId="19" borderId="38" applyAlignment="1" pivotButton="0" quotePrefix="0" xfId="0">
      <alignment horizontal="right" vertical="center" wrapText="1"/>
    </xf>
    <xf numFmtId="172" fontId="12" fillId="19" borderId="38" applyAlignment="1" pivotButton="0" quotePrefix="0" xfId="0">
      <alignment horizontal="right" vertical="center" wrapText="1"/>
    </xf>
    <xf numFmtId="173" fontId="12" fillId="19" borderId="38" applyAlignment="1" pivotButton="0" quotePrefix="0" xfId="0">
      <alignment horizontal="right" vertical="center" wrapText="1"/>
    </xf>
    <xf numFmtId="176" fontId="12" fillId="19" borderId="38" applyAlignment="1" pivotButton="0" quotePrefix="0" xfId="0">
      <alignment horizontal="right" vertical="center" wrapText="1"/>
    </xf>
    <xf numFmtId="174" fontId="12" fillId="19" borderId="38" applyAlignment="1" pivotButton="0" quotePrefix="0" xfId="0">
      <alignment horizontal="right" vertical="center" wrapText="1"/>
    </xf>
    <xf numFmtId="175" fontId="12" fillId="19" borderId="38" applyAlignment="1" pivotButton="0" quotePrefix="0" xfId="0">
      <alignment horizontal="right" vertical="center" wrapText="1"/>
    </xf>
    <xf numFmtId="167" fontId="12" fillId="16" borderId="39" applyAlignment="1" pivotButton="0" quotePrefix="0" xfId="0">
      <alignment horizontal="right" vertical="center" wrapText="1"/>
    </xf>
    <xf numFmtId="180" fontId="12" fillId="16" borderId="39" applyAlignment="1" pivotButton="0" quotePrefix="0" xfId="0">
      <alignment horizontal="left" vertical="center" wrapText="1"/>
    </xf>
    <xf numFmtId="180" fontId="12" fillId="16" borderId="19" applyAlignment="1" pivotButton="0" quotePrefix="0" xfId="0">
      <alignment horizontal="left" vertical="center" wrapText="1"/>
    </xf>
    <xf numFmtId="49" fontId="12" fillId="16" borderId="40" applyAlignment="1" pivotButton="0" quotePrefix="0" xfId="0">
      <alignment horizontal="left" vertical="center" wrapText="1"/>
    </xf>
    <xf numFmtId="167" fontId="12" fillId="16" borderId="41" applyAlignment="1" pivotButton="0" quotePrefix="0" xfId="0">
      <alignment horizontal="right" vertical="center" wrapText="1"/>
    </xf>
    <xf numFmtId="181" fontId="12" fillId="19" borderId="41" applyAlignment="1" pivotButton="0" quotePrefix="0" xfId="0">
      <alignment horizontal="right" vertical="center" wrapText="1"/>
    </xf>
    <xf numFmtId="182" fontId="12" fillId="19" borderId="41" applyAlignment="1" pivotButton="0" quotePrefix="0" xfId="0">
      <alignment horizontal="right" vertical="center" wrapText="1"/>
    </xf>
    <xf numFmtId="172" fontId="12" fillId="19" borderId="41" applyAlignment="1" pivotButton="0" quotePrefix="0" xfId="0">
      <alignment horizontal="right" vertical="center" wrapText="1"/>
    </xf>
    <xf numFmtId="173" fontId="12" fillId="19" borderId="41" applyAlignment="1" pivotButton="0" quotePrefix="0" xfId="0">
      <alignment horizontal="right" vertical="center" wrapText="1"/>
    </xf>
    <xf numFmtId="176" fontId="12" fillId="19" borderId="41" applyAlignment="1" pivotButton="0" quotePrefix="0" xfId="0">
      <alignment horizontal="right" vertical="center" wrapText="1"/>
    </xf>
    <xf numFmtId="174" fontId="12" fillId="19" borderId="41" applyAlignment="1" pivotButton="0" quotePrefix="0" xfId="0">
      <alignment horizontal="right" vertical="center" wrapText="1"/>
    </xf>
    <xf numFmtId="175" fontId="12" fillId="19" borderId="41" applyAlignment="1" pivotButton="0" quotePrefix="0" xfId="0">
      <alignment horizontal="right" vertical="center" wrapText="1"/>
    </xf>
    <xf numFmtId="167" fontId="12" fillId="16" borderId="42" applyAlignment="1" pivotButton="0" quotePrefix="0" xfId="0">
      <alignment horizontal="right" vertical="center" wrapText="1"/>
    </xf>
    <xf numFmtId="180" fontId="12" fillId="16" borderId="0" applyAlignment="1" pivotButton="0" quotePrefix="0" xfId="0">
      <alignment horizontal="left" vertical="center" wrapText="1"/>
    </xf>
    <xf numFmtId="167" fontId="12" fillId="16" borderId="0" applyAlignment="1" pivotButton="0" quotePrefix="0" xfId="0">
      <alignment horizontal="right" vertical="center" wrapText="1"/>
    </xf>
    <xf numFmtId="49" fontId="12" fillId="16" borderId="43" applyAlignment="1" pivotButton="0" quotePrefix="0" xfId="0">
      <alignment horizontal="left" vertical="center" wrapText="1"/>
    </xf>
    <xf numFmtId="181" fontId="12" fillId="19" borderId="4" applyAlignment="1" pivotButton="0" quotePrefix="0" xfId="0">
      <alignment horizontal="right" vertical="center" wrapText="1"/>
    </xf>
    <xf numFmtId="182" fontId="12" fillId="19" borderId="4" applyAlignment="1" pivotButton="0" quotePrefix="0" xfId="0">
      <alignment horizontal="right" vertical="center" wrapText="1"/>
    </xf>
    <xf numFmtId="172" fontId="12" fillId="19" borderId="4" applyAlignment="1" pivotButton="0" quotePrefix="0" xfId="0">
      <alignment horizontal="right" vertical="center" wrapText="1"/>
    </xf>
    <xf numFmtId="173" fontId="12" fillId="19" borderId="4" applyAlignment="1" pivotButton="0" quotePrefix="0" xfId="0">
      <alignment horizontal="right" vertical="center" wrapText="1"/>
    </xf>
    <xf numFmtId="176" fontId="12" fillId="19" borderId="4" applyAlignment="1" pivotButton="0" quotePrefix="0" xfId="0">
      <alignment horizontal="right" vertical="center" wrapText="1"/>
    </xf>
    <xf numFmtId="174" fontId="12" fillId="19" borderId="4" applyAlignment="1" pivotButton="0" quotePrefix="0" xfId="0">
      <alignment horizontal="right" vertical="center" wrapText="1"/>
    </xf>
    <xf numFmtId="175" fontId="12" fillId="19" borderId="4" applyAlignment="1" pivotButton="0" quotePrefix="0" xfId="0">
      <alignment horizontal="right" vertical="center" wrapText="1"/>
    </xf>
    <xf numFmtId="167" fontId="12" fillId="16" borderId="44" applyAlignment="1" pivotButton="0" quotePrefix="0" xfId="0">
      <alignment horizontal="right" vertical="center" wrapText="1"/>
    </xf>
    <xf numFmtId="181" fontId="12" fillId="19" borderId="21" applyAlignment="1" pivotButton="0" quotePrefix="0" xfId="0">
      <alignment horizontal="right" vertical="center" wrapText="1"/>
    </xf>
    <xf numFmtId="182" fontId="12" fillId="19" borderId="21" applyAlignment="1" pivotButton="0" quotePrefix="0" xfId="0">
      <alignment horizontal="right" vertical="center" wrapText="1"/>
    </xf>
    <xf numFmtId="172" fontId="12" fillId="19" borderId="21" applyAlignment="1" pivotButton="0" quotePrefix="0" xfId="0">
      <alignment horizontal="right" vertical="center" wrapText="1"/>
    </xf>
    <xf numFmtId="173" fontId="12" fillId="19" borderId="21" applyAlignment="1" pivotButton="0" quotePrefix="0" xfId="0">
      <alignment horizontal="right" vertical="center" wrapText="1"/>
    </xf>
    <xf numFmtId="176" fontId="12" fillId="19" borderId="21" applyAlignment="1" pivotButton="0" quotePrefix="0" xfId="0">
      <alignment horizontal="right" vertical="center" wrapText="1"/>
    </xf>
    <xf numFmtId="174" fontId="12" fillId="19" borderId="21" applyAlignment="1" pivotButton="0" quotePrefix="0" xfId="0">
      <alignment horizontal="right" vertical="center" wrapText="1"/>
    </xf>
    <xf numFmtId="175" fontId="12" fillId="19" borderId="21" applyAlignment="1" pivotButton="0" quotePrefix="0" xfId="0">
      <alignment horizontal="right" vertical="center" wrapText="1"/>
    </xf>
    <xf numFmtId="180" fontId="12" fillId="16" borderId="45" applyAlignment="1" pivotButton="0" quotePrefix="0" xfId="0">
      <alignment horizontal="left" vertical="center" wrapText="1"/>
    </xf>
    <xf numFmtId="167" fontId="12" fillId="16" borderId="46" applyAlignment="1" pivotButton="0" quotePrefix="0" xfId="0">
      <alignment horizontal="right" vertical="center" wrapText="1"/>
    </xf>
    <xf numFmtId="180" fontId="12" fillId="16" borderId="47" applyAlignment="1" pivotButton="0" quotePrefix="0" xfId="0">
      <alignment horizontal="left" vertical="center" wrapText="1"/>
    </xf>
    <xf numFmtId="167" fontId="12" fillId="16" borderId="48" applyAlignment="1" pivotButton="0" quotePrefix="0" xfId="0">
      <alignment horizontal="right" vertical="center" wrapText="1"/>
    </xf>
    <xf numFmtId="167" fontId="12" fillId="16" borderId="48" applyAlignment="1" pivotButton="0" quotePrefix="0" xfId="0">
      <alignment horizontal="right" vertical="center" wrapText="1"/>
    </xf>
    <xf numFmtId="180" fontId="12" fillId="16" borderId="49" applyAlignment="1" pivotButton="0" quotePrefix="0" xfId="0">
      <alignment horizontal="left" vertical="center" wrapText="1"/>
    </xf>
    <xf numFmtId="167" fontId="12" fillId="16" borderId="50" applyAlignment="1" pivotButton="0" quotePrefix="0" xfId="0">
      <alignment horizontal="right" vertical="center" wrapText="1"/>
    </xf>
    <xf numFmtId="0" fontId="17" fillId="2" borderId="0" applyAlignment="1" pivotButton="0" quotePrefix="0" xfId="0">
      <alignment horizontal="center" vertical="top" wrapText="1"/>
    </xf>
    <xf numFmtId="0" fontId="17" fillId="14" borderId="0" applyAlignment="1" pivotButton="0" quotePrefix="0" xfId="0">
      <alignment horizontal="general" vertical="top" wrapText="1"/>
    </xf>
    <xf numFmtId="49" fontId="12" fillId="14" borderId="51" applyAlignment="1" pivotButton="0" quotePrefix="0" xfId="0">
      <alignment horizontal="left" vertical="center"/>
    </xf>
    <xf numFmtId="0" fontId="12" fillId="14" borderId="5" applyAlignment="1" pivotButton="0" quotePrefix="0" xfId="0">
      <alignment horizontal="center" vertical="center" wrapText="1"/>
    </xf>
    <xf numFmtId="0" fontId="12" fillId="14" borderId="51" applyAlignment="1" pivotButton="0" quotePrefix="0" xfId="0">
      <alignment horizontal="center" vertical="center" wrapText="1"/>
    </xf>
    <xf numFmtId="164" fontId="12" fillId="15" borderId="5" applyAlignment="1" pivotButton="0" quotePrefix="0" xfId="0">
      <alignment horizontal="center" vertical="center" wrapText="1"/>
    </xf>
    <xf numFmtId="0" fontId="17" fillId="14" borderId="52" applyAlignment="1" pivotButton="0" quotePrefix="0" xfId="0">
      <alignment horizontal="general" vertical="center" wrapText="1"/>
    </xf>
    <xf numFmtId="49" fontId="12" fillId="14" borderId="51" applyAlignment="1" pivotButton="0" quotePrefix="0" xfId="0">
      <alignment horizontal="left" vertical="center" wrapText="1"/>
    </xf>
    <xf numFmtId="49" fontId="19" fillId="14" borderId="5" applyAlignment="1" pivotButton="0" quotePrefix="0" xfId="0">
      <alignment horizontal="center" vertical="center" wrapText="1"/>
    </xf>
    <xf numFmtId="49" fontId="13" fillId="14" borderId="5" applyAlignment="1" pivotButton="0" quotePrefix="0" xfId="0">
      <alignment horizontal="center" vertical="center" wrapText="1"/>
    </xf>
    <xf numFmtId="49" fontId="13" fillId="16" borderId="5" applyAlignment="1" pivotButton="0" quotePrefix="0" xfId="0">
      <alignment horizontal="left" vertical="top" wrapText="1"/>
    </xf>
    <xf numFmtId="165" fontId="12" fillId="16" borderId="5" applyAlignment="1" pivotButton="0" quotePrefix="0" xfId="0">
      <alignment horizontal="left" vertical="top" wrapText="1"/>
    </xf>
    <xf numFmtId="164" fontId="12" fillId="16" borderId="5" applyAlignment="1" pivotButton="0" quotePrefix="0" xfId="0">
      <alignment horizontal="left" vertical="top" wrapText="1"/>
    </xf>
    <xf numFmtId="167" fontId="12" fillId="16" borderId="5" applyAlignment="1" pivotButton="0" quotePrefix="0" xfId="0">
      <alignment horizontal="left" vertical="top" wrapText="1"/>
    </xf>
    <xf numFmtId="0" fontId="17" fillId="2" borderId="0" applyAlignment="1" pivotButton="0" quotePrefix="0" xfId="0">
      <alignment horizontal="center" vertical="top" wrapText="1"/>
    </xf>
    <xf numFmtId="183" fontId="12" fillId="16" borderId="5" applyAlignment="1" pivotButton="0" quotePrefix="0" xfId="0">
      <alignment horizontal="left" vertical="top" wrapText="1"/>
    </xf>
    <xf numFmtId="172" fontId="12" fillId="16" borderId="5" applyAlignment="1" pivotButton="0" quotePrefix="0" xfId="0">
      <alignment horizontal="left" vertical="top" wrapText="1"/>
    </xf>
    <xf numFmtId="49" fontId="12" fillId="19" borderId="5" applyAlignment="1" pivotButton="0" quotePrefix="0" xfId="0">
      <alignment horizontal="left" vertical="top" wrapText="1"/>
    </xf>
    <xf numFmtId="183" fontId="12" fillId="19" borderId="5" applyAlignment="1" pivotButton="0" quotePrefix="0" xfId="0">
      <alignment horizontal="left" vertical="top" wrapText="1"/>
    </xf>
    <xf numFmtId="164" fontId="12" fillId="2" borderId="5" applyAlignment="1" pivotButton="0" quotePrefix="0" xfId="0">
      <alignment horizontal="left" vertical="top" wrapText="1"/>
    </xf>
    <xf numFmtId="172" fontId="12" fillId="19" borderId="5" applyAlignment="1" pivotButton="0" quotePrefix="0" xfId="0">
      <alignment horizontal="left" vertical="top" wrapText="1"/>
    </xf>
    <xf numFmtId="184" fontId="12" fillId="19" borderId="5" applyAlignment="1" pivotButton="0" quotePrefix="0" xfId="0">
      <alignment horizontal="left" vertical="top" wrapText="1"/>
    </xf>
    <xf numFmtId="167" fontId="12" fillId="2" borderId="5" applyAlignment="1" pivotButton="0" quotePrefix="0" xfId="0">
      <alignment horizontal="left" vertical="top" wrapText="1"/>
    </xf>
    <xf numFmtId="185" fontId="12" fillId="19" borderId="5" applyAlignment="1" pivotButton="0" quotePrefix="0" xfId="0">
      <alignment horizontal="left" vertical="top" wrapText="1"/>
    </xf>
    <xf numFmtId="186" fontId="12" fillId="19" borderId="5" applyAlignment="1" pivotButton="0" quotePrefix="0" xfId="0">
      <alignment horizontal="left" vertical="top" wrapText="1"/>
    </xf>
    <xf numFmtId="187" fontId="12" fillId="19" borderId="5" applyAlignment="1" pivotButton="0" quotePrefix="0" xfId="0">
      <alignment horizontal="left" vertical="top" wrapText="1"/>
    </xf>
    <xf numFmtId="3" fontId="12" fillId="16" borderId="5" applyAlignment="1" pivotButton="0" quotePrefix="0" xfId="0">
      <alignment horizontal="left" vertical="top" wrapText="1"/>
    </xf>
    <xf numFmtId="49" fontId="12" fillId="16" borderId="53" applyAlignment="1" pivotButton="0" quotePrefix="0" xfId="0">
      <alignment horizontal="left" vertical="top" wrapText="1"/>
    </xf>
    <xf numFmtId="49" fontId="12" fillId="16" borderId="53" applyAlignment="1" pivotButton="0" quotePrefix="0" xfId="0">
      <alignment horizontal="center" vertical="top" wrapText="1"/>
    </xf>
    <xf numFmtId="165" fontId="12" fillId="15" borderId="53" applyAlignment="1" pivotButton="0" quotePrefix="0" xfId="0">
      <alignment horizontal="right" vertical="top" wrapText="1"/>
    </xf>
    <xf numFmtId="166" fontId="12" fillId="16" borderId="54" applyAlignment="1" pivotButton="0" quotePrefix="0" xfId="0">
      <alignment horizontal="center" vertical="center" wrapText="1"/>
    </xf>
    <xf numFmtId="164" fontId="12" fillId="15" borderId="53" applyAlignment="1" pivotButton="0" quotePrefix="0" xfId="0">
      <alignment horizontal="center" vertical="top" wrapText="1"/>
    </xf>
    <xf numFmtId="165" fontId="12" fillId="16" borderId="53" applyAlignment="1" pivotButton="0" quotePrefix="0" xfId="0">
      <alignment horizontal="right" vertical="top" wrapText="1"/>
    </xf>
    <xf numFmtId="164" fontId="12" fillId="16" borderId="53" applyAlignment="1" pivotButton="0" quotePrefix="0" xfId="0">
      <alignment horizontal="center" vertical="top" wrapText="1"/>
    </xf>
    <xf numFmtId="165" fontId="12" fillId="16" borderId="5" applyAlignment="1" pivotButton="0" quotePrefix="0" xfId="0">
      <alignment horizontal="right" vertical="top" wrapText="1"/>
    </xf>
    <xf numFmtId="166" fontId="12" fillId="16" borderId="55" applyAlignment="1" pivotButton="0" quotePrefix="0" xfId="0">
      <alignment horizontal="center" vertical="center" wrapText="1"/>
    </xf>
    <xf numFmtId="164" fontId="12" fillId="16" borderId="5" applyAlignment="1" pivotButton="0" quotePrefix="0" xfId="0">
      <alignment horizontal="center" vertical="top" wrapText="1"/>
    </xf>
    <xf numFmtId="166" fontId="12" fillId="16" borderId="56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general" vertical="top" wrapText="1"/>
    </xf>
    <xf numFmtId="188" fontId="16" fillId="2" borderId="5" applyAlignment="1" pivotButton="0" quotePrefix="0" xfId="0">
      <alignment horizontal="center" vertical="top" wrapText="1"/>
    </xf>
    <xf numFmtId="177" fontId="12" fillId="14" borderId="5" applyAlignment="1" pivotButton="0" quotePrefix="0" xfId="0">
      <alignment horizontal="left" vertical="center"/>
    </xf>
    <xf numFmtId="171" fontId="12" fillId="14" borderId="6" applyAlignment="1" pivotButton="0" quotePrefix="0" xfId="0">
      <alignment horizontal="left" vertical="center"/>
    </xf>
    <xf numFmtId="189" fontId="12" fillId="14" borderId="15" applyAlignment="1" pivotButton="0" quotePrefix="0" xfId="0">
      <alignment horizontal="left" vertical="center"/>
    </xf>
    <xf numFmtId="0" fontId="14" fillId="14" borderId="5" applyAlignment="1" pivotButton="0" quotePrefix="0" xfId="0">
      <alignment horizontal="center" vertical="center" wrapText="1"/>
    </xf>
    <xf numFmtId="49" fontId="12" fillId="14" borderId="11" applyAlignment="1" pivotButton="0" quotePrefix="0" xfId="0">
      <alignment horizontal="center" vertical="center"/>
    </xf>
    <xf numFmtId="188" fontId="16" fillId="2" borderId="5" applyAlignment="1" pivotButton="0" quotePrefix="0" xfId="0">
      <alignment horizontal="center" vertical="center" wrapText="1"/>
    </xf>
    <xf numFmtId="49" fontId="14" fillId="2" borderId="5" applyAlignment="1" pivotButton="0" quotePrefix="0" xfId="0">
      <alignment horizontal="left" vertical="center"/>
    </xf>
    <xf numFmtId="167" fontId="14" fillId="2" borderId="5" applyAlignment="1" pivotButton="0" quotePrefix="0" xfId="0">
      <alignment horizontal="right" vertical="center" wrapText="1"/>
    </xf>
    <xf numFmtId="49" fontId="14" fillId="2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49" fontId="14" fillId="2" borderId="5" applyAlignment="1" pivotButton="0" quotePrefix="0" xfId="0">
      <alignment horizontal="left" vertical="center" wrapText="1"/>
    </xf>
    <xf numFmtId="49" fontId="14" fillId="2" borderId="5" applyAlignment="1" pivotButton="0" quotePrefix="0" xfId="0">
      <alignment horizontal="left" vertical="top"/>
    </xf>
    <xf numFmtId="49" fontId="20" fillId="2" borderId="5" applyAlignment="1" pivotButton="0" quotePrefix="0" xfId="0">
      <alignment horizontal="left" vertical="center" wrapText="1"/>
    </xf>
    <xf numFmtId="167" fontId="20" fillId="2" borderId="5" applyAlignment="1" pivotButton="0" quotePrefix="0" xfId="0">
      <alignment horizontal="right" vertical="center" wrapText="1"/>
    </xf>
    <xf numFmtId="49" fontId="20" fillId="2" borderId="5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center" wrapText="1"/>
    </xf>
    <xf numFmtId="0" fontId="18" fillId="14" borderId="5" applyAlignment="1" pivotButton="0" quotePrefix="0" xfId="0">
      <alignment horizontal="center" vertical="center" wrapText="1"/>
    </xf>
    <xf numFmtId="0" fontId="12" fillId="14" borderId="7" applyAlignment="1" pivotButton="0" quotePrefix="0" xfId="0">
      <alignment horizontal="left" vertical="center" wrapText="1"/>
    </xf>
    <xf numFmtId="49" fontId="12" fillId="14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164" fontId="12" fillId="2" borderId="5" applyAlignment="1" pivotButton="0" quotePrefix="0" xfId="0">
      <alignment horizontal="center" vertical="top" wrapText="1"/>
    </xf>
    <xf numFmtId="0" fontId="12" fillId="2" borderId="5" applyAlignment="1" pivotButton="0" quotePrefix="0" xfId="0">
      <alignment horizontal="center" vertical="top" wrapText="1"/>
    </xf>
    <xf numFmtId="49" fontId="12" fillId="2" borderId="57" applyAlignment="1" pivotButton="0" quotePrefix="0" xfId="0">
      <alignment horizontal="center" vertical="top" wrapText="1"/>
    </xf>
    <xf numFmtId="167" fontId="12" fillId="2" borderId="5" applyAlignment="1" pivotButton="0" quotePrefix="0" xfId="0">
      <alignment horizontal="right" vertical="top" wrapText="1"/>
    </xf>
    <xf numFmtId="0" fontId="17" fillId="2" borderId="0" applyAlignment="1" pivotButton="0" quotePrefix="0" xfId="0">
      <alignment horizontal="general" vertical="top" wrapText="1"/>
    </xf>
    <xf numFmtId="172" fontId="12" fillId="19" borderId="5" applyAlignment="1" pivotButton="0" quotePrefix="0" xfId="0">
      <alignment horizontal="right" vertical="top" wrapText="1"/>
    </xf>
    <xf numFmtId="173" fontId="12" fillId="19" borderId="5" applyAlignment="1" pivotButton="0" quotePrefix="0" xfId="0">
      <alignment horizontal="right" vertical="top" wrapText="1"/>
    </xf>
    <xf numFmtId="174" fontId="12" fillId="19" borderId="5" applyAlignment="1" pivotButton="0" quotePrefix="0" xfId="0">
      <alignment horizontal="right" vertical="top" wrapText="1"/>
    </xf>
    <xf numFmtId="175" fontId="12" fillId="19" borderId="5" applyAlignment="1" pivotButton="0" quotePrefix="0" xfId="0">
      <alignment horizontal="right" vertical="top" wrapText="1"/>
    </xf>
    <xf numFmtId="176" fontId="12" fillId="19" borderId="5" applyAlignment="1" pivotButton="0" quotePrefix="0" xfId="0">
      <alignment horizontal="right" vertical="top" wrapText="1"/>
    </xf>
    <xf numFmtId="0" fontId="12" fillId="16" borderId="5" applyAlignment="1" pivotButton="0" quotePrefix="0" xfId="0">
      <alignment horizontal="left" vertical="top" wrapText="1"/>
    </xf>
    <xf numFmtId="4" fontId="16" fillId="2" borderId="5" applyAlignment="1" pivotButton="0" quotePrefix="0" xfId="0">
      <alignment horizontal="right" vertical="top"/>
    </xf>
    <xf numFmtId="3" fontId="12" fillId="2" borderId="5" applyAlignment="1" pivotButton="0" quotePrefix="0" xfId="0">
      <alignment horizontal="right" vertical="top" wrapText="1"/>
    </xf>
    <xf numFmtId="49" fontId="12" fillId="14" borderId="5" applyAlignment="1" pivotButton="0" quotePrefix="0" xfId="0">
      <alignment horizontal="left" vertical="center"/>
    </xf>
    <xf numFmtId="49" fontId="21" fillId="14" borderId="5" applyAlignment="1" pivotButton="0" quotePrefix="0" xfId="0">
      <alignment horizontal="left" vertical="center" wrapText="1"/>
    </xf>
    <xf numFmtId="167" fontId="12" fillId="14" borderId="7" applyAlignment="1" pivotButton="0" quotePrefix="0" xfId="0">
      <alignment horizontal="left" vertical="center" wrapText="1"/>
    </xf>
    <xf numFmtId="167" fontId="12" fillId="14" borderId="7" applyAlignment="1" pivotButton="0" quotePrefix="0" xfId="0">
      <alignment horizontal="left" vertical="center"/>
    </xf>
    <xf numFmtId="167" fontId="21" fillId="14" borderId="7" applyAlignment="1" pivotButton="0" quotePrefix="0" xfId="0">
      <alignment horizontal="left" vertical="center" wrapText="1"/>
    </xf>
    <xf numFmtId="0" fontId="12" fillId="16" borderId="6" applyAlignment="1" pivotButton="0" quotePrefix="0" xfId="0">
      <alignment horizontal="center" vertical="top" wrapText="1"/>
    </xf>
    <xf numFmtId="0" fontId="12" fillId="2" borderId="5" applyAlignment="1" pivotButton="0" quotePrefix="0" xfId="0">
      <alignment horizontal="left" vertical="top" wrapText="1"/>
    </xf>
    <xf numFmtId="3" fontId="12" fillId="2" borderId="5" applyAlignment="1" pivotButton="0" quotePrefix="0" xfId="0">
      <alignment horizontal="left" vertical="top" wrapText="1"/>
    </xf>
    <xf numFmtId="3" fontId="12" fillId="2" borderId="5" applyAlignment="1" pivotButton="0" quotePrefix="0" xfId="0">
      <alignment horizontal="left" vertical="top"/>
    </xf>
    <xf numFmtId="3" fontId="21" fillId="2" borderId="5" applyAlignment="1" pivotButton="0" quotePrefix="0" xfId="0">
      <alignment horizontal="left" vertical="top" wrapText="1"/>
    </xf>
    <xf numFmtId="0" fontId="12" fillId="16" borderId="5" applyAlignment="1" pivotButton="0" quotePrefix="0" xfId="0">
      <alignment horizontal="center" vertical="top" wrapText="1"/>
    </xf>
    <xf numFmtId="167" fontId="12" fillId="2" borderId="5" applyAlignment="1" pivotButton="0" quotePrefix="0" xfId="0">
      <alignment horizontal="left" vertical="top" wrapText="1"/>
    </xf>
    <xf numFmtId="181" fontId="12" fillId="19" borderId="5" applyAlignment="1" pivotButton="0" quotePrefix="0" xfId="0">
      <alignment horizontal="left" vertical="top"/>
    </xf>
    <xf numFmtId="182" fontId="12" fillId="19" borderId="5" applyAlignment="1" pivotButton="0" quotePrefix="0" xfId="0">
      <alignment horizontal="left" vertical="top"/>
    </xf>
    <xf numFmtId="172" fontId="21" fillId="19" borderId="5" applyAlignment="1" pivotButton="0" quotePrefix="0" xfId="0">
      <alignment horizontal="left" vertical="top" wrapText="1"/>
    </xf>
    <xf numFmtId="173" fontId="21" fillId="19" borderId="5" applyAlignment="1" pivotButton="0" quotePrefix="0" xfId="0">
      <alignment horizontal="left" vertical="top" wrapText="1"/>
    </xf>
    <xf numFmtId="176" fontId="21" fillId="19" borderId="5" applyAlignment="1" pivotButton="0" quotePrefix="0" xfId="0">
      <alignment horizontal="left" vertical="top" wrapText="1"/>
    </xf>
    <xf numFmtId="174" fontId="21" fillId="19" borderId="5" applyAlignment="1" pivotButton="0" quotePrefix="0" xfId="0">
      <alignment horizontal="left" vertical="top" wrapText="1"/>
    </xf>
    <xf numFmtId="175" fontId="21" fillId="19" borderId="5" applyAlignment="1" pivotButton="0" quotePrefix="0" xfId="0">
      <alignment horizontal="left" vertical="top" wrapText="1"/>
    </xf>
    <xf numFmtId="0" fontId="12" fillId="16" borderId="5" applyAlignment="1" pivotButton="0" quotePrefix="0" xfId="0">
      <alignment horizontal="left" vertical="top" wrapText="1" indent="5"/>
    </xf>
    <xf numFmtId="165" fontId="12" fillId="2" borderId="5" applyAlignment="1" pivotButton="0" quotePrefix="0" xfId="0">
      <alignment horizontal="left" vertical="top" wrapText="1"/>
    </xf>
    <xf numFmtId="190" fontId="12" fillId="19" borderId="5" applyAlignment="1" pivotButton="0" quotePrefix="0" xfId="0">
      <alignment horizontal="left" vertical="top"/>
    </xf>
    <xf numFmtId="191" fontId="12" fillId="19" borderId="5" applyAlignment="1" pivotButton="0" quotePrefix="0" xfId="0">
      <alignment horizontal="left" vertical="top"/>
    </xf>
    <xf numFmtId="183" fontId="21" fillId="19" borderId="5" applyAlignment="1" pivotButton="0" quotePrefix="0" xfId="0">
      <alignment horizontal="left" vertical="top" wrapText="1"/>
    </xf>
    <xf numFmtId="187" fontId="21" fillId="19" borderId="5" applyAlignment="1" pivotButton="0" quotePrefix="0" xfId="0">
      <alignment horizontal="left" vertical="top" wrapText="1"/>
    </xf>
    <xf numFmtId="184" fontId="21" fillId="19" borderId="5" applyAlignment="1" pivotButton="0" quotePrefix="0" xfId="0">
      <alignment horizontal="left" vertical="top" wrapText="1"/>
    </xf>
    <xf numFmtId="185" fontId="21" fillId="19" borderId="5" applyAlignment="1" pivotButton="0" quotePrefix="0" xfId="0">
      <alignment horizontal="left" vertical="top" wrapText="1"/>
    </xf>
    <xf numFmtId="186" fontId="21" fillId="19" borderId="5" applyAlignment="1" pivotButton="0" quotePrefix="0" xfId="0">
      <alignment horizontal="left" vertical="top" wrapText="1"/>
    </xf>
    <xf numFmtId="0" fontId="12" fillId="16" borderId="5" applyAlignment="1" pivotButton="0" quotePrefix="0" xfId="0">
      <alignment horizontal="left" vertical="top" wrapText="1" indent="7"/>
    </xf>
    <xf numFmtId="167" fontId="12" fillId="2" borderId="5" applyAlignment="1" pivotButton="0" quotePrefix="0" xfId="0">
      <alignment horizontal="left" vertical="top"/>
    </xf>
    <xf numFmtId="167" fontId="21" fillId="2" borderId="5" applyAlignment="1" pivotButton="0" quotePrefix="0" xfId="0">
      <alignment horizontal="left" vertical="top" wrapText="1"/>
    </xf>
    <xf numFmtId="0" fontId="13" fillId="16" borderId="5" applyAlignment="1" pivotButton="0" quotePrefix="0" xfId="0">
      <alignment horizontal="left" vertical="top" wrapText="1" indent="5"/>
    </xf>
    <xf numFmtId="180" fontId="12" fillId="2" borderId="6" applyAlignment="1" pivotButton="0" quotePrefix="0" xfId="0">
      <alignment horizontal="left" vertical="top" wrapText="1"/>
    </xf>
    <xf numFmtId="180" fontId="12" fillId="2" borderId="5" applyAlignment="1" pivotButton="0" quotePrefix="0" xfId="0">
      <alignment horizontal="left" vertical="top"/>
    </xf>
    <xf numFmtId="180" fontId="21" fillId="2" borderId="5" applyAlignment="1" pivotButton="0" quotePrefix="0" xfId="0">
      <alignment horizontal="left" vertical="top" wrapText="1"/>
    </xf>
    <xf numFmtId="165" fontId="12" fillId="16" borderId="13" applyAlignment="1" pivotButton="0" quotePrefix="0" xfId="0">
      <alignment horizontal="left" vertical="center" wrapText="1"/>
    </xf>
    <xf numFmtId="0" fontId="12" fillId="16" borderId="13" applyAlignment="1" pivotButton="0" quotePrefix="0" xfId="0">
      <alignment horizontal="left" vertical="center"/>
    </xf>
    <xf numFmtId="0" fontId="21" fillId="16" borderId="13" applyAlignment="1" pivotButton="0" quotePrefix="0" xfId="0">
      <alignment horizontal="left" vertical="center" wrapText="1"/>
    </xf>
    <xf numFmtId="49" fontId="12" fillId="14" borderId="58" applyAlignment="1" pivotButton="0" quotePrefix="0" xfId="0">
      <alignment horizontal="left" vertical="center" wrapText="1"/>
    </xf>
    <xf numFmtId="49" fontId="12" fillId="14" borderId="58" applyAlignment="1" pivotButton="0" quotePrefix="0" xfId="0">
      <alignment horizontal="center" vertical="center" wrapText="1"/>
    </xf>
    <xf numFmtId="49" fontId="23" fillId="16" borderId="59" applyAlignment="1" pivotButton="0" quotePrefix="0" xfId="0">
      <alignment horizontal="left" vertical="top" wrapText="1"/>
    </xf>
    <xf numFmtId="171" fontId="14" fillId="2" borderId="5" applyAlignment="1" pivotButton="0" quotePrefix="0" xfId="0">
      <alignment horizontal="right" vertical="top" wrapText="1"/>
    </xf>
    <xf numFmtId="192" fontId="16" fillId="19" borderId="60" applyAlignment="1" pivotButton="0" quotePrefix="0" xfId="0">
      <alignment horizontal="right" vertical="top" wrapText="1"/>
    </xf>
    <xf numFmtId="49" fontId="14" fillId="2" borderId="5" applyAlignment="1" pivotButton="0" quotePrefix="0" xfId="0">
      <alignment horizontal="right" vertical="top" wrapText="1"/>
    </xf>
    <xf numFmtId="0" fontId="24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pivotButton="0" quotePrefix="0" xfId="0"/>
    <xf numFmtId="0" fontId="10" fillId="14" borderId="5" applyAlignment="1" pivotButton="0" quotePrefix="0" xfId="0">
      <alignment horizontal="center" vertical="center"/>
    </xf>
    <xf numFmtId="0" fontId="10" fillId="14" borderId="5" applyAlignment="1" pivotButton="0" quotePrefix="0" xfId="0">
      <alignment horizontal="left" vertical="center"/>
    </xf>
    <xf numFmtId="0" fontId="11" fillId="14" borderId="5" applyAlignment="1" pivotButton="0" quotePrefix="0" xfId="0">
      <alignment horizontal="left" vertical="center" wrapText="1"/>
    </xf>
    <xf numFmtId="0" fontId="12" fillId="14" borderId="5" applyAlignment="1" pivotButton="0" quotePrefix="0" xfId="0">
      <alignment horizontal="left" vertical="center"/>
    </xf>
    <xf numFmtId="0" fontId="11" fillId="14" borderId="5" applyAlignment="1" pivotButton="0" quotePrefix="0" xfId="0">
      <alignment horizontal="center" vertical="center"/>
    </xf>
    <xf numFmtId="0" fontId="10" fillId="14" borderId="5" applyAlignment="1" pivotButton="0" quotePrefix="0" xfId="0">
      <alignment horizontal="center" vertical="center" wrapText="1"/>
    </xf>
    <xf numFmtId="49" fontId="10" fillId="14" borderId="5" applyAlignment="1" pivotButton="0" quotePrefix="0" xfId="0">
      <alignment horizontal="left" vertical="center"/>
    </xf>
    <xf numFmtId="0" fontId="13" fillId="14" borderId="5" applyAlignment="1" pivotButton="0" quotePrefix="0" xfId="0">
      <alignment horizontal="left" vertical="center"/>
    </xf>
    <xf numFmtId="164" fontId="12" fillId="14" borderId="5" applyAlignment="1" pivotButton="0" quotePrefix="0" xfId="0">
      <alignment horizontal="center" vertical="center" wrapText="1"/>
    </xf>
    <xf numFmtId="49" fontId="13" fillId="14" borderId="5" applyAlignment="1" pivotButton="0" quotePrefix="0" xfId="0">
      <alignment horizontal="center" vertical="center"/>
    </xf>
    <xf numFmtId="0" fontId="12" fillId="14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 wrapText="1"/>
    </xf>
    <xf numFmtId="0" fontId="12" fillId="14" borderId="5" applyAlignment="1" pivotButton="0" quotePrefix="0" xfId="0">
      <alignment horizontal="left" vertical="center" wrapText="1"/>
    </xf>
    <xf numFmtId="166" fontId="12" fillId="14" borderId="5" applyAlignment="1" pivotButton="0" quotePrefix="0" xfId="0">
      <alignment horizontal="center" vertical="center" wrapText="1"/>
    </xf>
    <xf numFmtId="49" fontId="13" fillId="14" borderId="5" applyAlignment="1" pivotButton="0" quotePrefix="0" xfId="0">
      <alignment horizontal="left" vertical="center"/>
    </xf>
    <xf numFmtId="49" fontId="13" fillId="14" borderId="5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general" vertical="center"/>
    </xf>
    <xf numFmtId="49" fontId="12" fillId="16" borderId="5" applyAlignment="1" pivotButton="0" quotePrefix="0" xfId="0">
      <alignment horizontal="center" vertical="top" wrapText="1"/>
    </xf>
    <xf numFmtId="1" fontId="12" fillId="2" borderId="5" applyAlignment="1" pivotButton="0" quotePrefix="0" xfId="0">
      <alignment horizontal="center" vertical="top" wrapText="1"/>
    </xf>
    <xf numFmtId="167" fontId="12" fillId="2" borderId="5" applyAlignment="1" pivotButton="0" quotePrefix="0" xfId="0">
      <alignment horizontal="right" vertical="top" wrapText="1"/>
    </xf>
    <xf numFmtId="168" fontId="12" fillId="2" borderId="5" applyAlignment="1" pivotButton="0" quotePrefix="0" xfId="0">
      <alignment horizontal="right" vertical="top" wrapText="1"/>
    </xf>
    <xf numFmtId="49" fontId="13" fillId="16" borderId="6" applyAlignment="1" pivotButton="0" quotePrefix="0" xfId="0">
      <alignment horizontal="center" vertical="top" wrapText="1"/>
    </xf>
    <xf numFmtId="167" fontId="12" fillId="15" borderId="4" applyAlignment="1" pivotButton="0" quotePrefix="0" xfId="0">
      <alignment horizontal="right" vertical="top" wrapText="1"/>
    </xf>
    <xf numFmtId="1" fontId="13" fillId="14" borderId="5" applyAlignment="1" pivotButton="0" quotePrefix="0" xfId="0">
      <alignment horizontal="center" vertical="center"/>
    </xf>
    <xf numFmtId="49" fontId="12" fillId="14" borderId="5" applyAlignment="1" pivotButton="0" quotePrefix="0" xfId="0">
      <alignment horizontal="left" vertical="center" wrapText="1"/>
    </xf>
    <xf numFmtId="0" fontId="13" fillId="14" borderId="5" applyAlignment="1" pivotButton="0" quotePrefix="0" xfId="0">
      <alignment horizontal="left" vertical="center" wrapText="1"/>
    </xf>
    <xf numFmtId="1" fontId="13" fillId="14" borderId="5" applyAlignment="1" pivotButton="0" quotePrefix="0" xfId="0">
      <alignment horizontal="center" vertical="center" wrapText="1"/>
    </xf>
    <xf numFmtId="49" fontId="12" fillId="16" borderId="5" applyAlignment="1" pivotButton="0" quotePrefix="0" xfId="0">
      <alignment horizontal="center" vertical="top"/>
    </xf>
    <xf numFmtId="167" fontId="12" fillId="2" borderId="7" applyAlignment="1" pivotButton="0" quotePrefix="0" xfId="0">
      <alignment horizontal="right" vertical="top" wrapText="1"/>
    </xf>
    <xf numFmtId="169" fontId="12" fillId="17" borderId="0" applyAlignment="1" pivotButton="0" quotePrefix="0" xfId="0">
      <alignment horizontal="left" vertical="bottom" wrapText="1"/>
    </xf>
    <xf numFmtId="49" fontId="13" fillId="17" borderId="0" applyAlignment="1" pivotButton="0" quotePrefix="0" xfId="0">
      <alignment horizontal="left" vertical="bottom"/>
    </xf>
    <xf numFmtId="49" fontId="12" fillId="17" borderId="0" applyAlignment="1" pivotButton="0" quotePrefix="0" xfId="0">
      <alignment horizontal="left" vertical="bottom"/>
    </xf>
    <xf numFmtId="0" fontId="12" fillId="17" borderId="0" applyAlignment="1" pivotButton="0" quotePrefix="0" xfId="0">
      <alignment horizontal="left" vertical="bottom" wrapText="1"/>
    </xf>
    <xf numFmtId="167" fontId="14" fillId="2" borderId="0" applyAlignment="1" pivotButton="0" quotePrefix="0" xfId="0">
      <alignment horizontal="right" vertical="bottom" wrapText="1"/>
    </xf>
    <xf numFmtId="167" fontId="14" fillId="17" borderId="0" applyAlignment="1" pivotButton="0" quotePrefix="0" xfId="0">
      <alignment horizontal="right" vertical="bottom" wrapText="1"/>
    </xf>
    <xf numFmtId="49" fontId="12" fillId="17" borderId="0" applyAlignment="1" pivotButton="0" quotePrefix="0" xfId="0">
      <alignment horizontal="left" vertical="bottom" wrapText="1"/>
    </xf>
    <xf numFmtId="167" fontId="12" fillId="2" borderId="0" applyAlignment="1" pivotButton="0" quotePrefix="0" xfId="0">
      <alignment horizontal="right" vertical="bottom" wrapText="1"/>
    </xf>
    <xf numFmtId="167" fontId="12" fillId="17" borderId="0" applyAlignment="1" pivotButton="0" quotePrefix="0" xfId="0">
      <alignment horizontal="right" vertical="bottom" wrapText="1"/>
    </xf>
    <xf numFmtId="167" fontId="12" fillId="2" borderId="4" applyAlignment="1" pivotButton="0" quotePrefix="0" xfId="0">
      <alignment horizontal="right" vertical="bottom" wrapText="1"/>
    </xf>
    <xf numFmtId="167" fontId="12" fillId="18" borderId="4" applyAlignment="1" pivotButton="0" quotePrefix="0" xfId="0">
      <alignment horizontal="right" vertical="bottom" wrapText="1"/>
    </xf>
    <xf numFmtId="170" fontId="12" fillId="19" borderId="0" applyAlignment="1" pivotButton="0" quotePrefix="0" xfId="0">
      <alignment horizontal="right" vertical="bottom" wrapText="1"/>
    </xf>
    <xf numFmtId="167" fontId="12" fillId="20" borderId="0" applyAlignment="1" pivotButton="0" quotePrefix="0" xfId="0">
      <alignment horizontal="right" vertical="bottom" wrapText="1"/>
    </xf>
    <xf numFmtId="0" fontId="15" fillId="2" borderId="0" applyAlignment="1" pivotButton="0" quotePrefix="0" xfId="0">
      <alignment horizontal="general" vertical="top" wrapText="1"/>
    </xf>
    <xf numFmtId="0" fontId="15" fillId="2" borderId="0" applyAlignment="1" pivotButton="0" quotePrefix="0" xfId="0">
      <alignment horizontal="center" vertical="top" wrapText="1"/>
    </xf>
    <xf numFmtId="0" fontId="16" fillId="14" borderId="8" applyAlignment="1" pivotButton="0" quotePrefix="0" xfId="0">
      <alignment horizontal="center" vertical="center"/>
    </xf>
    <xf numFmtId="49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center" vertical="center"/>
    </xf>
    <xf numFmtId="165" fontId="12" fillId="14" borderId="5" applyAlignment="1" pivotButton="0" quotePrefix="0" xfId="0">
      <alignment horizontal="center" vertical="center"/>
    </xf>
    <xf numFmtId="49" fontId="12" fillId="14" borderId="4" applyAlignment="1" pivotButton="0" quotePrefix="0" xfId="0">
      <alignment horizontal="center" vertical="center"/>
    </xf>
    <xf numFmtId="0" fontId="12" fillId="14" borderId="9" applyAlignment="1" pivotButton="0" quotePrefix="0" xfId="0">
      <alignment horizontal="left" vertical="center"/>
    </xf>
    <xf numFmtId="0" fontId="12" fillId="14" borderId="10" applyAlignment="1" pivotButton="0" quotePrefix="0" xfId="0">
      <alignment horizontal="center" vertical="center"/>
    </xf>
    <xf numFmtId="49" fontId="12" fillId="14" borderId="5" applyAlignment="1" pivotButton="0" quotePrefix="0" xfId="0">
      <alignment horizontal="center" vertical="center"/>
    </xf>
    <xf numFmtId="165" fontId="12" fillId="15" borderId="5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left" vertical="center" wrapText="1"/>
    </xf>
    <xf numFmtId="49" fontId="12" fillId="14" borderId="5" applyAlignment="1" pivotButton="0" quotePrefix="0" xfId="0">
      <alignment horizontal="left" vertical="center"/>
    </xf>
    <xf numFmtId="49" fontId="12" fillId="14" borderId="5" applyAlignment="1" pivotButton="0" quotePrefix="0" xfId="0">
      <alignment horizontal="center" vertical="center" wrapText="1"/>
    </xf>
    <xf numFmtId="49" fontId="12" fillId="16" borderId="5" applyAlignment="1" pivotButton="0" quotePrefix="0" xfId="0">
      <alignment horizontal="left" vertical="top"/>
    </xf>
    <xf numFmtId="49" fontId="12" fillId="2" borderId="5" applyAlignment="1" pivotButton="0" quotePrefix="0" xfId="0">
      <alignment horizontal="left" vertical="top" wrapText="1"/>
    </xf>
    <xf numFmtId="49" fontId="12" fillId="2" borderId="5" applyAlignment="1" pivotButton="0" quotePrefix="0" xfId="0">
      <alignment horizontal="left" vertical="top"/>
    </xf>
    <xf numFmtId="49" fontId="12" fillId="2" borderId="5" applyAlignment="1" pivotButton="0" quotePrefix="0" xfId="0">
      <alignment horizontal="center" vertical="top"/>
    </xf>
    <xf numFmtId="49" fontId="12" fillId="2" borderId="6" applyAlignment="1" pivotButton="0" quotePrefix="0" xfId="0">
      <alignment horizontal="center" vertical="top" wrapText="1"/>
    </xf>
    <xf numFmtId="171" fontId="12" fillId="2" borderId="6" applyAlignment="1" pivotButton="0" quotePrefix="0" xfId="0">
      <alignment horizontal="center" vertical="top" wrapText="1"/>
    </xf>
    <xf numFmtId="167" fontId="12" fillId="2" borderId="6" applyAlignment="1" pivotButton="0" quotePrefix="0" xfId="0">
      <alignment horizontal="center" vertical="top" wrapText="1"/>
    </xf>
    <xf numFmtId="164" fontId="12" fillId="2" borderId="6" applyAlignment="1" pivotButton="0" quotePrefix="0" xfId="0">
      <alignment horizontal="center" vertical="top" wrapText="1"/>
    </xf>
    <xf numFmtId="49" fontId="12" fillId="19" borderId="5" applyAlignment="1" pivotButton="0" quotePrefix="0" xfId="0">
      <alignment horizontal="center" vertical="top"/>
    </xf>
    <xf numFmtId="172" fontId="12" fillId="19" borderId="6" applyAlignment="1" pivotButton="0" quotePrefix="0" xfId="0">
      <alignment horizontal="center" vertical="top" wrapText="1"/>
    </xf>
    <xf numFmtId="173" fontId="12" fillId="19" borderId="6" applyAlignment="1" pivotButton="0" quotePrefix="0" xfId="0">
      <alignment horizontal="center" vertical="top" wrapText="1"/>
    </xf>
    <xf numFmtId="174" fontId="12" fillId="19" borderId="6" applyAlignment="1" pivotButton="0" quotePrefix="0" xfId="0">
      <alignment horizontal="center" vertical="top" wrapText="1"/>
    </xf>
    <xf numFmtId="175" fontId="12" fillId="19" borderId="6" applyAlignment="1" pivotButton="0" quotePrefix="0" xfId="0">
      <alignment horizontal="center" vertical="top" wrapText="1"/>
    </xf>
    <xf numFmtId="176" fontId="12" fillId="19" borderId="6" applyAlignment="1" pivotButton="0" quotePrefix="0" xfId="0">
      <alignment horizontal="center" vertical="top" wrapText="1"/>
    </xf>
    <xf numFmtId="49" fontId="12" fillId="2" borderId="6" applyAlignment="1" pivotButton="0" quotePrefix="0" xfId="0">
      <alignment horizontal="center" vertical="top"/>
    </xf>
    <xf numFmtId="167" fontId="14" fillId="2" borderId="5" applyAlignment="1" pivotButton="0" quotePrefix="0" xfId="0">
      <alignment horizontal="right" vertical="top"/>
    </xf>
    <xf numFmtId="0" fontId="12" fillId="16" borderId="12" applyAlignment="1" pivotButton="0" quotePrefix="0" xfId="0">
      <alignment horizontal="left" vertical="center" wrapText="1"/>
    </xf>
    <xf numFmtId="0" fontId="12" fillId="16" borderId="13" applyAlignment="1" pivotButton="0" quotePrefix="0" xfId="0">
      <alignment horizontal="left" vertical="center" wrapText="1"/>
    </xf>
    <xf numFmtId="0" fontId="12" fillId="16" borderId="13" applyAlignment="1" pivotButton="0" quotePrefix="0" xfId="0">
      <alignment horizontal="left" vertical="center"/>
    </xf>
    <xf numFmtId="0" fontId="12" fillId="16" borderId="13" applyAlignment="1" pivotButton="0" quotePrefix="0" xfId="0">
      <alignment horizontal="center" vertical="center"/>
    </xf>
    <xf numFmtId="0" fontId="12" fillId="16" borderId="13" applyAlignment="1" pivotButton="0" quotePrefix="0" xfId="0">
      <alignment horizontal="center" vertical="center" wrapText="1"/>
    </xf>
    <xf numFmtId="167" fontId="12" fillId="16" borderId="13" applyAlignment="1" pivotButton="0" quotePrefix="0" xfId="0">
      <alignment horizontal="right" vertical="center" wrapText="1"/>
    </xf>
    <xf numFmtId="167" fontId="12" fillId="15" borderId="14" applyAlignment="1" pivotButton="0" quotePrefix="0" xfId="0">
      <alignment horizontal="right" vertical="center"/>
    </xf>
    <xf numFmtId="177" fontId="12" fillId="2" borderId="5" applyAlignment="1" pivotButton="0" quotePrefix="0" xfId="0">
      <alignment horizontal="left" vertical="top" wrapText="1"/>
    </xf>
    <xf numFmtId="0" fontId="17" fillId="2" borderId="0" applyAlignment="1" pivotButton="0" quotePrefix="0" xfId="0">
      <alignment horizontal="general" vertical="top" wrapText="1"/>
    </xf>
    <xf numFmtId="49" fontId="12" fillId="14" borderId="4" applyAlignment="1" pivotButton="0" quotePrefix="0" xfId="0">
      <alignment horizontal="center" vertical="center" wrapText="1"/>
    </xf>
    <xf numFmtId="0" fontId="12" fillId="14" borderId="15" applyAlignment="1" pivotButton="0" quotePrefix="0" xfId="0">
      <alignment horizontal="left" vertical="center" wrapText="1"/>
    </xf>
    <xf numFmtId="178" fontId="12" fillId="14" borderId="5" applyAlignment="1" pivotButton="0" quotePrefix="0" xfId="0">
      <alignment horizontal="left" vertical="center" wrapText="1"/>
    </xf>
    <xf numFmtId="0" fontId="12" fillId="14" borderId="11" applyAlignment="1" pivotButton="0" quotePrefix="0" xfId="0">
      <alignment horizontal="left" vertical="center" wrapText="1"/>
    </xf>
    <xf numFmtId="49" fontId="12" fillId="16" borderId="5" applyAlignment="1" pivotButton="0" quotePrefix="0" xfId="0">
      <alignment horizontal="left" vertical="top" wrapText="1"/>
    </xf>
    <xf numFmtId="49" fontId="12" fillId="2" borderId="5" applyAlignment="1" pivotButton="0" quotePrefix="0" xfId="0">
      <alignment horizontal="center" vertical="top" wrapText="1"/>
    </xf>
    <xf numFmtId="49" fontId="12" fillId="21" borderId="5" applyAlignment="1" pivotButton="0" quotePrefix="0" xfId="0">
      <alignment horizontal="center" vertical="top" wrapText="1"/>
    </xf>
    <xf numFmtId="167" fontId="12" fillId="21" borderId="5" applyAlignment="1" pivotButton="0" quotePrefix="0" xfId="0">
      <alignment horizontal="right" vertical="top" wrapText="1"/>
    </xf>
    <xf numFmtId="49" fontId="12" fillId="16" borderId="16" applyAlignment="1" pivotButton="0" quotePrefix="0" xfId="0">
      <alignment horizontal="left" vertical="center" wrapText="1"/>
    </xf>
    <xf numFmtId="0" fontId="12" fillId="16" borderId="17" applyAlignment="1" pivotButton="0" quotePrefix="0" xfId="0">
      <alignment horizontal="left" vertical="center" wrapText="1"/>
    </xf>
    <xf numFmtId="167" fontId="12" fillId="16" borderId="18" applyAlignment="1" pivotButton="0" quotePrefix="0" xfId="0">
      <alignment horizontal="right" vertical="center" wrapText="1"/>
    </xf>
    <xf numFmtId="179" fontId="12" fillId="16" borderId="19" applyAlignment="1" pivotButton="0" quotePrefix="0" xfId="0">
      <alignment horizontal="left" vertical="center" wrapText="1"/>
    </xf>
    <xf numFmtId="49" fontId="12" fillId="16" borderId="2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left" vertical="center" wrapText="1"/>
    </xf>
    <xf numFmtId="167" fontId="12" fillId="16" borderId="21" applyAlignment="1" pivotButton="0" quotePrefix="0" xfId="0">
      <alignment horizontal="right" vertical="center" wrapText="1"/>
    </xf>
    <xf numFmtId="179" fontId="12" fillId="16" borderId="22" applyAlignment="1" pivotButton="0" quotePrefix="0" xfId="0">
      <alignment horizontal="left" vertical="center" wrapText="1"/>
    </xf>
    <xf numFmtId="167" fontId="12" fillId="16" borderId="23" applyAlignment="1" pivotButton="0" quotePrefix="0" xfId="0">
      <alignment horizontal="right" vertical="center" wrapText="1"/>
    </xf>
    <xf numFmtId="180" fontId="12" fillId="16" borderId="22" applyAlignment="1" pivotButton="0" quotePrefix="0" xfId="0">
      <alignment horizontal="left" vertical="center" wrapText="1"/>
    </xf>
    <xf numFmtId="49" fontId="12" fillId="16" borderId="24" applyAlignment="1" pivotButton="0" quotePrefix="0" xfId="0">
      <alignment horizontal="left" vertical="center" wrapText="1"/>
    </xf>
    <xf numFmtId="0" fontId="12" fillId="16" borderId="25" applyAlignment="1" pivotButton="0" quotePrefix="0" xfId="0">
      <alignment horizontal="left" vertical="center" wrapText="1"/>
    </xf>
    <xf numFmtId="167" fontId="12" fillId="16" borderId="4" applyAlignment="1" pivotButton="0" quotePrefix="0" xfId="0">
      <alignment horizontal="right" vertical="center" wrapText="1"/>
    </xf>
    <xf numFmtId="180" fontId="12" fillId="16" borderId="26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/>
    </xf>
    <xf numFmtId="0" fontId="12" fillId="14" borderId="27" applyAlignment="1" pivotButton="0" quotePrefix="0" xfId="0">
      <alignment horizontal="left" vertical="center" wrapText="1"/>
    </xf>
    <xf numFmtId="49" fontId="12" fillId="14" borderId="28" applyAlignment="1" pivotButton="0" quotePrefix="0" xfId="0">
      <alignment horizontal="center" vertical="center" wrapText="1"/>
    </xf>
    <xf numFmtId="49" fontId="12" fillId="14" borderId="29" applyAlignment="1" pivotButton="0" quotePrefix="0" xfId="0">
      <alignment horizontal="left" vertical="center" wrapText="1"/>
    </xf>
    <xf numFmtId="49" fontId="12" fillId="14" borderId="4" applyAlignment="1" pivotButton="0" quotePrefix="0" xfId="0">
      <alignment horizontal="left" vertical="center" wrapText="1"/>
    </xf>
    <xf numFmtId="165" fontId="12" fillId="14" borderId="30" applyAlignment="1" pivotButton="0" quotePrefix="0" xfId="0">
      <alignment horizontal="center" vertical="center" wrapText="1"/>
    </xf>
    <xf numFmtId="181" fontId="12" fillId="19" borderId="30" applyAlignment="1" pivotButton="0" quotePrefix="0" xfId="0">
      <alignment horizontal="center" vertical="center" wrapText="1"/>
    </xf>
    <xf numFmtId="182" fontId="12" fillId="19" borderId="30" applyAlignment="1" pivotButton="0" quotePrefix="0" xfId="0">
      <alignment horizontal="center" vertical="center" wrapText="1"/>
    </xf>
    <xf numFmtId="172" fontId="12" fillId="19" borderId="30" applyAlignment="1" pivotButton="0" quotePrefix="0" xfId="0">
      <alignment horizontal="center" vertical="center" wrapText="1"/>
    </xf>
    <xf numFmtId="173" fontId="12" fillId="19" borderId="30" applyAlignment="1" pivotButton="0" quotePrefix="0" xfId="0">
      <alignment horizontal="center" vertical="center" wrapText="1"/>
    </xf>
    <xf numFmtId="176" fontId="12" fillId="19" borderId="30" applyAlignment="1" pivotButton="0" quotePrefix="0" xfId="0">
      <alignment horizontal="center" vertical="center" wrapText="1"/>
    </xf>
    <xf numFmtId="174" fontId="12" fillId="19" borderId="30" applyAlignment="1" pivotButton="0" quotePrefix="0" xfId="0">
      <alignment horizontal="center" vertical="center" wrapText="1"/>
    </xf>
    <xf numFmtId="175" fontId="12" fillId="19" borderId="30" applyAlignment="1" pivotButton="0" quotePrefix="0" xfId="0">
      <alignment horizontal="center" vertical="center" wrapText="1"/>
    </xf>
    <xf numFmtId="0" fontId="12" fillId="14" borderId="29" applyAlignment="1" pivotButton="0" quotePrefix="0" xfId="0">
      <alignment horizontal="left" vertical="center" wrapText="1"/>
    </xf>
    <xf numFmtId="0" fontId="12" fillId="14" borderId="4" applyAlignment="1" pivotButton="0" quotePrefix="0" xfId="0">
      <alignment horizontal="right" vertical="center" wrapText="1"/>
    </xf>
    <xf numFmtId="180" fontId="12" fillId="14" borderId="4" applyAlignment="1" pivotButton="0" quotePrefix="0" xfId="0">
      <alignment horizontal="left" vertical="center" wrapText="1"/>
    </xf>
    <xf numFmtId="49" fontId="12" fillId="16" borderId="31" applyAlignment="1" pivotButton="0" quotePrefix="0" xfId="0">
      <alignment horizontal="left" vertical="top" wrapText="1"/>
    </xf>
    <xf numFmtId="167" fontId="12" fillId="2" borderId="32" applyAlignment="1" pivotButton="0" quotePrefix="0" xfId="0">
      <alignment horizontal="right" vertical="top" wrapText="1"/>
    </xf>
    <xf numFmtId="181" fontId="12" fillId="19" borderId="32" applyAlignment="1" pivotButton="0" quotePrefix="0" xfId="0">
      <alignment horizontal="right" vertical="top" wrapText="1"/>
    </xf>
    <xf numFmtId="182" fontId="12" fillId="19" borderId="32" applyAlignment="1" pivotButton="0" quotePrefix="0" xfId="0">
      <alignment horizontal="right" vertical="top" wrapText="1"/>
    </xf>
    <xf numFmtId="172" fontId="12" fillId="19" borderId="32" applyAlignment="1" pivotButton="0" quotePrefix="0" xfId="0">
      <alignment horizontal="right" vertical="top" wrapText="1"/>
    </xf>
    <xf numFmtId="173" fontId="12" fillId="19" borderId="32" applyAlignment="1" pivotButton="0" quotePrefix="0" xfId="0">
      <alignment horizontal="right" vertical="top" wrapText="1"/>
    </xf>
    <xf numFmtId="176" fontId="12" fillId="19" borderId="32" applyAlignment="1" pivotButton="0" quotePrefix="0" xfId="0">
      <alignment horizontal="right" vertical="top" wrapText="1"/>
    </xf>
    <xf numFmtId="174" fontId="12" fillId="19" borderId="32" applyAlignment="1" pivotButton="0" quotePrefix="0" xfId="0">
      <alignment horizontal="right" vertical="top" wrapText="1"/>
    </xf>
    <xf numFmtId="175" fontId="12" fillId="19" borderId="32" applyAlignment="1" pivotButton="0" quotePrefix="0" xfId="0">
      <alignment horizontal="right" vertical="top" wrapText="1"/>
    </xf>
    <xf numFmtId="167" fontId="12" fillId="2" borderId="33" applyAlignment="1" pivotButton="0" quotePrefix="0" xfId="0">
      <alignment horizontal="right" vertical="top" wrapText="1"/>
    </xf>
    <xf numFmtId="0" fontId="12" fillId="2" borderId="5" applyAlignment="1" pivotButton="0" quotePrefix="0" xfId="0">
      <alignment horizontal="right" vertical="top" wrapText="1"/>
    </xf>
    <xf numFmtId="180" fontId="12" fillId="2" borderId="5" applyAlignment="1" pivotButton="0" quotePrefix="0" xfId="0">
      <alignment horizontal="left" vertical="top" wrapText="1"/>
    </xf>
    <xf numFmtId="49" fontId="12" fillId="16" borderId="34" applyAlignment="1" pivotButton="0" quotePrefix="0" xfId="0">
      <alignment horizontal="left" vertical="top" wrapText="1"/>
    </xf>
    <xf numFmtId="167" fontId="12" fillId="2" borderId="35" applyAlignment="1" pivotButton="0" quotePrefix="0" xfId="0">
      <alignment horizontal="right" vertical="top" wrapText="1"/>
    </xf>
    <xf numFmtId="167" fontId="12" fillId="2" borderId="36" applyAlignment="1" pivotButton="0" quotePrefix="0" xfId="0">
      <alignment horizontal="right" vertical="top" wrapText="1"/>
    </xf>
    <xf numFmtId="167" fontId="12" fillId="2" borderId="37" applyAlignment="1" pivotButton="0" quotePrefix="0" xfId="0">
      <alignment horizontal="right" vertical="top" wrapText="1"/>
    </xf>
    <xf numFmtId="166" fontId="12" fillId="2" borderId="15" applyAlignment="1" pivotButton="0" quotePrefix="0" xfId="0">
      <alignment horizontal="right" vertical="top" wrapText="1"/>
    </xf>
    <xf numFmtId="167" fontId="12" fillId="16" borderId="38" applyAlignment="1" pivotButton="0" quotePrefix="0" xfId="0">
      <alignment horizontal="right" vertical="center" wrapText="1"/>
    </xf>
    <xf numFmtId="181" fontId="12" fillId="19" borderId="38" applyAlignment="1" pivotButton="0" quotePrefix="0" xfId="0">
      <alignment horizontal="right" vertical="center" wrapText="1"/>
    </xf>
    <xf numFmtId="182" fontId="12" fillId="19" borderId="38" applyAlignment="1" pivotButton="0" quotePrefix="0" xfId="0">
      <alignment horizontal="right" vertical="center" wrapText="1"/>
    </xf>
    <xf numFmtId="172" fontId="12" fillId="19" borderId="38" applyAlignment="1" pivotButton="0" quotePrefix="0" xfId="0">
      <alignment horizontal="right" vertical="center" wrapText="1"/>
    </xf>
    <xf numFmtId="173" fontId="12" fillId="19" borderId="38" applyAlignment="1" pivotButton="0" quotePrefix="0" xfId="0">
      <alignment horizontal="right" vertical="center" wrapText="1"/>
    </xf>
    <xf numFmtId="176" fontId="12" fillId="19" borderId="38" applyAlignment="1" pivotButton="0" quotePrefix="0" xfId="0">
      <alignment horizontal="right" vertical="center" wrapText="1"/>
    </xf>
    <xf numFmtId="174" fontId="12" fillId="19" borderId="38" applyAlignment="1" pivotButton="0" quotePrefix="0" xfId="0">
      <alignment horizontal="right" vertical="center" wrapText="1"/>
    </xf>
    <xf numFmtId="175" fontId="12" fillId="19" borderId="38" applyAlignment="1" pivotButton="0" quotePrefix="0" xfId="0">
      <alignment horizontal="right" vertical="center" wrapText="1"/>
    </xf>
    <xf numFmtId="167" fontId="12" fillId="16" borderId="39" applyAlignment="1" pivotButton="0" quotePrefix="0" xfId="0">
      <alignment horizontal="right" vertical="center" wrapText="1"/>
    </xf>
    <xf numFmtId="180" fontId="12" fillId="16" borderId="39" applyAlignment="1" pivotButton="0" quotePrefix="0" xfId="0">
      <alignment horizontal="left" vertical="center" wrapText="1"/>
    </xf>
    <xf numFmtId="180" fontId="12" fillId="16" borderId="19" applyAlignment="1" pivotButton="0" quotePrefix="0" xfId="0">
      <alignment horizontal="left" vertical="center" wrapText="1"/>
    </xf>
    <xf numFmtId="49" fontId="12" fillId="16" borderId="40" applyAlignment="1" pivotButton="0" quotePrefix="0" xfId="0">
      <alignment horizontal="left" vertical="center" wrapText="1"/>
    </xf>
    <xf numFmtId="167" fontId="12" fillId="16" borderId="41" applyAlignment="1" pivotButton="0" quotePrefix="0" xfId="0">
      <alignment horizontal="right" vertical="center" wrapText="1"/>
    </xf>
    <xf numFmtId="181" fontId="12" fillId="19" borderId="41" applyAlignment="1" pivotButton="0" quotePrefix="0" xfId="0">
      <alignment horizontal="right" vertical="center" wrapText="1"/>
    </xf>
    <xf numFmtId="182" fontId="12" fillId="19" borderId="41" applyAlignment="1" pivotButton="0" quotePrefix="0" xfId="0">
      <alignment horizontal="right" vertical="center" wrapText="1"/>
    </xf>
    <xf numFmtId="172" fontId="12" fillId="19" borderId="41" applyAlignment="1" pivotButton="0" quotePrefix="0" xfId="0">
      <alignment horizontal="right" vertical="center" wrapText="1"/>
    </xf>
    <xf numFmtId="173" fontId="12" fillId="19" borderId="41" applyAlignment="1" pivotButton="0" quotePrefix="0" xfId="0">
      <alignment horizontal="right" vertical="center" wrapText="1"/>
    </xf>
    <xf numFmtId="176" fontId="12" fillId="19" borderId="41" applyAlignment="1" pivotButton="0" quotePrefix="0" xfId="0">
      <alignment horizontal="right" vertical="center" wrapText="1"/>
    </xf>
    <xf numFmtId="174" fontId="12" fillId="19" borderId="41" applyAlignment="1" pivotButton="0" quotePrefix="0" xfId="0">
      <alignment horizontal="right" vertical="center" wrapText="1"/>
    </xf>
    <xf numFmtId="175" fontId="12" fillId="19" borderId="41" applyAlignment="1" pivotButton="0" quotePrefix="0" xfId="0">
      <alignment horizontal="right" vertical="center" wrapText="1"/>
    </xf>
    <xf numFmtId="167" fontId="12" fillId="16" borderId="42" applyAlignment="1" pivotButton="0" quotePrefix="0" xfId="0">
      <alignment horizontal="right" vertical="center" wrapText="1"/>
    </xf>
    <xf numFmtId="180" fontId="12" fillId="16" borderId="0" applyAlignment="1" pivotButton="0" quotePrefix="0" xfId="0">
      <alignment horizontal="left" vertical="center" wrapText="1"/>
    </xf>
    <xf numFmtId="167" fontId="12" fillId="16" borderId="0" applyAlignment="1" pivotButton="0" quotePrefix="0" xfId="0">
      <alignment horizontal="right" vertical="center" wrapText="1"/>
    </xf>
    <xf numFmtId="49" fontId="12" fillId="16" borderId="43" applyAlignment="1" pivotButton="0" quotePrefix="0" xfId="0">
      <alignment horizontal="left" vertical="center" wrapText="1"/>
    </xf>
    <xf numFmtId="181" fontId="12" fillId="19" borderId="4" applyAlignment="1" pivotButton="0" quotePrefix="0" xfId="0">
      <alignment horizontal="right" vertical="center" wrapText="1"/>
    </xf>
    <xf numFmtId="182" fontId="12" fillId="19" borderId="4" applyAlignment="1" pivotButton="0" quotePrefix="0" xfId="0">
      <alignment horizontal="right" vertical="center" wrapText="1"/>
    </xf>
    <xf numFmtId="172" fontId="12" fillId="19" borderId="4" applyAlignment="1" pivotButton="0" quotePrefix="0" xfId="0">
      <alignment horizontal="right" vertical="center" wrapText="1"/>
    </xf>
    <xf numFmtId="173" fontId="12" fillId="19" borderId="4" applyAlignment="1" pivotButton="0" quotePrefix="0" xfId="0">
      <alignment horizontal="right" vertical="center" wrapText="1"/>
    </xf>
    <xf numFmtId="176" fontId="12" fillId="19" borderId="4" applyAlignment="1" pivotButton="0" quotePrefix="0" xfId="0">
      <alignment horizontal="right" vertical="center" wrapText="1"/>
    </xf>
    <xf numFmtId="174" fontId="12" fillId="19" borderId="4" applyAlignment="1" pivotButton="0" quotePrefix="0" xfId="0">
      <alignment horizontal="right" vertical="center" wrapText="1"/>
    </xf>
    <xf numFmtId="175" fontId="12" fillId="19" borderId="4" applyAlignment="1" pivotButton="0" quotePrefix="0" xfId="0">
      <alignment horizontal="right" vertical="center" wrapText="1"/>
    </xf>
    <xf numFmtId="167" fontId="12" fillId="16" borderId="44" applyAlignment="1" pivotButton="0" quotePrefix="0" xfId="0">
      <alignment horizontal="right" vertical="center" wrapText="1"/>
    </xf>
    <xf numFmtId="181" fontId="12" fillId="19" borderId="21" applyAlignment="1" pivotButton="0" quotePrefix="0" xfId="0">
      <alignment horizontal="right" vertical="center" wrapText="1"/>
    </xf>
    <xf numFmtId="182" fontId="12" fillId="19" borderId="21" applyAlignment="1" pivotButton="0" quotePrefix="0" xfId="0">
      <alignment horizontal="right" vertical="center" wrapText="1"/>
    </xf>
    <xf numFmtId="172" fontId="12" fillId="19" borderId="21" applyAlignment="1" pivotButton="0" quotePrefix="0" xfId="0">
      <alignment horizontal="right" vertical="center" wrapText="1"/>
    </xf>
    <xf numFmtId="173" fontId="12" fillId="19" borderId="21" applyAlignment="1" pivotButton="0" quotePrefix="0" xfId="0">
      <alignment horizontal="right" vertical="center" wrapText="1"/>
    </xf>
    <xf numFmtId="176" fontId="12" fillId="19" borderId="21" applyAlignment="1" pivotButton="0" quotePrefix="0" xfId="0">
      <alignment horizontal="right" vertical="center" wrapText="1"/>
    </xf>
    <xf numFmtId="174" fontId="12" fillId="19" borderId="21" applyAlignment="1" pivotButton="0" quotePrefix="0" xfId="0">
      <alignment horizontal="right" vertical="center" wrapText="1"/>
    </xf>
    <xf numFmtId="175" fontId="12" fillId="19" borderId="21" applyAlignment="1" pivotButton="0" quotePrefix="0" xfId="0">
      <alignment horizontal="right" vertical="center" wrapText="1"/>
    </xf>
    <xf numFmtId="180" fontId="12" fillId="16" borderId="45" applyAlignment="1" pivotButton="0" quotePrefix="0" xfId="0">
      <alignment horizontal="left" vertical="center" wrapText="1"/>
    </xf>
    <xf numFmtId="167" fontId="12" fillId="16" borderId="46" applyAlignment="1" pivotButton="0" quotePrefix="0" xfId="0">
      <alignment horizontal="right" vertical="center" wrapText="1"/>
    </xf>
    <xf numFmtId="180" fontId="12" fillId="16" borderId="47" applyAlignment="1" pivotButton="0" quotePrefix="0" xfId="0">
      <alignment horizontal="left" vertical="center" wrapText="1"/>
    </xf>
    <xf numFmtId="167" fontId="12" fillId="16" borderId="48" applyAlignment="1" pivotButton="0" quotePrefix="0" xfId="0">
      <alignment horizontal="right" vertical="center" wrapText="1"/>
    </xf>
    <xf numFmtId="180" fontId="12" fillId="16" borderId="49" applyAlignment="1" pivotButton="0" quotePrefix="0" xfId="0">
      <alignment horizontal="left" vertical="center" wrapText="1"/>
    </xf>
    <xf numFmtId="167" fontId="12" fillId="16" borderId="50" applyAlignment="1" pivotButton="0" quotePrefix="0" xfId="0">
      <alignment horizontal="right" vertical="center" wrapText="1"/>
    </xf>
    <xf numFmtId="0" fontId="17" fillId="2" borderId="0" applyAlignment="1" pivotButton="0" quotePrefix="0" xfId="0">
      <alignment horizontal="center" vertical="top" wrapText="1"/>
    </xf>
    <xf numFmtId="0" fontId="17" fillId="14" borderId="0" applyAlignment="1" pivotButton="0" quotePrefix="0" xfId="0">
      <alignment horizontal="general" vertical="top" wrapText="1"/>
    </xf>
    <xf numFmtId="49" fontId="12" fillId="14" borderId="51" applyAlignment="1" pivotButton="0" quotePrefix="0" xfId="0">
      <alignment horizontal="left" vertical="center"/>
    </xf>
    <xf numFmtId="0" fontId="12" fillId="14" borderId="5" applyAlignment="1" pivotButton="0" quotePrefix="0" xfId="0">
      <alignment horizontal="center" vertical="center" wrapText="1"/>
    </xf>
    <xf numFmtId="0" fontId="12" fillId="14" borderId="51" applyAlignment="1" pivotButton="0" quotePrefix="0" xfId="0">
      <alignment horizontal="center" vertical="center" wrapText="1"/>
    </xf>
    <xf numFmtId="164" fontId="12" fillId="15" borderId="5" applyAlignment="1" pivotButton="0" quotePrefix="0" xfId="0">
      <alignment horizontal="center" vertical="center" wrapText="1"/>
    </xf>
    <xf numFmtId="0" fontId="17" fillId="14" borderId="52" applyAlignment="1" pivotButton="0" quotePrefix="0" xfId="0">
      <alignment horizontal="general" vertical="center" wrapText="1"/>
    </xf>
    <xf numFmtId="49" fontId="12" fillId="14" borderId="51" applyAlignment="1" pivotButton="0" quotePrefix="0" xfId="0">
      <alignment horizontal="left" vertical="center" wrapText="1"/>
    </xf>
    <xf numFmtId="49" fontId="19" fillId="14" borderId="5" applyAlignment="1" pivotButton="0" quotePrefix="0" xfId="0">
      <alignment horizontal="center" vertical="center" wrapText="1"/>
    </xf>
    <xf numFmtId="49" fontId="13" fillId="14" borderId="5" applyAlignment="1" pivotButton="0" quotePrefix="0" xfId="0">
      <alignment horizontal="center" vertical="center" wrapText="1"/>
    </xf>
    <xf numFmtId="49" fontId="13" fillId="16" borderId="5" applyAlignment="1" pivotButton="0" quotePrefix="0" xfId="0">
      <alignment horizontal="left" vertical="top" wrapText="1"/>
    </xf>
    <xf numFmtId="165" fontId="12" fillId="16" borderId="5" applyAlignment="1" pivotButton="0" quotePrefix="0" xfId="0">
      <alignment horizontal="left" vertical="top" wrapText="1"/>
    </xf>
    <xf numFmtId="164" fontId="12" fillId="16" borderId="5" applyAlignment="1" pivotButton="0" quotePrefix="0" xfId="0">
      <alignment horizontal="left" vertical="top" wrapText="1"/>
    </xf>
    <xf numFmtId="167" fontId="12" fillId="16" borderId="5" applyAlignment="1" pivotButton="0" quotePrefix="0" xfId="0">
      <alignment horizontal="left" vertical="top" wrapText="1"/>
    </xf>
    <xf numFmtId="183" fontId="12" fillId="16" borderId="5" applyAlignment="1" pivotButton="0" quotePrefix="0" xfId="0">
      <alignment horizontal="left" vertical="top" wrapText="1"/>
    </xf>
    <xf numFmtId="172" fontId="12" fillId="16" borderId="5" applyAlignment="1" pivotButton="0" quotePrefix="0" xfId="0">
      <alignment horizontal="left" vertical="top" wrapText="1"/>
    </xf>
    <xf numFmtId="49" fontId="12" fillId="19" borderId="5" applyAlignment="1" pivotButton="0" quotePrefix="0" xfId="0">
      <alignment horizontal="left" vertical="top" wrapText="1"/>
    </xf>
    <xf numFmtId="183" fontId="12" fillId="19" borderId="5" applyAlignment="1" pivotButton="0" quotePrefix="0" xfId="0">
      <alignment horizontal="left" vertical="top" wrapText="1"/>
    </xf>
    <xf numFmtId="164" fontId="12" fillId="2" borderId="5" applyAlignment="1" pivotButton="0" quotePrefix="0" xfId="0">
      <alignment horizontal="left" vertical="top" wrapText="1"/>
    </xf>
    <xf numFmtId="172" fontId="12" fillId="19" borderId="5" applyAlignment="1" pivotButton="0" quotePrefix="0" xfId="0">
      <alignment horizontal="left" vertical="top" wrapText="1"/>
    </xf>
    <xf numFmtId="184" fontId="12" fillId="19" borderId="5" applyAlignment="1" pivotButton="0" quotePrefix="0" xfId="0">
      <alignment horizontal="left" vertical="top" wrapText="1"/>
    </xf>
    <xf numFmtId="167" fontId="12" fillId="2" borderId="5" applyAlignment="1" pivotButton="0" quotePrefix="0" xfId="0">
      <alignment horizontal="left" vertical="top" wrapText="1"/>
    </xf>
    <xf numFmtId="185" fontId="12" fillId="19" borderId="5" applyAlignment="1" pivotButton="0" quotePrefix="0" xfId="0">
      <alignment horizontal="left" vertical="top" wrapText="1"/>
    </xf>
    <xf numFmtId="186" fontId="12" fillId="19" borderId="5" applyAlignment="1" pivotButton="0" quotePrefix="0" xfId="0">
      <alignment horizontal="left" vertical="top" wrapText="1"/>
    </xf>
    <xf numFmtId="187" fontId="12" fillId="19" borderId="5" applyAlignment="1" pivotButton="0" quotePrefix="0" xfId="0">
      <alignment horizontal="left" vertical="top" wrapText="1"/>
    </xf>
    <xf numFmtId="3" fontId="12" fillId="16" borderId="5" applyAlignment="1" pivotButton="0" quotePrefix="0" xfId="0">
      <alignment horizontal="left" vertical="top" wrapText="1"/>
    </xf>
    <xf numFmtId="49" fontId="12" fillId="16" borderId="53" applyAlignment="1" pivotButton="0" quotePrefix="0" xfId="0">
      <alignment horizontal="left" vertical="top" wrapText="1"/>
    </xf>
    <xf numFmtId="49" fontId="12" fillId="16" borderId="53" applyAlignment="1" pivotButton="0" quotePrefix="0" xfId="0">
      <alignment horizontal="center" vertical="top" wrapText="1"/>
    </xf>
    <xf numFmtId="165" fontId="12" fillId="15" borderId="53" applyAlignment="1" pivotButton="0" quotePrefix="0" xfId="0">
      <alignment horizontal="right" vertical="top" wrapText="1"/>
    </xf>
    <xf numFmtId="166" fontId="12" fillId="16" borderId="54" applyAlignment="1" pivotButton="0" quotePrefix="0" xfId="0">
      <alignment horizontal="center" vertical="center" wrapText="1"/>
    </xf>
    <xf numFmtId="164" fontId="12" fillId="15" borderId="53" applyAlignment="1" pivotButton="0" quotePrefix="0" xfId="0">
      <alignment horizontal="center" vertical="top" wrapText="1"/>
    </xf>
    <xf numFmtId="165" fontId="12" fillId="16" borderId="53" applyAlignment="1" pivotButton="0" quotePrefix="0" xfId="0">
      <alignment horizontal="right" vertical="top" wrapText="1"/>
    </xf>
    <xf numFmtId="164" fontId="12" fillId="16" borderId="53" applyAlignment="1" pivotButton="0" quotePrefix="0" xfId="0">
      <alignment horizontal="center" vertical="top" wrapText="1"/>
    </xf>
    <xf numFmtId="165" fontId="12" fillId="16" borderId="5" applyAlignment="1" pivotButton="0" quotePrefix="0" xfId="0">
      <alignment horizontal="right" vertical="top" wrapText="1"/>
    </xf>
    <xf numFmtId="166" fontId="12" fillId="16" borderId="55" applyAlignment="1" pivotButton="0" quotePrefix="0" xfId="0">
      <alignment horizontal="center" vertical="center" wrapText="1"/>
    </xf>
    <xf numFmtId="164" fontId="12" fillId="16" borderId="5" applyAlignment="1" pivotButton="0" quotePrefix="0" xfId="0">
      <alignment horizontal="center" vertical="top" wrapText="1"/>
    </xf>
    <xf numFmtId="166" fontId="12" fillId="16" borderId="56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general" vertical="top" wrapText="1"/>
    </xf>
    <xf numFmtId="188" fontId="16" fillId="2" borderId="5" applyAlignment="1" pivotButton="0" quotePrefix="0" xfId="0">
      <alignment horizontal="center" vertical="top" wrapText="1"/>
    </xf>
    <xf numFmtId="177" fontId="12" fillId="14" borderId="5" applyAlignment="1" pivotButton="0" quotePrefix="0" xfId="0">
      <alignment horizontal="left" vertical="center"/>
    </xf>
    <xf numFmtId="171" fontId="12" fillId="14" borderId="6" applyAlignment="1" pivotButton="0" quotePrefix="0" xfId="0">
      <alignment horizontal="left" vertical="center"/>
    </xf>
    <xf numFmtId="189" fontId="12" fillId="14" borderId="15" applyAlignment="1" pivotButton="0" quotePrefix="0" xfId="0">
      <alignment horizontal="left" vertical="center"/>
    </xf>
    <xf numFmtId="0" fontId="14" fillId="14" borderId="5" applyAlignment="1" pivotButton="0" quotePrefix="0" xfId="0">
      <alignment horizontal="center" vertical="center" wrapText="1"/>
    </xf>
    <xf numFmtId="49" fontId="12" fillId="14" borderId="11" applyAlignment="1" pivotButton="0" quotePrefix="0" xfId="0">
      <alignment horizontal="center" vertical="center"/>
    </xf>
    <xf numFmtId="188" fontId="16" fillId="2" borderId="5" applyAlignment="1" pivotButton="0" quotePrefix="0" xfId="0">
      <alignment horizontal="center" vertical="center" wrapText="1"/>
    </xf>
    <xf numFmtId="49" fontId="14" fillId="2" borderId="5" applyAlignment="1" pivotButton="0" quotePrefix="0" xfId="0">
      <alignment horizontal="left" vertical="center"/>
    </xf>
    <xf numFmtId="167" fontId="14" fillId="2" borderId="5" applyAlignment="1" pivotButton="0" quotePrefix="0" xfId="0">
      <alignment horizontal="right" vertical="center" wrapText="1"/>
    </xf>
    <xf numFmtId="49" fontId="14" fillId="2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49" fontId="14" fillId="2" borderId="5" applyAlignment="1" pivotButton="0" quotePrefix="0" xfId="0">
      <alignment horizontal="left" vertical="center" wrapText="1"/>
    </xf>
    <xf numFmtId="49" fontId="14" fillId="2" borderId="5" applyAlignment="1" pivotButton="0" quotePrefix="0" xfId="0">
      <alignment horizontal="left" vertical="top"/>
    </xf>
    <xf numFmtId="49" fontId="20" fillId="2" borderId="5" applyAlignment="1" pivotButton="0" quotePrefix="0" xfId="0">
      <alignment horizontal="left" vertical="center" wrapText="1"/>
    </xf>
    <xf numFmtId="167" fontId="20" fillId="2" borderId="5" applyAlignment="1" pivotButton="0" quotePrefix="0" xfId="0">
      <alignment horizontal="right" vertical="center" wrapText="1"/>
    </xf>
    <xf numFmtId="49" fontId="20" fillId="2" borderId="5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center" wrapText="1"/>
    </xf>
    <xf numFmtId="0" fontId="18" fillId="14" borderId="5" applyAlignment="1" pivotButton="0" quotePrefix="0" xfId="0">
      <alignment horizontal="center" vertical="center" wrapText="1"/>
    </xf>
    <xf numFmtId="0" fontId="12" fillId="14" borderId="7" applyAlignment="1" pivotButton="0" quotePrefix="0" xfId="0">
      <alignment horizontal="left" vertical="center" wrapText="1"/>
    </xf>
    <xf numFmtId="49" fontId="12" fillId="14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164" fontId="12" fillId="2" borderId="5" applyAlignment="1" pivotButton="0" quotePrefix="0" xfId="0">
      <alignment horizontal="center" vertical="top" wrapText="1"/>
    </xf>
    <xf numFmtId="0" fontId="12" fillId="2" borderId="5" applyAlignment="1" pivotButton="0" quotePrefix="0" xfId="0">
      <alignment horizontal="center" vertical="top" wrapText="1"/>
    </xf>
    <xf numFmtId="49" fontId="12" fillId="2" borderId="57" applyAlignment="1" pivotButton="0" quotePrefix="0" xfId="0">
      <alignment horizontal="center" vertical="top" wrapText="1"/>
    </xf>
    <xf numFmtId="172" fontId="12" fillId="19" borderId="5" applyAlignment="1" pivotButton="0" quotePrefix="0" xfId="0">
      <alignment horizontal="right" vertical="top" wrapText="1"/>
    </xf>
    <xf numFmtId="173" fontId="12" fillId="19" borderId="5" applyAlignment="1" pivotButton="0" quotePrefix="0" xfId="0">
      <alignment horizontal="right" vertical="top" wrapText="1"/>
    </xf>
    <xf numFmtId="174" fontId="12" fillId="19" borderId="5" applyAlignment="1" pivotButton="0" quotePrefix="0" xfId="0">
      <alignment horizontal="right" vertical="top" wrapText="1"/>
    </xf>
    <xf numFmtId="175" fontId="12" fillId="19" borderId="5" applyAlignment="1" pivotButton="0" quotePrefix="0" xfId="0">
      <alignment horizontal="right" vertical="top" wrapText="1"/>
    </xf>
    <xf numFmtId="176" fontId="12" fillId="19" borderId="5" applyAlignment="1" pivotButton="0" quotePrefix="0" xfId="0">
      <alignment horizontal="right" vertical="top" wrapText="1"/>
    </xf>
    <xf numFmtId="0" fontId="12" fillId="16" borderId="5" applyAlignment="1" pivotButton="0" quotePrefix="0" xfId="0">
      <alignment horizontal="left" vertical="top" wrapText="1"/>
    </xf>
    <xf numFmtId="4" fontId="16" fillId="2" borderId="5" applyAlignment="1" pivotButton="0" quotePrefix="0" xfId="0">
      <alignment horizontal="right" vertical="top"/>
    </xf>
    <xf numFmtId="3" fontId="12" fillId="2" borderId="5" applyAlignment="1" pivotButton="0" quotePrefix="0" xfId="0">
      <alignment horizontal="right" vertical="top" wrapText="1"/>
    </xf>
    <xf numFmtId="49" fontId="21" fillId="14" borderId="5" applyAlignment="1" pivotButton="0" quotePrefix="0" xfId="0">
      <alignment horizontal="left" vertical="center" wrapText="1"/>
    </xf>
    <xf numFmtId="167" fontId="12" fillId="14" borderId="7" applyAlignment="1" pivotButton="0" quotePrefix="0" xfId="0">
      <alignment horizontal="left" vertical="center" wrapText="1"/>
    </xf>
    <xf numFmtId="167" fontId="12" fillId="14" borderId="7" applyAlignment="1" pivotButton="0" quotePrefix="0" xfId="0">
      <alignment horizontal="left" vertical="center"/>
    </xf>
    <xf numFmtId="167" fontId="21" fillId="14" borderId="7" applyAlignment="1" pivotButton="0" quotePrefix="0" xfId="0">
      <alignment horizontal="left" vertical="center" wrapText="1"/>
    </xf>
    <xf numFmtId="0" fontId="12" fillId="16" borderId="6" applyAlignment="1" pivotButton="0" quotePrefix="0" xfId="0">
      <alignment horizontal="center" vertical="top" wrapText="1"/>
    </xf>
    <xf numFmtId="0" fontId="12" fillId="2" borderId="5" applyAlignment="1" pivotButton="0" quotePrefix="0" xfId="0">
      <alignment horizontal="left" vertical="top" wrapText="1"/>
    </xf>
    <xf numFmtId="3" fontId="12" fillId="2" borderId="5" applyAlignment="1" pivotButton="0" quotePrefix="0" xfId="0">
      <alignment horizontal="left" vertical="top" wrapText="1"/>
    </xf>
    <xf numFmtId="3" fontId="12" fillId="2" borderId="5" applyAlignment="1" pivotButton="0" quotePrefix="0" xfId="0">
      <alignment horizontal="left" vertical="top"/>
    </xf>
    <xf numFmtId="3" fontId="21" fillId="2" borderId="5" applyAlignment="1" pivotButton="0" quotePrefix="0" xfId="0">
      <alignment horizontal="left" vertical="top" wrapText="1"/>
    </xf>
    <xf numFmtId="0" fontId="12" fillId="16" borderId="5" applyAlignment="1" pivotButton="0" quotePrefix="0" xfId="0">
      <alignment horizontal="center" vertical="top" wrapText="1"/>
    </xf>
    <xf numFmtId="181" fontId="12" fillId="19" borderId="5" applyAlignment="1" pivotButton="0" quotePrefix="0" xfId="0">
      <alignment horizontal="left" vertical="top"/>
    </xf>
    <xf numFmtId="182" fontId="12" fillId="19" borderId="5" applyAlignment="1" pivotButton="0" quotePrefix="0" xfId="0">
      <alignment horizontal="left" vertical="top"/>
    </xf>
    <xf numFmtId="172" fontId="21" fillId="19" borderId="5" applyAlignment="1" pivotButton="0" quotePrefix="0" xfId="0">
      <alignment horizontal="left" vertical="top" wrapText="1"/>
    </xf>
    <xf numFmtId="173" fontId="21" fillId="19" borderId="5" applyAlignment="1" pivotButton="0" quotePrefix="0" xfId="0">
      <alignment horizontal="left" vertical="top" wrapText="1"/>
    </xf>
    <xf numFmtId="176" fontId="21" fillId="19" borderId="5" applyAlignment="1" pivotButton="0" quotePrefix="0" xfId="0">
      <alignment horizontal="left" vertical="top" wrapText="1"/>
    </xf>
    <xf numFmtId="174" fontId="21" fillId="19" borderId="5" applyAlignment="1" pivotButton="0" quotePrefix="0" xfId="0">
      <alignment horizontal="left" vertical="top" wrapText="1"/>
    </xf>
    <xf numFmtId="175" fontId="21" fillId="19" borderId="5" applyAlignment="1" pivotButton="0" quotePrefix="0" xfId="0">
      <alignment horizontal="left" vertical="top" wrapText="1"/>
    </xf>
    <xf numFmtId="0" fontId="12" fillId="16" borderId="5" applyAlignment="1" pivotButton="0" quotePrefix="0" xfId="0">
      <alignment horizontal="left" vertical="top" wrapText="1" indent="5"/>
    </xf>
    <xf numFmtId="165" fontId="12" fillId="2" borderId="5" applyAlignment="1" pivotButton="0" quotePrefix="0" xfId="0">
      <alignment horizontal="left" vertical="top" wrapText="1"/>
    </xf>
    <xf numFmtId="190" fontId="12" fillId="19" borderId="5" applyAlignment="1" pivotButton="0" quotePrefix="0" xfId="0">
      <alignment horizontal="left" vertical="top"/>
    </xf>
    <xf numFmtId="191" fontId="12" fillId="19" borderId="5" applyAlignment="1" pivotButton="0" quotePrefix="0" xfId="0">
      <alignment horizontal="left" vertical="top"/>
    </xf>
    <xf numFmtId="183" fontId="21" fillId="19" borderId="5" applyAlignment="1" pivotButton="0" quotePrefix="0" xfId="0">
      <alignment horizontal="left" vertical="top" wrapText="1"/>
    </xf>
    <xf numFmtId="187" fontId="21" fillId="19" borderId="5" applyAlignment="1" pivotButton="0" quotePrefix="0" xfId="0">
      <alignment horizontal="left" vertical="top" wrapText="1"/>
    </xf>
    <xf numFmtId="184" fontId="21" fillId="19" borderId="5" applyAlignment="1" pivotButton="0" quotePrefix="0" xfId="0">
      <alignment horizontal="left" vertical="top" wrapText="1"/>
    </xf>
    <xf numFmtId="185" fontId="21" fillId="19" borderId="5" applyAlignment="1" pivotButton="0" quotePrefix="0" xfId="0">
      <alignment horizontal="left" vertical="top" wrapText="1"/>
    </xf>
    <xf numFmtId="186" fontId="21" fillId="19" borderId="5" applyAlignment="1" pivotButton="0" quotePrefix="0" xfId="0">
      <alignment horizontal="left" vertical="top" wrapText="1"/>
    </xf>
    <xf numFmtId="0" fontId="12" fillId="16" borderId="5" applyAlignment="1" pivotButton="0" quotePrefix="0" xfId="0">
      <alignment horizontal="left" vertical="top" wrapText="1" indent="7"/>
    </xf>
    <xf numFmtId="167" fontId="12" fillId="2" borderId="5" applyAlignment="1" pivotButton="0" quotePrefix="0" xfId="0">
      <alignment horizontal="left" vertical="top"/>
    </xf>
    <xf numFmtId="167" fontId="21" fillId="2" borderId="5" applyAlignment="1" pivotButton="0" quotePrefix="0" xfId="0">
      <alignment horizontal="left" vertical="top" wrapText="1"/>
    </xf>
    <xf numFmtId="0" fontId="13" fillId="16" borderId="5" applyAlignment="1" pivotButton="0" quotePrefix="0" xfId="0">
      <alignment horizontal="left" vertical="top" wrapText="1" indent="5"/>
    </xf>
    <xf numFmtId="180" fontId="12" fillId="2" borderId="6" applyAlignment="1" pivotButton="0" quotePrefix="0" xfId="0">
      <alignment horizontal="left" vertical="top" wrapText="1"/>
    </xf>
    <xf numFmtId="180" fontId="12" fillId="2" borderId="5" applyAlignment="1" pivotButton="0" quotePrefix="0" xfId="0">
      <alignment horizontal="left" vertical="top"/>
    </xf>
    <xf numFmtId="180" fontId="21" fillId="2" borderId="5" applyAlignment="1" pivotButton="0" quotePrefix="0" xfId="0">
      <alignment horizontal="left" vertical="top" wrapText="1"/>
    </xf>
    <xf numFmtId="165" fontId="12" fillId="16" borderId="13" applyAlignment="1" pivotButton="0" quotePrefix="0" xfId="0">
      <alignment horizontal="left" vertical="center" wrapText="1"/>
    </xf>
    <xf numFmtId="0" fontId="21" fillId="16" borderId="13" applyAlignment="1" pivotButton="0" quotePrefix="0" xfId="0">
      <alignment horizontal="left" vertical="center" wrapText="1"/>
    </xf>
    <xf numFmtId="49" fontId="12" fillId="14" borderId="58" applyAlignment="1" pivotButton="0" quotePrefix="0" xfId="0">
      <alignment horizontal="left" vertical="center" wrapText="1"/>
    </xf>
    <xf numFmtId="49" fontId="12" fillId="14" borderId="58" applyAlignment="1" pivotButton="0" quotePrefix="0" xfId="0">
      <alignment horizontal="center" vertical="center" wrapText="1"/>
    </xf>
    <xf numFmtId="49" fontId="23" fillId="16" borderId="59" applyAlignment="1" pivotButton="0" quotePrefix="0" xfId="0">
      <alignment horizontal="left" vertical="top" wrapText="1"/>
    </xf>
    <xf numFmtId="171" fontId="14" fillId="2" borderId="5" applyAlignment="1" pivotButton="0" quotePrefix="0" xfId="0">
      <alignment horizontal="right" vertical="top" wrapText="1"/>
    </xf>
    <xf numFmtId="192" fontId="16" fillId="19" borderId="60" applyAlignment="1" pivotButton="0" quotePrefix="0" xfId="0">
      <alignment horizontal="right" vertical="top" wrapText="1"/>
    </xf>
    <xf numFmtId="49" fontId="14" fillId="2" borderId="5" applyAlignment="1" pivotButton="0" quotePrefix="0" xfId="0">
      <alignment horizontal="right" vertical="top" wrapText="1"/>
    </xf>
    <xf numFmtId="0" fontId="24" fillId="2" borderId="0" applyAlignment="1" pivotButton="0" quotePrefix="0" xfId="0">
      <alignment horizontal="general" vertical="center"/>
    </xf>
  </cellXfs>
  <cellStyles count="2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Background" xfId="6"/>
    <cellStyle name="Card" xfId="7"/>
    <cellStyle name="Card B" xfId="8"/>
    <cellStyle name="Card BL" xfId="9"/>
    <cellStyle name="Card BR" xfId="10"/>
    <cellStyle name="Card L" xfId="11"/>
    <cellStyle name="Card R" xfId="12"/>
    <cellStyle name="Card T" xfId="13"/>
    <cellStyle name="Card TL" xfId="14"/>
    <cellStyle name="Card TR" xfId="15"/>
    <cellStyle name="cf1" xfId="16"/>
    <cellStyle name="cf2" xfId="17"/>
    <cellStyle name="cf3" xfId="18"/>
    <cellStyle name="cf4" xfId="19"/>
    <cellStyle name="cf5" xfId="20"/>
    <cellStyle name="cf6" xfId="21"/>
    <cellStyle name="cf7" xfId="22"/>
    <cellStyle name="Column Header" xfId="23"/>
    <cellStyle name="Ctrl_Error" xfId="24"/>
    <cellStyle name="Ctrl_OK" xfId="25"/>
    <cellStyle name="Ctrl_Warn" xfId="26"/>
    <cellStyle name="Input" xfId="27"/>
    <cellStyle name="Résultat2" xfId="28"/>
  </cellStyles>
  <dxfs count="13"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000000"/>
      </font>
      <fill>
        <patternFill>
          <bgColor rgb="FFFFC7CE"/>
        </patternFill>
      </fill>
    </dxf>
    <dxf>
      <font>
        <name val="Arial"/>
        <charset val="1"/>
        <family val="2"/>
        <color rgb="FF000000"/>
      </font>
      <fill>
        <patternFill>
          <bgColor rgb="FFFFEB9C"/>
        </patternFill>
      </fill>
    </dxf>
    <dxf>
      <font>
        <name val="Arial"/>
        <charset val="1"/>
        <family val="2"/>
        <color rgb="FF9C0006"/>
      </font>
      <fill>
        <patternFill>
          <bgColor rgb="FFFFC7CE"/>
        </patternFill>
      </fill>
    </dxf>
    <dxf>
      <font>
        <name val="Arial"/>
        <charset val="1"/>
        <family val="2"/>
        <color rgb="FF000000"/>
      </font>
      <numFmt numFmtId="164" formatCode="General"/>
      <fill>
        <patternFill>
          <bgColor rgb="FFFF9781"/>
        </patternFill>
      </fill>
    </dxf>
    <dxf>
      <font>
        <name val="Arial"/>
        <charset val="1"/>
        <family val="2"/>
        <color rgb="FF000000"/>
      </font>
      <numFmt numFmtId="164" formatCode="General"/>
      <fill>
        <patternFill>
          <bgColor rgb="FFFFD38A"/>
        </patternFill>
      </fill>
    </dxf>
    <dxf>
      <fill>
        <patternFill patternType="solid">
          <fgColor rgb="FFD2C19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432FF"/>
          <bgColor rgb="FF000000"/>
        </patternFill>
      </fill>
    </dxf>
    <dxf>
      <font>
        <name val="Arial"/>
        <charset val="1"/>
        <family val="2"/>
        <color rgb="FF000000"/>
      </font>
      <numFmt numFmtId="164" formatCode="General"/>
      <fill>
        <patternFill>
          <bgColor rgb="FFFFFC98"/>
        </patternFill>
      </fill>
    </dxf>
    <dxf>
      <font>
        <name val="Arial"/>
        <charset val="1"/>
        <family val="2"/>
      </font>
      <numFmt numFmtId="164" formatCode="General"/>
      <fill>
        <patternFill>
          <bgColor rgb="FFD5D5D5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EEEBDB"/>
      <rgbColor rgb="FF9C0006"/>
      <rgbColor rgb="FF008000"/>
      <rgbColor rgb="FF000080"/>
      <rgbColor rgb="FF669C35"/>
      <rgbColor rgb="FF800080"/>
      <rgbColor rgb="FF006666"/>
      <rgbColor rgb="FFC0C0C0"/>
      <rgbColor rgb="FF808080"/>
      <rgbColor rgb="FFDCDCDC"/>
      <rgbColor rgb="FF993366"/>
      <rgbColor rgb="FFFFFBEE"/>
      <rgbColor rgb="FFC6EFCE"/>
      <rgbColor rgb="FF660066"/>
      <rgbColor rgb="FFFF968C"/>
      <rgbColor rgb="FF0066CC"/>
      <rgbColor rgb="FFD5D5D5"/>
      <rgbColor rgb="FF000080"/>
      <rgbColor rgb="FFFF00FF"/>
      <rgbColor rgb="FFFEFB66"/>
      <rgbColor rgb="FFF3EFE4"/>
      <rgbColor rgb="FF800080"/>
      <rgbColor rgb="FF800000"/>
      <rgbColor rgb="FF0099CC"/>
      <rgbColor rgb="FF0432FF"/>
      <rgbColor rgb="FF00CCFF"/>
      <rgbColor rgb="FFE6E6E6"/>
      <rgbColor rgb="FFD4FDD5"/>
      <rgbColor rgb="FFFFFC98"/>
      <rgbColor rgb="FFBFBFBF"/>
      <rgbColor rgb="FFFF9781"/>
      <rgbColor rgb="FFC8C8C8"/>
      <rgbColor rgb="FFFFD38A"/>
      <rgbColor rgb="FF3366FF"/>
      <rgbColor rgb="FFE3E3E3"/>
      <rgbColor rgb="FFFFEB9C"/>
      <rgbColor rgb="FFD2C195"/>
      <rgbColor rgb="FFFFC7CE"/>
      <rgbColor rgb="FFE32400"/>
      <rgbColor rgb="FFFFCCCC"/>
      <rgbColor rgb="FF7F7F7F"/>
      <rgbColor rgb="FF003366"/>
      <rgbColor rgb="FFF8D2E0"/>
      <rgbColor rgb="FF003300"/>
      <rgbColor rgb="FF4A2F04"/>
      <rgbColor rgb="FF6C2E24"/>
      <rgbColor rgb="FF993366"/>
      <rgbColor rgb="FF333399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Unknown Author</author>
  </authors>
  <commentList>
    <comment ref="D31" authorId="0" shapeId="0">
      <text>
        <t>Marc Lebas:
0 si tous les résultats valent 1 &lt;==&gt; nombre de résultats - nombre de résultats valant 1</t>
      </text>
    </comment>
    <comment ref="L31" authorId="0" shapeId="0">
      <text>
        <t>Marc Lebas:
0 si tous les reports valent 1 &lt;==&gt; nombre de reports - nombre de reports valant 1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M62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1.5078125" defaultRowHeight="12.75" customHeight="1" zeroHeight="0" outlineLevelRow="0"/>
  <cols>
    <col width="13.5" customWidth="1" style="303" min="1" max="1"/>
    <col width="22" customWidth="1" style="303" min="2" max="2"/>
    <col width="8.76" customWidth="1" style="303" min="3" max="3"/>
    <col width="15.77" customWidth="1" style="303" min="4" max="4"/>
    <col width="8.16" customWidth="1" style="303" min="5" max="5"/>
    <col width="4.87" customWidth="1" style="303" min="6" max="6"/>
    <col width="13.91" customWidth="1" style="303" min="7" max="7"/>
    <col width="14.06" customWidth="1" style="303" min="8" max="8"/>
    <col width="4.73" customWidth="1" style="303" min="9" max="10"/>
    <col width="12.94" customWidth="1" style="303" min="11" max="11"/>
    <col width="2.64" customWidth="1" style="303" min="12" max="12"/>
    <col width="53.42" customWidth="1" style="303" min="13" max="13"/>
  </cols>
  <sheetData>
    <row r="2" ht="16.5" customHeight="1" s="304">
      <c r="B2" s="305">
        <f>Contrôles!N$48</f>
        <v/>
      </c>
      <c r="C2" s="306" t="inlineStr">
        <is>
          <t>Patrimoine et répartition</t>
        </is>
      </c>
      <c r="D2" s="307" t="n"/>
      <c r="E2" s="307" t="n"/>
      <c r="F2" s="307" t="n"/>
      <c r="G2" s="308" t="n"/>
      <c r="H2" s="309" t="n"/>
      <c r="I2" s="309" t="n"/>
    </row>
    <row r="3" ht="16.5" customHeight="1" s="304">
      <c r="B3" s="310">
        <f>année_courante</f>
        <v/>
      </c>
      <c r="C3" s="311" t="inlineStr">
        <is>
          <t>Avoirs</t>
        </is>
      </c>
      <c r="D3" s="310" t="inlineStr">
        <is>
          <t>Valeur</t>
        </is>
      </c>
      <c r="E3" s="307" t="n"/>
      <c r="F3" s="312">
        <f>"dont Plus value latente depuis " &amp; YEAR(Plus_value!G3)</f>
        <v/>
      </c>
      <c r="G3" s="308" t="n"/>
      <c r="H3" s="313" t="n"/>
      <c r="I3" s="313" t="n"/>
    </row>
    <row r="4" ht="15.75" customHeight="1" s="304">
      <c r="B4" s="314" t="inlineStr">
        <is>
          <t>TOTAL</t>
        </is>
      </c>
      <c r="C4" s="315">
        <f>COUNTA(AVRintitulé)</f>
        <v/>
      </c>
      <c r="D4" s="316">
        <f>Avoirs!L2</f>
        <v/>
      </c>
      <c r="E4" s="317" t="n"/>
      <c r="F4" s="317" t="n"/>
      <c r="G4" s="316">
        <f>Plus_value!E3</f>
        <v/>
      </c>
      <c r="H4" s="318">
        <f>Plus_value!F51</f>
        <v/>
      </c>
      <c r="I4" s="318" t="n"/>
    </row>
    <row r="5" ht="15.75" customHeight="1" s="304">
      <c r="B5" s="319" t="inlineStr">
        <is>
          <t>par type / compte</t>
        </is>
      </c>
      <c r="C5" s="319" t="n"/>
      <c r="D5" s="320" t="n"/>
      <c r="E5" s="317" t="n"/>
      <c r="G5" s="321" t="n"/>
    </row>
    <row r="6" ht="16.5" customHeight="1" s="304">
      <c r="B6" s="322" t="inlineStr">
        <is>
          <t>Biens matériels</t>
        </is>
      </c>
      <c r="C6" s="323">
        <f>COUNTIF(AVRtype,$B6)</f>
        <v/>
      </c>
      <c r="D6" s="324">
        <f>SUMIF(AVRtype,$B6,AVRmontant_solde_euro)</f>
        <v/>
      </c>
      <c r="E6" s="325">
        <f>D6/D$13</f>
        <v/>
      </c>
      <c r="G6" s="321" t="n"/>
    </row>
    <row r="7" ht="16.5" customHeight="1" s="304">
      <c r="B7" s="322" t="inlineStr">
        <is>
          <t>Portefeuilles</t>
        </is>
      </c>
      <c r="C7" s="323">
        <f>COUNTIF(AVRtype,$B7)</f>
        <v/>
      </c>
      <c r="D7" s="324">
        <f>SUMIF(AVRtype,$B7,AVRmontant_solde_euro)</f>
        <v/>
      </c>
      <c r="E7" s="325">
        <f>D7/D$13</f>
        <v/>
      </c>
    </row>
    <row r="8" ht="16.5" customHeight="1" s="304">
      <c r="B8" s="322" t="inlineStr">
        <is>
          <t>Créances</t>
        </is>
      </c>
      <c r="C8" s="323">
        <f>COUNTIF(AVRtype,$B8)</f>
        <v/>
      </c>
      <c r="D8" s="324">
        <f>SUMIF(AVRtype,$B8,AVRmontant_solde_euro)</f>
        <v/>
      </c>
      <c r="E8" s="325">
        <f>D8/D$13</f>
        <v/>
      </c>
    </row>
    <row r="9" ht="16.5" customHeight="1" s="304">
      <c r="B9" s="322" t="inlineStr">
        <is>
          <t>Devises étrangères</t>
        </is>
      </c>
      <c r="C9" s="323">
        <f>COUNTIF(AVRtype,$B9)</f>
        <v/>
      </c>
      <c r="D9" s="324">
        <f>SUMIF(AVRtype,$B9,AVRmontant_solde_euro)</f>
        <v/>
      </c>
      <c r="E9" s="325">
        <f>D9/D$13</f>
        <v/>
      </c>
    </row>
    <row r="10" ht="16.5" customHeight="1" s="304">
      <c r="B10" s="322" t="inlineStr">
        <is>
          <t>Crypto monnaies</t>
        </is>
      </c>
      <c r="C10" s="323">
        <f>COUNTIF(AVRtype,$B10)</f>
        <v/>
      </c>
      <c r="D10" s="324">
        <f>SUMIF(AVRtype,$B10,AVRmontant_solde_euro)</f>
        <v/>
      </c>
      <c r="E10" s="325">
        <f>D10/D$13</f>
        <v/>
      </c>
    </row>
    <row r="11" ht="16.5" customHeight="1" s="304">
      <c r="B11" s="322" t="inlineStr">
        <is>
          <t>Euros</t>
        </is>
      </c>
      <c r="C11" s="323">
        <f>COUNTIF(AVRtype,$B11)</f>
        <v/>
      </c>
      <c r="D11" s="324">
        <f>SUMIF(AVRtype,$B11,AVRmontant_solde_euro)</f>
        <v/>
      </c>
      <c r="E11" s="325">
        <f>D11/D$13</f>
        <v/>
      </c>
      <c r="G11" s="321" t="n"/>
    </row>
    <row r="12" ht="16.5" customHeight="1" s="304">
      <c r="B12" s="322" t="inlineStr">
        <is>
          <t>Dettes</t>
        </is>
      </c>
      <c r="C12" s="323">
        <f>COUNTIF(AVRtype,$B12)</f>
        <v/>
      </c>
      <c r="D12" s="324">
        <f>SUMIF(AVRtype,$B12,AVRmontant_solde_euro)</f>
        <v/>
      </c>
      <c r="E12" s="325">
        <f>D12/D$13</f>
        <v/>
      </c>
      <c r="G12" s="321" t="n"/>
    </row>
    <row r="13" ht="16.5" customHeight="1" s="304">
      <c r="B13" s="326" t="inlineStr">
        <is>
          <t>TOTAL</t>
        </is>
      </c>
      <c r="C13" s="323">
        <f>SUM(C6:C12)</f>
        <v/>
      </c>
      <c r="D13" s="327">
        <f>ROUND(SUM(D6:D12),2)</f>
        <v/>
      </c>
    </row>
    <row r="14" ht="16.5" customHeight="1" s="304">
      <c r="B14" s="319" t="inlineStr">
        <is>
          <t>par sous-type</t>
        </is>
      </c>
      <c r="C14" s="328" t="n"/>
      <c r="D14" s="329" t="n"/>
      <c r="E14" s="317" t="n"/>
    </row>
    <row r="15" ht="16.5" customHeight="1" s="304">
      <c r="B15" s="322" t="inlineStr">
        <is>
          <t>Foncier</t>
        </is>
      </c>
      <c r="C15" s="323">
        <f>COUNTIF(AVRsous_type,$B15)</f>
        <v/>
      </c>
      <c r="D15" s="324">
        <f>SUMIF(AVRsous_type,B15,AVRmontant_solde_euro)</f>
        <v/>
      </c>
      <c r="E15" s="325">
        <f>D15/D$24</f>
        <v/>
      </c>
      <c r="G15" s="321" t="n"/>
    </row>
    <row r="16" ht="16.5" customHeight="1" s="304">
      <c r="B16" s="322" t="inlineStr">
        <is>
          <t>Titres</t>
        </is>
      </c>
      <c r="C16" s="323">
        <f>COUNTIF(AVRsous_type,$B16)</f>
        <v/>
      </c>
      <c r="D16" s="324">
        <f>SUMIF(AVRsous_type,B16,AVRmontant_solde_euro)</f>
        <v/>
      </c>
      <c r="E16" s="325">
        <f>D16/D$24</f>
        <v/>
      </c>
    </row>
    <row r="17" ht="16.5" customHeight="1" s="304">
      <c r="B17" s="322" t="inlineStr">
        <is>
          <t>Mobilier</t>
        </is>
      </c>
      <c r="C17" s="323">
        <f>COUNTIF(AVRsous_type,$B17)</f>
        <v/>
      </c>
      <c r="D17" s="324">
        <f>SUMIF(AVRsous_type,B17,AVRmontant_solde_euro)</f>
        <v/>
      </c>
      <c r="E17" s="325">
        <f>D17/D$24</f>
        <v/>
      </c>
    </row>
    <row r="18" ht="16.5" customHeight="1" s="304">
      <c r="B18" s="322" t="inlineStr">
        <is>
          <t>Euro</t>
        </is>
      </c>
      <c r="C18" s="323">
        <f>COUNTIF(AVRsous_type,$B18)</f>
        <v/>
      </c>
      <c r="D18" s="324">
        <f>SUMIF(AVRsous_type,B18,AVRmontant_solde_euro)</f>
        <v/>
      </c>
      <c r="E18" s="325">
        <f>D18/D$24</f>
        <v/>
      </c>
    </row>
    <row r="19" ht="16.5" customHeight="1" s="304">
      <c r="B19" s="322" t="n"/>
      <c r="C19" s="323" t="n"/>
      <c r="D19" s="324" t="n"/>
      <c r="E19" s="325">
        <f>D19/D$24</f>
        <v/>
      </c>
    </row>
    <row r="20" ht="16.5" customHeight="1" s="304">
      <c r="B20" s="322" t="inlineStr">
        <is>
          <t>Bitcoin</t>
        </is>
      </c>
      <c r="C20" s="323">
        <f>COUNTIF(AVRsous_type,$B20)</f>
        <v/>
      </c>
      <c r="D20" s="324">
        <f>SUMIF(AVRsous_type,$B20,AVRmontant_solde_euro)</f>
        <v/>
      </c>
      <c r="E20" s="325">
        <f>D20/D$24</f>
        <v/>
      </c>
    </row>
    <row r="21" ht="16.5" customHeight="1" s="304">
      <c r="B21" s="322" t="inlineStr">
        <is>
          <t>Dollar Singapour</t>
        </is>
      </c>
      <c r="C21" s="323">
        <f>COUNTIF(AVRsous_type,$B21)</f>
        <v/>
      </c>
      <c r="D21" s="324">
        <f>SUMIF(AVRsous_type,$B21,AVRmontant_solde_euro)</f>
        <v/>
      </c>
      <c r="E21" s="325">
        <f>D21/D$24</f>
        <v/>
      </c>
    </row>
    <row r="22" ht="16.5" customHeight="1" s="304">
      <c r="B22" s="322" t="inlineStr">
        <is>
          <t>Dollar US</t>
        </is>
      </c>
      <c r="C22" s="323">
        <f>COUNTIF(AVRsous_type,$B22)</f>
        <v/>
      </c>
      <c r="D22" s="324">
        <f>SUMIF(AVRsous_type,$B22,AVRmontant_solde_euro)</f>
        <v/>
      </c>
      <c r="E22" s="325">
        <f>D22/D$24</f>
        <v/>
      </c>
    </row>
    <row r="23" ht="16.5" customHeight="1" s="304">
      <c r="B23" s="322" t="inlineStr">
        <is>
          <t>Monero</t>
        </is>
      </c>
      <c r="C23" s="323">
        <f>COUNTIF(AVRsous_type,$B23)</f>
        <v/>
      </c>
      <c r="D23" s="324">
        <f>SUMIF(AVRsous_type,$B23,AVRmontant_solde_euro)</f>
        <v/>
      </c>
      <c r="E23" s="325">
        <f>D23/D$24</f>
        <v/>
      </c>
    </row>
    <row r="24" ht="16.5" customHeight="1" s="304">
      <c r="B24" s="326" t="inlineStr">
        <is>
          <t>TOTAL</t>
        </is>
      </c>
      <c r="C24" s="323">
        <f>SUM(C15:C23)</f>
        <v/>
      </c>
      <c r="D24" s="327">
        <f>ROUND(SUM(D15:D23),2)</f>
        <v/>
      </c>
    </row>
    <row r="25" ht="16.5" customHeight="1" s="304">
      <c r="B25" s="330" t="inlineStr">
        <is>
          <t>par domiciliation</t>
        </is>
      </c>
      <c r="C25" s="331" t="n"/>
      <c r="D25" s="329" t="n"/>
      <c r="E25" s="317" t="n"/>
    </row>
    <row r="26" ht="16.5" customHeight="1" s="304">
      <c r="B26" s="332" t="n"/>
      <c r="C26" s="323" t="n"/>
      <c r="D26" s="324" t="n"/>
      <c r="E26" s="325">
        <f>D26/D$41</f>
        <v/>
      </c>
      <c r="G26" s="321" t="n"/>
    </row>
    <row r="27" ht="16.5" customHeight="1" s="304">
      <c r="B27" s="332" t="inlineStr">
        <is>
          <t>Amazon</t>
        </is>
      </c>
      <c r="C27" s="323">
        <f>COUNTIF(AVRdomiciliation,$B27)</f>
        <v/>
      </c>
      <c r="D27" s="324">
        <f>SUMIF(AVRdomiciliation,$B27,AVRmontant_solde_euro)</f>
        <v/>
      </c>
      <c r="E27" s="325">
        <f>D27/D$41</f>
        <v/>
      </c>
      <c r="G27" s="321" t="n"/>
    </row>
    <row r="28" ht="16.5" customHeight="1" s="304">
      <c r="B28" s="332" t="inlineStr">
        <is>
          <t>Auto</t>
        </is>
      </c>
      <c r="C28" s="323">
        <f>COUNTIF(AVRdomiciliation,$B28)</f>
        <v/>
      </c>
      <c r="D28" s="324">
        <f>SUMIF(AVRdomiciliation,$B28,AVRmontant_solde_euro)</f>
        <v/>
      </c>
      <c r="E28" s="325">
        <f>D28/D$41</f>
        <v/>
      </c>
      <c r="G28" s="321" t="n"/>
    </row>
    <row r="29" ht="16.5" customHeight="1" s="304">
      <c r="B29" s="332" t="inlineStr">
        <is>
          <t>Blockchain</t>
        </is>
      </c>
      <c r="C29" s="323">
        <f>COUNTIF(AVRdomiciliation,$B29)</f>
        <v/>
      </c>
      <c r="D29" s="324">
        <f>SUMIF(AVRdomiciliation,$B29,AVRmontant_solde_euro)</f>
        <v/>
      </c>
      <c r="E29" s="325">
        <f>D29/D$41</f>
        <v/>
      </c>
      <c r="G29" s="321" t="n"/>
    </row>
    <row r="30" ht="16.5" customHeight="1" s="304">
      <c r="B30" s="332" t="inlineStr">
        <is>
          <t>BoursoBank</t>
        </is>
      </c>
      <c r="C30" s="323">
        <f>COUNTIF(AVRdomiciliation,$B30)</f>
        <v/>
      </c>
      <c r="D30" s="324">
        <f>SUMIF(AVRdomiciliation,$B30,AVRmontant_solde_euro)</f>
        <v/>
      </c>
      <c r="E30" s="325">
        <f>D30/D$41</f>
        <v/>
      </c>
      <c r="G30" s="321" t="n"/>
    </row>
    <row r="31" ht="16.5" customHeight="1" s="304">
      <c r="B31" s="332" t="inlineStr">
        <is>
          <t>Coffre</t>
        </is>
      </c>
      <c r="C31" s="323">
        <f>COUNTIF(AVRdomiciliation,$B31)</f>
        <v/>
      </c>
      <c r="D31" s="324">
        <f>SUMIF(AVRdomiciliation,$B31,AVRmontant_solde_euro)</f>
        <v/>
      </c>
      <c r="E31" s="325">
        <f>D31/D$41</f>
        <v/>
      </c>
      <c r="G31" s="321" t="n"/>
    </row>
    <row r="32" ht="16.5" customHeight="1" s="304">
      <c r="B32" s="332" t="inlineStr">
        <is>
          <t>DEGIRO</t>
        </is>
      </c>
      <c r="C32" s="323">
        <f>COUNTIF(AVRdomiciliation,$B32)</f>
        <v/>
      </c>
      <c r="D32" s="324">
        <f>SUMIF(AVRdomiciliation,$B32,AVRmontant_solde_euro)</f>
        <v/>
      </c>
      <c r="E32" s="325">
        <f>D32/D$41</f>
        <v/>
      </c>
      <c r="G32" s="321" t="n"/>
    </row>
    <row r="33" ht="16.5" customHeight="1" s="304">
      <c r="B33" s="332" t="inlineStr">
        <is>
          <t>Francine</t>
        </is>
      </c>
      <c r="C33" s="323">
        <f>COUNTIF(AVRdomiciliation,$B33)</f>
        <v/>
      </c>
      <c r="D33" s="324">
        <f>SUMIF(AVRdomiciliation,$B33,AVRmontant_solde_euro)</f>
        <v/>
      </c>
      <c r="E33" s="325">
        <f>D33/D$41</f>
        <v/>
      </c>
      <c r="G33" s="321" t="n"/>
    </row>
    <row r="34" ht="16.5" customHeight="1" s="304">
      <c r="B34" s="332" t="inlineStr">
        <is>
          <t>Kraken</t>
        </is>
      </c>
      <c r="C34" s="323">
        <f>COUNTIF(AVRdomiciliation,$B34)</f>
        <v/>
      </c>
      <c r="D34" s="324">
        <f>SUMIF(AVRdomiciliation,$B34,AVRmontant_solde_euro)</f>
        <v/>
      </c>
      <c r="E34" s="325">
        <f>D34/D$41</f>
        <v/>
      </c>
      <c r="G34" s="321" t="n"/>
    </row>
    <row r="35" ht="16.5" customHeight="1" s="304">
      <c r="B35" s="332" t="inlineStr">
        <is>
          <t>Maison</t>
        </is>
      </c>
      <c r="C35" s="323">
        <f>COUNTIF(AVRdomiciliation,$B35)</f>
        <v/>
      </c>
      <c r="D35" s="324">
        <f>SUMIF(AVRdomiciliation,$B35,AVRmontant_solde_euro)</f>
        <v/>
      </c>
      <c r="E35" s="325">
        <f>D35/D$41</f>
        <v/>
      </c>
      <c r="G35" s="321" t="n"/>
    </row>
    <row r="36" ht="16.5" customHeight="1" s="304">
      <c r="B36" s="332" t="inlineStr">
        <is>
          <t>Natixis</t>
        </is>
      </c>
      <c r="C36" s="323">
        <f>COUNTIF(AVRdomiciliation,$B36)</f>
        <v/>
      </c>
      <c r="D36" s="324">
        <f>SUMIF(AVRdomiciliation,$B36,AVRmontant_solde_euro)</f>
        <v/>
      </c>
      <c r="E36" s="325">
        <f>D36/D$41</f>
        <v/>
      </c>
      <c r="G36" s="321" t="n"/>
    </row>
    <row r="37" ht="16.5" customHeight="1" s="304">
      <c r="B37" s="332" t="inlineStr">
        <is>
          <t>Paypal</t>
        </is>
      </c>
      <c r="C37" s="323">
        <f>COUNTIF(AVRdomiciliation,$B37)</f>
        <v/>
      </c>
      <c r="D37" s="324">
        <f>SUMIF(AVRdomiciliation,$B37,AVRmontant_solde_euro)</f>
        <v/>
      </c>
      <c r="E37" s="325">
        <f>D37/D$41</f>
        <v/>
      </c>
      <c r="G37" s="321" t="n"/>
    </row>
    <row r="38" ht="16.5" customHeight="1" s="304">
      <c r="B38" s="332" t="inlineStr">
        <is>
          <t>Société Générale</t>
        </is>
      </c>
      <c r="C38" s="323">
        <f>COUNTIF(AVRdomiciliation,$B38)</f>
        <v/>
      </c>
      <c r="D38" s="324">
        <f>SUMIF(AVRdomiciliation,$B38,AVRmontant_solde_euro)</f>
        <v/>
      </c>
      <c r="E38" s="325">
        <f>D38/D$41</f>
        <v/>
      </c>
      <c r="G38" s="321" t="n"/>
    </row>
    <row r="39" ht="16.5" customHeight="1" s="304">
      <c r="B39" s="332" t="inlineStr">
        <is>
          <t>Wise</t>
        </is>
      </c>
      <c r="C39" s="323">
        <f>COUNTIF(AVRdomiciliation,$B39)</f>
        <v/>
      </c>
      <c r="D39" s="324">
        <f>SUMIF(AVRdomiciliation,$B39,AVRmontant_solde_euro)</f>
        <v/>
      </c>
      <c r="E39" s="325">
        <f>D39/D$41</f>
        <v/>
      </c>
      <c r="G39" s="321" t="n"/>
    </row>
    <row r="40" ht="16.5" customHeight="1" s="304">
      <c r="B40" s="332" t="inlineStr">
        <is>
          <t>eToro</t>
        </is>
      </c>
      <c r="C40" s="323">
        <f>COUNTIF(AVRdomiciliation,$B40)</f>
        <v/>
      </c>
      <c r="D40" s="324">
        <f>SUMIF(AVRdomiciliation,$B40,AVRmontant_solde_euro)</f>
        <v/>
      </c>
      <c r="E40" s="325">
        <f>D40/D$41</f>
        <v/>
      </c>
      <c r="G40" s="321" t="n"/>
    </row>
    <row r="41" ht="16.5" customHeight="1" s="304">
      <c r="B41" s="326" t="inlineStr">
        <is>
          <t>TOTAL</t>
        </is>
      </c>
      <c r="C41" s="323">
        <f>SUM(C26:C40)</f>
        <v/>
      </c>
      <c r="D41" s="327">
        <f>ROUND(SUM(D26:D40),2)</f>
        <v/>
      </c>
    </row>
    <row r="42" ht="16.5" customHeight="1" s="304">
      <c r="B42" s="319" t="inlineStr">
        <is>
          <t>par titulaire</t>
        </is>
      </c>
      <c r="C42" s="328" t="n"/>
      <c r="D42" s="329" t="n"/>
      <c r="E42" s="317" t="n"/>
    </row>
    <row r="43" ht="16.5" customHeight="1" s="304">
      <c r="B43" s="322" t="n"/>
      <c r="C43" s="323" t="n"/>
      <c r="D43" s="333" t="n"/>
      <c r="E43" s="325">
        <f>D43/D$47</f>
        <v/>
      </c>
    </row>
    <row r="44" ht="16.5" customHeight="1" s="304">
      <c r="B44" s="322" t="inlineStr">
        <is>
          <t>Alice</t>
        </is>
      </c>
      <c r="C44" s="323">
        <f>COUNTIF(AVRtitulaire,$B44)</f>
        <v/>
      </c>
      <c r="D44" s="333">
        <f>SUMIF(AVRtitulaire,$B44,AVRmontant_solde_euro)</f>
        <v/>
      </c>
      <c r="E44" s="325">
        <f>D44/D$47</f>
        <v/>
      </c>
    </row>
    <row r="45" ht="16.5" customHeight="1" s="304">
      <c r="B45" s="322" t="inlineStr">
        <is>
          <t>Barnabé</t>
        </is>
      </c>
      <c r="C45" s="323">
        <f>COUNTIF(AVRtitulaire,$B45)</f>
        <v/>
      </c>
      <c r="D45" s="333">
        <f>SUMIF(AVRtitulaire,$B45,AVRmontant_solde_euro)</f>
        <v/>
      </c>
      <c r="E45" s="325">
        <f>D45/D$47</f>
        <v/>
      </c>
    </row>
    <row r="46" ht="16.5" customHeight="1" s="304">
      <c r="B46" s="322" t="inlineStr">
        <is>
          <t>Commun</t>
        </is>
      </c>
      <c r="C46" s="323">
        <f>COUNTIF(AVRtitulaire,$B46)</f>
        <v/>
      </c>
      <c r="D46" s="333">
        <f>SUMIF(AVRtitulaire,$B46,AVRmontant_solde_euro)</f>
        <v/>
      </c>
      <c r="E46" s="325">
        <f>D46/D$47</f>
        <v/>
      </c>
    </row>
    <row r="47" ht="16.5" customHeight="1" s="304">
      <c r="B47" s="326" t="inlineStr">
        <is>
          <t>TOTAL</t>
        </is>
      </c>
      <c r="C47" s="323">
        <f>SUM(C43:C46)</f>
        <v/>
      </c>
      <c r="D47" s="327">
        <f>ROUND(SUM(D43:D46),2)</f>
        <v/>
      </c>
    </row>
    <row r="48" ht="13.5" customHeight="1" s="304">
      <c r="B48" s="319" t="inlineStr">
        <is>
          <t>en propriété directe</t>
        </is>
      </c>
      <c r="C48" s="328" t="n"/>
      <c r="D48" s="329" t="n"/>
      <c r="E48" s="317" t="n"/>
    </row>
    <row r="49" ht="13.5" customHeight="1" s="304">
      <c r="B49" s="322" t="inlineStr">
        <is>
          <t>oui</t>
        </is>
      </c>
      <c r="C49" s="323">
        <f>COUNTIF(AVRpropriete,$B49)</f>
        <v/>
      </c>
      <c r="D49" s="324">
        <f>SUMIF(AVRpropriete,B49,AVRmontant_solde_euro)</f>
        <v/>
      </c>
      <c r="E49" s="325">
        <f>D49/D$51</f>
        <v/>
      </c>
      <c r="G49" s="321" t="n"/>
    </row>
    <row r="50" ht="13.5" customHeight="1" s="304">
      <c r="B50" s="322" t="inlineStr">
        <is>
          <t>non</t>
        </is>
      </c>
      <c r="C50" s="323">
        <f>COUNTIF(AVRpropriete,$B50)</f>
        <v/>
      </c>
      <c r="D50" s="324">
        <f>SUMIF(AVRpropriete,B50,AVRmontant_solde_euro)</f>
        <v/>
      </c>
      <c r="E50" s="325">
        <f>D50/D$51</f>
        <v/>
      </c>
      <c r="G50" s="321" t="inlineStr">
        <is>
          <t>Banques ou tiers de confiance</t>
        </is>
      </c>
    </row>
    <row r="51" ht="13.5" customHeight="1" s="304">
      <c r="B51" s="326" t="inlineStr">
        <is>
          <t>TOTAL</t>
        </is>
      </c>
      <c r="C51" s="323">
        <f>SUM(C49:C50)</f>
        <v/>
      </c>
      <c r="D51" s="327">
        <f>ROUND(SUM(D49:D50),2)</f>
        <v/>
      </c>
    </row>
    <row r="55" ht="15.75" customHeight="1" s="304">
      <c r="J55" s="334" t="n"/>
      <c r="K55" s="335" t="inlineStr">
        <is>
          <t>Conventions d’affichage pour tous les onglets</t>
        </is>
      </c>
      <c r="L55" s="336" t="n"/>
      <c r="M55" s="337" t="n"/>
    </row>
    <row r="56" ht="15.75" customHeight="1" s="304">
      <c r="J56" s="334" t="n"/>
      <c r="K56" s="334" t="n"/>
      <c r="L56" s="334" t="n"/>
      <c r="M56" s="337" t="n"/>
    </row>
    <row r="57" ht="15.75" customHeight="1" s="304">
      <c r="J57" s="334" t="n"/>
      <c r="K57" s="338" t="n">
        <v>22.01</v>
      </c>
      <c r="L57" s="339" t="n"/>
      <c r="M57" s="340" t="inlineStr">
        <is>
          <t>Les valeurs à saisir (resaisir) sont en bleu …</t>
        </is>
      </c>
    </row>
    <row r="58" ht="15.75" customHeight="1" s="304">
      <c r="J58" s="334" t="n"/>
      <c r="K58" s="341" t="n">
        <v>22.01</v>
      </c>
      <c r="L58" s="342" t="n"/>
      <c r="M58" s="336" t="inlineStr">
        <is>
          <t>… les autres sont en noir, comme les résultats de calcul</t>
        </is>
      </c>
    </row>
    <row r="59" ht="15.75" customHeight="1" s="304">
      <c r="J59" s="334" t="n"/>
      <c r="K59" s="343" t="n">
        <v>22.01</v>
      </c>
      <c r="L59" s="342" t="n"/>
      <c r="M59" s="340" t="inlineStr">
        <is>
          <t xml:space="preserve">Les cellules objet de contrôles sont encadrées … </t>
        </is>
      </c>
    </row>
    <row r="60" ht="15.75" customHeight="1" s="304">
      <c r="J60" s="334" t="n"/>
      <c r="K60" s="344" t="n">
        <v>22.01</v>
      </c>
      <c r="L60" s="342" t="n"/>
      <c r="M60" s="340" t="inlineStr">
        <is>
          <t>… et changent de couleur en cas d’erreur</t>
        </is>
      </c>
    </row>
    <row r="61" ht="15.75" customHeight="1" s="304">
      <c r="J61" s="334" t="n"/>
      <c r="K61" s="345" t="n">
        <v>22.01</v>
      </c>
      <c r="L61" s="342" t="n"/>
      <c r="M61" s="340" t="inlineStr">
        <is>
          <t>Les devises étrangères ont un fond gris</t>
        </is>
      </c>
    </row>
    <row r="62" ht="15.75" customHeight="1" s="304">
      <c r="J62" s="334" t="n"/>
      <c r="K62" s="346" t="n">
        <v>22.01</v>
      </c>
      <c r="L62" s="342" t="n"/>
      <c r="M62" s="340" t="inlineStr">
        <is>
          <t>Fond jaune – signalement</t>
        </is>
      </c>
    </row>
    <row r="1048566" ht="12.8" customHeight="1" s="304"/>
    <row r="1048567" ht="12.8" customHeight="1" s="304"/>
    <row r="1048568" ht="12.8" customHeight="1" s="304"/>
    <row r="1048569" ht="12.8" customHeight="1" s="304"/>
    <row r="1048570" ht="12.8" customHeight="1" s="304"/>
    <row r="1048571" ht="12.8" customHeight="1" s="304"/>
    <row r="1048572" ht="12.8" customHeight="1" s="304"/>
    <row r="1048573" ht="12.8" customHeight="1" s="304"/>
    <row r="1048574" ht="12.8" customHeight="1" s="304"/>
    <row r="1048575" ht="12.8" customHeight="1" s="304"/>
    <row r="1048576" ht="12.8" customHeight="1" s="304"/>
  </sheetData>
  <conditionalFormatting sqref="D24">
    <cfRule type="cellIs" rank="0" priority="2" equalAverage="0" operator="notEqual" aboveAverage="0" dxfId="0" text="" percent="0" bottom="0">
      <formula>Avoirs!$L$32</formula>
    </cfRule>
  </conditionalFormatting>
  <conditionalFormatting sqref="D13">
    <cfRule type="cellIs" rank="0" priority="3" equalAverage="0" operator="notEqual" aboveAverage="0" dxfId="0" text="" percent="0" bottom="0">
      <formula>Avoirs!L2</formula>
    </cfRule>
  </conditionalFormatting>
  <conditionalFormatting sqref="D41">
    <cfRule type="cellIs" rank="0" priority="4" equalAverage="0" operator="notEqual" aboveAverage="0" dxfId="0" text="" percent="0" bottom="0">
      <formula>Avoirs!L2</formula>
    </cfRule>
  </conditionalFormatting>
  <conditionalFormatting sqref="D47">
    <cfRule type="cellIs" rank="0" priority="5" equalAverage="0" operator="notEqual" aboveAverage="0" dxfId="0" text="" percent="0" bottom="0">
      <formula>Avoirs!L2</formula>
    </cfRule>
  </conditionalFormatting>
  <conditionalFormatting sqref="D51">
    <cfRule type="cellIs" rank="0" priority="6" equalAverage="0" operator="notEqual" aboveAverage="0" dxfId="0" text="" percent="0" bottom="0">
      <formula>Avoirs!L2</formula>
    </cfRule>
  </conditionalFormatting>
  <conditionalFormatting sqref="B2">
    <cfRule type="expression" rank="0" priority="7" equalAverage="0" aboveAverage="0" dxfId="1" text="" percent="0" bottom="0">
      <formula>NOT(ISERROR(FIND("✗",INDIRECT("RC",0))))</formula>
    </cfRule>
    <cfRule type="expression" rank="0" priority="8" equalAverage="0" aboveAverage="0" dxfId="2" text="" percent="0" bottom="0">
      <formula>NOT(ISERROR(FIND("⚠",INDIRECT("RC",0))))</formula>
    </cfRule>
  </conditionalFormatting>
  <printOptions horizontalCentered="1" verticalCentered="0" headings="0" gridLines="0" gridLinesSet="1"/>
  <pageMargins left="0.7875" right="0.7875" top="0.7875" bottom="1.025" header="0.511811023622047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&amp;C&amp;K000000Page &amp;Kffffff&amp;P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S67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9.66796875" defaultRowHeight="13.5" customHeight="1" zeroHeight="0" outlineLevelRow="0"/>
  <cols>
    <col width="27.16" customWidth="1" style="347" min="1" max="1"/>
    <col width="20.83" customWidth="1" style="347" min="2" max="2"/>
    <col width="17.52" customWidth="1" style="347" min="3" max="3"/>
    <col width="15.13" customWidth="1" style="348" min="4" max="4"/>
    <col width="9.52" customWidth="1" style="348" min="5" max="5"/>
    <col width="10.66" customWidth="1" style="348" min="6" max="6"/>
    <col width="10.16" customWidth="1" style="348" min="7" max="7"/>
    <col width="7" customWidth="1" style="348" min="8" max="8"/>
    <col width="14.16" customWidth="1" style="347" min="9" max="9"/>
    <col width="12.15" customWidth="1" style="348" min="10" max="10"/>
    <col width="15.85" customWidth="1" style="348" min="11" max="11"/>
    <col width="16.16" customWidth="1" style="347" min="12" max="12"/>
    <col width="27.5" customWidth="1" style="347" min="13" max="13"/>
    <col width="15" customWidth="1" style="347" min="14" max="14"/>
    <col width="22" customWidth="1" style="347" min="15" max="15"/>
    <col width="17.16" customWidth="1" style="347" min="16" max="16"/>
    <col width="7" customWidth="1" style="347" min="17" max="17"/>
    <col width="9.67" customWidth="1" style="347" min="18" max="16383"/>
  </cols>
  <sheetData>
    <row r="1" ht="16.5" customHeight="1" s="304">
      <c r="A1" s="349" t="n">
        <v>2026</v>
      </c>
      <c r="B1" s="350" t="inlineStr">
        <is>
          <t>Inventaire des avoirs bancaires, créances, espèces, valeurs précieuses, mobiliers, fonciers.</t>
        </is>
      </c>
      <c r="C1" s="351" t="n"/>
      <c r="D1" s="352" t="n"/>
      <c r="E1" s="352" t="n"/>
      <c r="F1" s="352" t="n"/>
      <c r="G1" s="352" t="n"/>
      <c r="H1" s="352" t="n"/>
      <c r="I1" s="317" t="n"/>
      <c r="J1" s="315" t="n"/>
      <c r="K1" s="315" t="n"/>
      <c r="L1" s="353" t="n">
        <v>142580.98</v>
      </c>
      <c r="M1" s="347" t="inlineStr">
        <is>
          <t>donnée</t>
        </is>
      </c>
    </row>
    <row r="2" ht="16.5" customHeight="1" s="304">
      <c r="A2" s="354">
        <f>Contrôles!N$48</f>
        <v/>
      </c>
      <c r="B2" s="355" t="n"/>
      <c r="C2" s="308" t="n"/>
      <c r="D2" s="315" t="n"/>
      <c r="E2" s="315" t="n"/>
      <c r="F2" s="356" t="n"/>
      <c r="G2" s="356" t="n"/>
      <c r="H2" s="357" t="n"/>
      <c r="I2" s="357" t="inlineStr">
        <is>
          <t>Antériorité</t>
        </is>
      </c>
      <c r="J2" s="357" t="inlineStr">
        <is>
          <t>Antériorité</t>
        </is>
      </c>
      <c r="K2" s="357" t="inlineStr">
        <is>
          <t>Solde courant</t>
        </is>
      </c>
      <c r="L2" s="358">
        <f>L32</f>
        <v/>
      </c>
      <c r="M2" s="347" t="inlineStr">
        <is>
          <t>formule</t>
        </is>
      </c>
    </row>
    <row r="3" ht="20.65" customHeight="1" s="304">
      <c r="A3" s="359" t="inlineStr">
        <is>
          <t>Intitulé</t>
        </is>
      </c>
      <c r="B3" s="360" t="inlineStr">
        <is>
          <t>Type</t>
        </is>
      </c>
      <c r="C3" s="360" t="inlineStr">
        <is>
          <t>Domiciliation</t>
        </is>
      </c>
      <c r="D3" s="357" t="inlineStr">
        <is>
          <t>Sous-type</t>
        </is>
      </c>
      <c r="E3" s="361" t="inlineStr">
        <is>
          <t>Devise</t>
        </is>
      </c>
      <c r="F3" s="357" t="inlineStr">
        <is>
          <t>Titulaire</t>
        </is>
      </c>
      <c r="G3" s="357" t="inlineStr">
        <is>
          <t>Propriété</t>
        </is>
      </c>
      <c r="H3" s="357" t="inlineStr">
        <is>
          <t>Date</t>
        </is>
      </c>
      <c r="I3" s="357" t="inlineStr">
        <is>
          <t>Montant</t>
        </is>
      </c>
      <c r="J3" s="357" t="inlineStr">
        <is>
          <t>Date</t>
        </is>
      </c>
      <c r="K3" s="357" t="inlineStr">
        <is>
          <t>Montant devise</t>
        </is>
      </c>
      <c r="L3" s="357" t="inlineStr">
        <is>
          <t>Montant €</t>
        </is>
      </c>
    </row>
    <row r="4" ht="16.5" customHeight="1" s="304">
      <c r="A4" s="362" t="n"/>
      <c r="B4" s="363" t="n"/>
      <c r="C4" s="364" t="n"/>
      <c r="D4" s="365" t="n"/>
      <c r="E4" s="365" t="n"/>
      <c r="F4" s="366" t="n"/>
      <c r="G4" s="366" t="n"/>
      <c r="H4" s="366" t="n"/>
      <c r="I4" s="366" t="n"/>
      <c r="J4" s="366" t="n"/>
      <c r="K4" s="366" t="n"/>
      <c r="L4" s="366" t="n"/>
    </row>
    <row r="5" ht="16.5" customHeight="1" s="304">
      <c r="A5" s="362" t="inlineStr">
        <is>
          <t>Assurance vie Alice</t>
        </is>
      </c>
      <c r="B5" s="363" t="inlineStr">
        <is>
          <t>Portefeuilles</t>
        </is>
      </c>
      <c r="C5" s="364" t="inlineStr">
        <is>
          <t>Société Générale</t>
        </is>
      </c>
      <c r="D5" s="365" t="inlineStr">
        <is>
          <t>Titres</t>
        </is>
      </c>
      <c r="E5" s="365" t="inlineStr">
        <is>
          <t>EUR</t>
        </is>
      </c>
      <c r="F5" s="366" t="inlineStr">
        <is>
          <t>Alice</t>
        </is>
      </c>
      <c r="G5" s="366" t="inlineStr">
        <is>
          <t>non</t>
        </is>
      </c>
      <c r="H5" s="367" t="n">
        <v>40664</v>
      </c>
      <c r="I5" s="368" t="n">
        <v>210000</v>
      </c>
      <c r="J5" s="369">
        <f>SUMIFS(PVLdate,PVLcompte,$A5,PVLtitre,Retenu)</f>
        <v/>
      </c>
      <c r="K5" s="368">
        <f>SUMIFS(PVLmontant,PVLcompte,$A5,PVLtitre,Retenu)</f>
        <v/>
      </c>
      <c r="L5" s="368">
        <f>K5</f>
        <v/>
      </c>
    </row>
    <row r="6" ht="16.5" customHeight="1" s="304">
      <c r="A6" s="362" t="inlineStr">
        <is>
          <t>PEE Alice</t>
        </is>
      </c>
      <c r="B6" s="363" t="inlineStr">
        <is>
          <t>Portefeuilles</t>
        </is>
      </c>
      <c r="C6" s="364" t="inlineStr">
        <is>
          <t>Natixis</t>
        </is>
      </c>
      <c r="D6" s="365" t="inlineStr">
        <is>
          <t>Titres</t>
        </is>
      </c>
      <c r="E6" s="365" t="inlineStr">
        <is>
          <t>EUR</t>
        </is>
      </c>
      <c r="F6" s="366" t="inlineStr">
        <is>
          <t>Alice</t>
        </is>
      </c>
      <c r="G6" s="366" t="inlineStr">
        <is>
          <t>non</t>
        </is>
      </c>
      <c r="H6" s="366" t="n"/>
      <c r="I6" s="366" t="n"/>
      <c r="J6" s="369">
        <f>SUMIFS(PVLdate,PVLcompte,$A6,PVLtitre,Retenu)</f>
        <v/>
      </c>
      <c r="K6" s="368">
        <f>SUMIFS(PVLmontant,PVLcompte,$A6,PVLtitre,Retenu)</f>
        <v/>
      </c>
      <c r="L6" s="368">
        <f>K6</f>
        <v/>
      </c>
    </row>
    <row r="7" ht="16.5" customHeight="1" s="304">
      <c r="A7" s="362" t="inlineStr">
        <is>
          <t>Portefeuille BB Titres</t>
        </is>
      </c>
      <c r="B7" s="363" t="inlineStr">
        <is>
          <t>Portefeuilles</t>
        </is>
      </c>
      <c r="C7" s="364" t="inlineStr">
        <is>
          <t>BoursoBank</t>
        </is>
      </c>
      <c r="D7" s="365" t="inlineStr">
        <is>
          <t>Titres</t>
        </is>
      </c>
      <c r="E7" s="365" t="inlineStr">
        <is>
          <t>EUR</t>
        </is>
      </c>
      <c r="F7" s="366" t="inlineStr">
        <is>
          <t>Barnabé</t>
        </is>
      </c>
      <c r="G7" s="366" t="inlineStr">
        <is>
          <t>non</t>
        </is>
      </c>
      <c r="H7" s="367" t="n">
        <v>45485</v>
      </c>
      <c r="I7" s="366" t="n"/>
      <c r="J7" s="369">
        <f>SUMIFS(PVLdate,PVLcompte,$A7,PVLtitre,Retenu)</f>
        <v/>
      </c>
      <c r="K7" s="368">
        <f>SUMIFS(PVLmontant,PVLcompte,$A7,PVLtitre,Retenu)</f>
        <v/>
      </c>
      <c r="L7" s="368">
        <f>K7</f>
        <v/>
      </c>
    </row>
    <row r="8" ht="16.5" customHeight="1" s="304">
      <c r="A8" s="362" t="inlineStr">
        <is>
          <t>Portefeuille DEGIRO Titres</t>
        </is>
      </c>
      <c r="B8" s="363" t="inlineStr">
        <is>
          <t>Portefeuilles</t>
        </is>
      </c>
      <c r="C8" s="364" t="inlineStr">
        <is>
          <t>DEGIRO</t>
        </is>
      </c>
      <c r="D8" s="365" t="inlineStr">
        <is>
          <t>Titres</t>
        </is>
      </c>
      <c r="E8" s="365" t="inlineStr">
        <is>
          <t>EUR</t>
        </is>
      </c>
      <c r="F8" s="366" t="inlineStr">
        <is>
          <t>Barnabé</t>
        </is>
      </c>
      <c r="G8" s="366" t="inlineStr">
        <is>
          <t>non</t>
        </is>
      </c>
      <c r="H8" s="367" t="n">
        <v>45617</v>
      </c>
      <c r="I8" s="366" t="n"/>
      <c r="J8" s="369">
        <f>SUMIFS(PVLdate,PVLcompte,$A8,PVLtitre,Retenu)</f>
        <v/>
      </c>
      <c r="K8" s="368">
        <f>SUMIFS(PVLmontant,PVLcompte,$A8,PVLtitre,Retenu)</f>
        <v/>
      </c>
      <c r="L8" s="368">
        <f>K8</f>
        <v/>
      </c>
    </row>
    <row r="9" ht="16.5" customHeight="1" s="304">
      <c r="A9" s="362" t="inlineStr">
        <is>
          <t>Portefeuille eToro USD Titres</t>
        </is>
      </c>
      <c r="B9" s="363" t="inlineStr">
        <is>
          <t>Portefeuilles</t>
        </is>
      </c>
      <c r="C9" s="364" t="inlineStr">
        <is>
          <t>eToro</t>
        </is>
      </c>
      <c r="D9" s="365" t="inlineStr">
        <is>
          <t>Titres</t>
        </is>
      </c>
      <c r="E9" s="370" t="inlineStr">
        <is>
          <t>USD</t>
        </is>
      </c>
      <c r="F9" s="366" t="inlineStr">
        <is>
          <t>Barnabé</t>
        </is>
      </c>
      <c r="G9" s="366" t="inlineStr">
        <is>
          <t>non</t>
        </is>
      </c>
      <c r="H9" s="367" t="n">
        <v>45622</v>
      </c>
      <c r="I9" s="366" t="n"/>
      <c r="J9" s="369">
        <f>SUMIFS(PVLdate,PVLcompte,$A9,PVLtitre,Retenu)</f>
        <v/>
      </c>
      <c r="K9" s="371">
        <f>SUMIFS(PVLmontant,PVLcompte,$A9,PVLtitre,Retenu)</f>
        <v/>
      </c>
      <c r="L9" s="368">
        <f>K9*cours_USD</f>
        <v/>
      </c>
    </row>
    <row r="10" ht="16.5" customHeight="1" s="304">
      <c r="A10" s="362" t="inlineStr">
        <is>
          <t>Compte Amazon</t>
        </is>
      </c>
      <c r="B10" s="363" t="inlineStr">
        <is>
          <t>Euros</t>
        </is>
      </c>
      <c r="C10" s="364" t="inlineStr">
        <is>
          <t>Amazon</t>
        </is>
      </c>
      <c r="D10" s="365" t="inlineStr">
        <is>
          <t>Euro</t>
        </is>
      </c>
      <c r="E10" s="365" t="inlineStr">
        <is>
          <t>EUR</t>
        </is>
      </c>
      <c r="F10" s="366" t="inlineStr">
        <is>
          <t>Barnabé</t>
        </is>
      </c>
      <c r="G10" s="366" t="inlineStr">
        <is>
          <t>non</t>
        </is>
      </c>
      <c r="H10" s="366" t="n"/>
      <c r="I10" s="366" t="n"/>
      <c r="J10" s="369">
        <f>_xlfn.MAXIFS(OPdate,OPcompte,$A10,OPdevise,$E10,OPcatégorie,Solde)</f>
        <v/>
      </c>
      <c r="K10" s="368">
        <f>SUMIFS(OPmontant,OPcompte,$A10,OPdevise,$E10,OPcatégorie,Solde,OPdate,$J10)</f>
        <v/>
      </c>
      <c r="L10" s="368">
        <f>K10</f>
        <v/>
      </c>
    </row>
    <row r="11" ht="16.5" customHeight="1" s="304">
      <c r="A11" s="362" t="inlineStr">
        <is>
          <t>Compte chèque BB</t>
        </is>
      </c>
      <c r="B11" s="363" t="inlineStr">
        <is>
          <t>Euros</t>
        </is>
      </c>
      <c r="C11" s="364" t="inlineStr">
        <is>
          <t>BoursoBank</t>
        </is>
      </c>
      <c r="D11" s="365" t="inlineStr">
        <is>
          <t>Euro</t>
        </is>
      </c>
      <c r="E11" s="365" t="inlineStr">
        <is>
          <t>EUR</t>
        </is>
      </c>
      <c r="F11" s="366" t="inlineStr">
        <is>
          <t>Barnabé</t>
        </is>
      </c>
      <c r="G11" s="366" t="inlineStr">
        <is>
          <t>non</t>
        </is>
      </c>
      <c r="H11" s="367" t="n">
        <v>45292</v>
      </c>
      <c r="I11" s="366" t="n"/>
      <c r="J11" s="369">
        <f>_xlfn.MAXIFS(OPdate,OPcompte,$A11,OPdevise,$E11,OPcatégorie,Solde)</f>
        <v/>
      </c>
      <c r="K11" s="368">
        <f>SUMIFS(OPmontant,OPcompte,$A11,OPdevise,$E11,OPcatégorie,Solde,OPdate,$J11)</f>
        <v/>
      </c>
      <c r="L11" s="368">
        <f>K11</f>
        <v/>
      </c>
    </row>
    <row r="12" ht="16.5" customHeight="1" s="304">
      <c r="A12" s="362" t="inlineStr">
        <is>
          <t>Compte chèque commun</t>
        </is>
      </c>
      <c r="B12" s="363" t="inlineStr">
        <is>
          <t>Euros</t>
        </is>
      </c>
      <c r="C12" s="364" t="inlineStr">
        <is>
          <t>Société Générale</t>
        </is>
      </c>
      <c r="D12" s="365" t="inlineStr">
        <is>
          <t>Euro</t>
        </is>
      </c>
      <c r="E12" s="365" t="inlineStr">
        <is>
          <t>EUR</t>
        </is>
      </c>
      <c r="F12" s="366" t="inlineStr">
        <is>
          <t>Commun</t>
        </is>
      </c>
      <c r="G12" s="366" t="inlineStr">
        <is>
          <t>non</t>
        </is>
      </c>
      <c r="H12" s="367" t="n">
        <v>28126</v>
      </c>
      <c r="I12" s="366" t="n"/>
      <c r="J12" s="369">
        <f>_xlfn.MAXIFS(OPdate,OPcompte,$A12,OPdevise,$E12,OPcatégorie,Solde)</f>
        <v/>
      </c>
      <c r="K12" s="368">
        <f>SUMIFS(OPmontant,OPcompte,$A12,OPdevise,$E12,OPcatégorie,Solde,OPdate,$J12)</f>
        <v/>
      </c>
      <c r="L12" s="368">
        <f>K12</f>
        <v/>
      </c>
    </row>
    <row r="13" ht="16.5" customHeight="1" s="304">
      <c r="A13" s="362" t="inlineStr">
        <is>
          <t>Espèces</t>
        </is>
      </c>
      <c r="B13" s="363" t="inlineStr">
        <is>
          <t>Euros</t>
        </is>
      </c>
      <c r="C13" s="364" t="inlineStr">
        <is>
          <t>Maison</t>
        </is>
      </c>
      <c r="D13" s="365" t="inlineStr">
        <is>
          <t>Euro</t>
        </is>
      </c>
      <c r="E13" s="365" t="inlineStr">
        <is>
          <t>EUR</t>
        </is>
      </c>
      <c r="F13" s="366" t="inlineStr">
        <is>
          <t>Commun</t>
        </is>
      </c>
      <c r="G13" s="366" t="inlineStr">
        <is>
          <t>oui</t>
        </is>
      </c>
      <c r="H13" s="366" t="n"/>
      <c r="I13" s="366" t="n"/>
      <c r="J13" s="369">
        <f>_xlfn.MAXIFS(OPdate,OPcompte,$A13,OPdevise,$E13,OPcatégorie,Solde)</f>
        <v/>
      </c>
      <c r="K13" s="368">
        <f>SUMIFS(OPmontant,OPcompte,$A13,OPdevise,$E13,OPcatégorie,Solde,OPdate,$J13)</f>
        <v/>
      </c>
      <c r="L13" s="368">
        <f>K13</f>
        <v/>
      </c>
    </row>
    <row r="14" ht="16.5" customHeight="1" s="304">
      <c r="A14" s="362" t="inlineStr">
        <is>
          <t>Livret A Barnabé</t>
        </is>
      </c>
      <c r="B14" s="363" t="inlineStr">
        <is>
          <t>Euros</t>
        </is>
      </c>
      <c r="C14" s="364" t="inlineStr">
        <is>
          <t>Société Générale</t>
        </is>
      </c>
      <c r="D14" s="365" t="inlineStr">
        <is>
          <t>Euro</t>
        </is>
      </c>
      <c r="E14" s="365" t="inlineStr">
        <is>
          <t>EUR</t>
        </is>
      </c>
      <c r="F14" s="366" t="inlineStr">
        <is>
          <t>Barnabé</t>
        </is>
      </c>
      <c r="G14" s="366" t="inlineStr">
        <is>
          <t>non</t>
        </is>
      </c>
      <c r="H14" s="366" t="n"/>
      <c r="I14" s="366" t="n"/>
      <c r="J14" s="369">
        <f>_xlfn.MAXIFS(OPdate,OPcompte,$A14,OPdevise,$E14,OPcatégorie,Solde)</f>
        <v/>
      </c>
      <c r="K14" s="368">
        <f>SUMIFS(OPmontant,OPcompte,$A14,OPdevise,$E14,OPcatégorie,Solde,OPdate,$J14)</f>
        <v/>
      </c>
      <c r="L14" s="368">
        <f>K14</f>
        <v/>
      </c>
    </row>
    <row r="15" ht="16.5" customHeight="1" s="304">
      <c r="A15" s="362" t="inlineStr">
        <is>
          <t>Compte Paypal</t>
        </is>
      </c>
      <c r="B15" s="363" t="inlineStr">
        <is>
          <t>Euros</t>
        </is>
      </c>
      <c r="C15" s="364" t="inlineStr">
        <is>
          <t>Paypal</t>
        </is>
      </c>
      <c r="D15" s="365" t="inlineStr">
        <is>
          <t>Euro</t>
        </is>
      </c>
      <c r="E15" s="365" t="inlineStr">
        <is>
          <t>EUR</t>
        </is>
      </c>
      <c r="F15" s="366" t="inlineStr">
        <is>
          <t>Barnabé</t>
        </is>
      </c>
      <c r="G15" s="366" t="inlineStr">
        <is>
          <t>non</t>
        </is>
      </c>
      <c r="H15" s="366" t="n"/>
      <c r="I15" s="366" t="n"/>
      <c r="J15" s="369">
        <f>_xlfn.MAXIFS(OPdate,OPcompte,$A15,OPdevise,$E15,OPcatégorie,Solde)</f>
        <v/>
      </c>
      <c r="K15" s="368">
        <f>SUMIFS(OPmontant,OPcompte,$A15,OPdevise,$E15,OPcatégorie,Solde,OPdate,$J15)</f>
        <v/>
      </c>
      <c r="L15" s="368">
        <f>K15</f>
        <v/>
      </c>
    </row>
    <row r="16" ht="16.5" customHeight="1" s="304">
      <c r="A16" s="362" t="inlineStr">
        <is>
          <t>Compte Wise EUR</t>
        </is>
      </c>
      <c r="B16" s="363" t="inlineStr">
        <is>
          <t>Euros</t>
        </is>
      </c>
      <c r="C16" s="364" t="inlineStr">
        <is>
          <t>Wise</t>
        </is>
      </c>
      <c r="D16" s="365" t="inlineStr">
        <is>
          <t>Euro</t>
        </is>
      </c>
      <c r="E16" s="365" t="inlineStr">
        <is>
          <t>EUR</t>
        </is>
      </c>
      <c r="F16" s="366" t="inlineStr">
        <is>
          <t>Barnabé</t>
        </is>
      </c>
      <c r="G16" s="366" t="inlineStr">
        <is>
          <t>non</t>
        </is>
      </c>
      <c r="H16" s="367" t="n">
        <v>45627</v>
      </c>
      <c r="I16" s="366" t="n"/>
      <c r="J16" s="369">
        <f>_xlfn.MAXIFS(OPdate,OPcompte,$A16,OPdevise,$E16,OPcatégorie,Solde)</f>
        <v/>
      </c>
      <c r="K16" s="368">
        <f>SUMIFS(OPmontant,OPcompte,$A16,OPdevise,$E16,OPcatégorie,Solde,OPdate,$J16)</f>
        <v/>
      </c>
      <c r="L16" s="368">
        <f>K16</f>
        <v/>
      </c>
    </row>
    <row r="17" ht="16.5" customHeight="1" s="304">
      <c r="A17" s="362" t="inlineStr">
        <is>
          <t>Portefeuille DEGIRO Réserve</t>
        </is>
      </c>
      <c r="B17" s="363" t="inlineStr">
        <is>
          <t>Euros</t>
        </is>
      </c>
      <c r="C17" s="364" t="inlineStr">
        <is>
          <t>DEGIRO</t>
        </is>
      </c>
      <c r="D17" s="365" t="inlineStr">
        <is>
          <t>Euro</t>
        </is>
      </c>
      <c r="E17" s="365" t="inlineStr">
        <is>
          <t>EUR</t>
        </is>
      </c>
      <c r="F17" s="366" t="inlineStr">
        <is>
          <t>Barnabé</t>
        </is>
      </c>
      <c r="G17" s="366" t="inlineStr">
        <is>
          <t>non</t>
        </is>
      </c>
      <c r="H17" s="366" t="n"/>
      <c r="I17" s="366" t="n"/>
      <c r="J17" s="369">
        <f>_xlfn.MAXIFS(OPdate,OPcompte,$A17,OPdevise,$E17,OPcatégorie,Solde)</f>
        <v/>
      </c>
      <c r="K17" s="368">
        <f>SUMIFS(OPmontant,OPcompte,$A17,OPdevise,$E17,OPcatégorie,Solde,OPdate,$J17)</f>
        <v/>
      </c>
      <c r="L17" s="368">
        <f>K17</f>
        <v/>
      </c>
    </row>
    <row r="18" ht="16.5" customHeight="1" s="304">
      <c r="A18" s="362" t="inlineStr">
        <is>
          <t>Portefeuille BB Réserve</t>
        </is>
      </c>
      <c r="B18" s="363" t="inlineStr">
        <is>
          <t>Euros</t>
        </is>
      </c>
      <c r="C18" s="364" t="inlineStr">
        <is>
          <t>BoursoBank</t>
        </is>
      </c>
      <c r="D18" s="365" t="inlineStr">
        <is>
          <t>Euro</t>
        </is>
      </c>
      <c r="E18" s="365" t="inlineStr">
        <is>
          <t>EUR</t>
        </is>
      </c>
      <c r="F18" s="366" t="inlineStr">
        <is>
          <t>Barnabé</t>
        </is>
      </c>
      <c r="G18" s="366" t="inlineStr">
        <is>
          <t>non</t>
        </is>
      </c>
      <c r="H18" s="366" t="n"/>
      <c r="I18" s="366" t="n"/>
      <c r="J18" s="369">
        <f>_xlfn.MAXIFS(OPdate,OPcompte,$A18,OPdevise,$E18,OPcatégorie,Solde)</f>
        <v/>
      </c>
      <c r="K18" s="368">
        <f>SUMIFS(OPmontant,OPcompte,$A18,OPdevise,$E18,OPcatégorie,Solde,OPdate,$J18)</f>
        <v/>
      </c>
      <c r="L18" s="368">
        <f>K18</f>
        <v/>
      </c>
    </row>
    <row r="19" ht="16.5" customHeight="1" s="304">
      <c r="A19" s="362" t="inlineStr">
        <is>
          <t>Compte Wise USD</t>
        </is>
      </c>
      <c r="B19" s="363" t="inlineStr">
        <is>
          <t>Devises étrangères</t>
        </is>
      </c>
      <c r="C19" s="364" t="inlineStr">
        <is>
          <t>Wise</t>
        </is>
      </c>
      <c r="D19" s="365" t="inlineStr">
        <is>
          <t>Dollar US</t>
        </is>
      </c>
      <c r="E19" s="370" t="inlineStr">
        <is>
          <t>USD</t>
        </is>
      </c>
      <c r="F19" s="366" t="inlineStr">
        <is>
          <t>Barnabé</t>
        </is>
      </c>
      <c r="G19" s="366" t="inlineStr">
        <is>
          <t>non</t>
        </is>
      </c>
      <c r="H19" s="367" t="n">
        <v>45653</v>
      </c>
      <c r="I19" s="366" t="n"/>
      <c r="J19" s="369">
        <f>_xlfn.MAXIFS(OPdate,OPcompte,$A19,OPdevise,$E19,OPcatégorie,Solde)</f>
        <v/>
      </c>
      <c r="K19" s="371">
        <f>SUMIFS(OPmontant,OPcompte,$A19,OPdevise,$E19,OPcatégorie,Solde,OPdate,$J19)</f>
        <v/>
      </c>
      <c r="L19" s="368">
        <f>K19*cours_USD</f>
        <v/>
      </c>
    </row>
    <row r="20" ht="16.5" customHeight="1" s="304">
      <c r="A20" s="362" t="inlineStr">
        <is>
          <t>Compte Wise SGD</t>
        </is>
      </c>
      <c r="B20" s="363" t="inlineStr">
        <is>
          <t>Devises étrangères</t>
        </is>
      </c>
      <c r="C20" s="364" t="inlineStr">
        <is>
          <t>Wise</t>
        </is>
      </c>
      <c r="D20" s="365" t="inlineStr">
        <is>
          <t>Dollar Singapour</t>
        </is>
      </c>
      <c r="E20" s="370" t="inlineStr">
        <is>
          <t>SGD</t>
        </is>
      </c>
      <c r="F20" s="366" t="inlineStr">
        <is>
          <t>Barnabé</t>
        </is>
      </c>
      <c r="G20" s="366" t="inlineStr">
        <is>
          <t>non</t>
        </is>
      </c>
      <c r="H20" s="367" t="n">
        <v>45631</v>
      </c>
      <c r="I20" s="366" t="n"/>
      <c r="J20" s="369">
        <f>_xlfn.MAXIFS(OPdate,OPcompte,$A20,OPdevise,$E20,OPcatégorie,Solde)</f>
        <v/>
      </c>
      <c r="K20" s="372">
        <f>SUMIFS(OPmontant,OPcompte,$A20,OPdevise,$E20,OPcatégorie,Solde,OPdate,$J20)</f>
        <v/>
      </c>
      <c r="L20" s="368">
        <f>K20*cours_SGD</f>
        <v/>
      </c>
    </row>
    <row r="21" ht="16.5" customHeight="1" s="304">
      <c r="A21" s="362" t="inlineStr">
        <is>
          <t>Portefeuille eToro USD Réserve</t>
        </is>
      </c>
      <c r="B21" s="363" t="inlineStr">
        <is>
          <t>Devises étrangères</t>
        </is>
      </c>
      <c r="C21" s="364" t="inlineStr">
        <is>
          <t>eToro</t>
        </is>
      </c>
      <c r="D21" s="365" t="inlineStr">
        <is>
          <t>Dollar US</t>
        </is>
      </c>
      <c r="E21" s="370" t="inlineStr">
        <is>
          <t>USD</t>
        </is>
      </c>
      <c r="F21" s="366" t="inlineStr">
        <is>
          <t>Barnabé</t>
        </is>
      </c>
      <c r="G21" s="366" t="inlineStr">
        <is>
          <t>non</t>
        </is>
      </c>
      <c r="H21" s="366" t="n"/>
      <c r="I21" s="366" t="n"/>
      <c r="J21" s="369">
        <f>_xlfn.MAXIFS(OPdate,OPcompte,$A21,OPdevise,$E21,OPcatégorie,Solde)</f>
        <v/>
      </c>
      <c r="K21" s="371">
        <f>SUMIFS(OPmontant,OPcompte,$A21,OPdevise,$E21,OPcatégorie,Solde,OPdate,$J21)</f>
        <v/>
      </c>
      <c r="L21" s="368">
        <f>K21*cours_USD</f>
        <v/>
      </c>
    </row>
    <row r="22" ht="16.5" customHeight="1" s="304">
      <c r="A22" s="362" t="inlineStr">
        <is>
          <t>Créance Francine</t>
        </is>
      </c>
      <c r="B22" s="363" t="inlineStr">
        <is>
          <t>Créances</t>
        </is>
      </c>
      <c r="C22" s="364" t="inlineStr">
        <is>
          <t>Francine</t>
        </is>
      </c>
      <c r="D22" s="365" t="inlineStr">
        <is>
          <t>Euro</t>
        </is>
      </c>
      <c r="E22" s="365" t="inlineStr">
        <is>
          <t>EUR</t>
        </is>
      </c>
      <c r="F22" s="366" t="inlineStr">
        <is>
          <t>Commun</t>
        </is>
      </c>
      <c r="G22" s="366" t="inlineStr">
        <is>
          <t>non</t>
        </is>
      </c>
      <c r="H22" s="367" t="n">
        <v>42873</v>
      </c>
      <c r="I22" s="368" t="n">
        <v>156270</v>
      </c>
      <c r="J22" s="369">
        <f>_xlfn.MAXIFS(OPdate,OPcompte,$A22,OPdevise,$E22,OPcatégorie,Solde)</f>
        <v/>
      </c>
      <c r="K22" s="368">
        <f>SUMIFS(OPmontant,OPcompte,$A22,OPdevise,$E22,OPcatégorie,Solde,OPdate,$J22)</f>
        <v/>
      </c>
      <c r="L22" s="368">
        <f>K22</f>
        <v/>
      </c>
    </row>
    <row r="23" ht="16.5" customHeight="1" s="304">
      <c r="A23" s="362" t="inlineStr">
        <is>
          <t>BlueWallet BTC</t>
        </is>
      </c>
      <c r="B23" s="363" t="inlineStr">
        <is>
          <t>Crypto monnaies</t>
        </is>
      </c>
      <c r="C23" s="364" t="inlineStr">
        <is>
          <t>Blockchain</t>
        </is>
      </c>
      <c r="D23" s="365" t="inlineStr">
        <is>
          <t>Bitcoin</t>
        </is>
      </c>
      <c r="E23" s="370" t="inlineStr">
        <is>
          <t>SAT</t>
        </is>
      </c>
      <c r="F23" s="366" t="inlineStr">
        <is>
          <t>Commun</t>
        </is>
      </c>
      <c r="G23" s="366" t="inlineStr">
        <is>
          <t>oui</t>
        </is>
      </c>
      <c r="H23" s="367" t="n">
        <v>44967</v>
      </c>
      <c r="I23" s="366" t="n"/>
      <c r="J23" s="369">
        <f>_xlfn.MAXIFS(OPdate,OPcompte,$A23,OPdevise,$E23,OPcatégorie,Solde)</f>
        <v/>
      </c>
      <c r="K23" s="373">
        <f>SUMIFS(OPmontant,OPcompte,$A23,OPdevise,$E23,OPcatégorie,Solde,OPdate,$J23)</f>
        <v/>
      </c>
      <c r="L23" s="368">
        <f>K23*cours_SAT</f>
        <v/>
      </c>
    </row>
    <row r="24" ht="16.5" customHeight="1" s="304">
      <c r="A24" s="362" t="inlineStr">
        <is>
          <t>Phoenix Lightning BTC</t>
        </is>
      </c>
      <c r="B24" s="363" t="inlineStr">
        <is>
          <t>Crypto monnaies</t>
        </is>
      </c>
      <c r="C24" s="364" t="inlineStr">
        <is>
          <t>Blockchain</t>
        </is>
      </c>
      <c r="D24" s="365" t="inlineStr">
        <is>
          <t>Bitcoin</t>
        </is>
      </c>
      <c r="E24" s="370" t="inlineStr">
        <is>
          <t>SAT</t>
        </is>
      </c>
      <c r="F24" s="366" t="inlineStr">
        <is>
          <t>Commun</t>
        </is>
      </c>
      <c r="G24" s="366" t="inlineStr">
        <is>
          <t>oui</t>
        </is>
      </c>
      <c r="H24" s="367" t="n">
        <v>44967</v>
      </c>
      <c r="I24" s="366" t="n"/>
      <c r="J24" s="369">
        <f>_xlfn.MAXIFS(OPdate,OPcompte,$A24,OPdevise,$E24,OPcatégorie,Solde)</f>
        <v/>
      </c>
      <c r="K24" s="373">
        <f>SUMIFS(OPmontant,OPcompte,$A24,OPdevise,$E24,OPcatégorie,Solde,OPdate,$J24)</f>
        <v/>
      </c>
      <c r="L24" s="368">
        <f>K24*cours_SAT</f>
        <v/>
      </c>
    </row>
    <row r="25" ht="16.5" customHeight="1" s="304">
      <c r="A25" s="362" t="inlineStr">
        <is>
          <t>Compte Kraken BTC</t>
        </is>
      </c>
      <c r="B25" s="363" t="inlineStr">
        <is>
          <t>Crypto monnaies</t>
        </is>
      </c>
      <c r="C25" s="364" t="inlineStr">
        <is>
          <t>Kraken</t>
        </is>
      </c>
      <c r="D25" s="365" t="inlineStr">
        <is>
          <t>Bitcoin</t>
        </is>
      </c>
      <c r="E25" s="370" t="inlineStr">
        <is>
          <t>SAT</t>
        </is>
      </c>
      <c r="F25" s="366" t="inlineStr">
        <is>
          <t>Commun</t>
        </is>
      </c>
      <c r="G25" s="366" t="inlineStr">
        <is>
          <t>non</t>
        </is>
      </c>
      <c r="H25" s="367" t="n">
        <v>45855</v>
      </c>
      <c r="I25" s="366" t="n"/>
      <c r="J25" s="369">
        <f>_xlfn.MAXIFS(OPdate,OPcompte,$A25,OPdevise,$E25,OPcatégorie,Solde)</f>
        <v/>
      </c>
      <c r="K25" s="373">
        <f>SUMIFS(OPmontant,OPcompte,$A25,OPdevise,$E25,OPcatégorie,Solde,OPdate,$J25)</f>
        <v/>
      </c>
      <c r="L25" s="368">
        <f>K25*cours_SAT</f>
        <v/>
      </c>
    </row>
    <row r="26" ht="16.5" customHeight="1" s="304">
      <c r="A26" s="362" t="inlineStr">
        <is>
          <t>Cake Wallet XMR</t>
        </is>
      </c>
      <c r="B26" s="363" t="inlineStr">
        <is>
          <t>Crypto monnaies</t>
        </is>
      </c>
      <c r="C26" s="364" t="inlineStr">
        <is>
          <t>Blockchain</t>
        </is>
      </c>
      <c r="D26" s="365" t="inlineStr">
        <is>
          <t>Monero</t>
        </is>
      </c>
      <c r="E26" s="370" t="inlineStr">
        <is>
          <t>XMR</t>
        </is>
      </c>
      <c r="F26" s="366" t="inlineStr">
        <is>
          <t>Commun</t>
        </is>
      </c>
      <c r="G26" s="366" t="inlineStr">
        <is>
          <t>oui</t>
        </is>
      </c>
      <c r="H26" s="367" t="n">
        <v>44999</v>
      </c>
      <c r="I26" s="366" t="n"/>
      <c r="J26" s="369">
        <f>_xlfn.MAXIFS(OPdate,OPcompte,$A26,OPdevise,$E26,OPcatégorie,Solde)</f>
        <v/>
      </c>
      <c r="K26" s="374">
        <f>SUMIFS(OPmontant,OPcompte,$A26,OPdevise,$E26,OPcatégorie,Solde,OPdate,$J26)</f>
        <v/>
      </c>
      <c r="L26" s="368">
        <f>K26*cours_XMR</f>
        <v/>
      </c>
    </row>
    <row r="27" ht="16.5" customHeight="1" s="304">
      <c r="A27" s="362" t="inlineStr">
        <is>
          <t>Pièces or</t>
        </is>
      </c>
      <c r="B27" s="363" t="inlineStr">
        <is>
          <t>Biens matériels</t>
        </is>
      </c>
      <c r="C27" s="364" t="inlineStr">
        <is>
          <t>Coffre</t>
        </is>
      </c>
      <c r="D27" s="365" t="inlineStr">
        <is>
          <t>Mobilier</t>
        </is>
      </c>
      <c r="E27" s="370" t="inlineStr">
        <is>
          <t>OrPr</t>
        </is>
      </c>
      <c r="F27" s="366" t="inlineStr">
        <is>
          <t>Commun</t>
        </is>
      </c>
      <c r="G27" s="366" t="inlineStr">
        <is>
          <t>oui</t>
        </is>
      </c>
      <c r="H27" s="367" t="n">
        <v>45048</v>
      </c>
      <c r="I27" s="366" t="n"/>
      <c r="J27" s="369">
        <f>_xlfn.MAXIFS(OPdate,OPcompte,$A27,OPdevise,$E27,OPcatégorie,Solde)</f>
        <v/>
      </c>
      <c r="K27" s="375">
        <f>SUMIFS(OPmontant,OPcompte,$A27,OPdevise,$E27,OPcatégorie,Solde,OPdate,$J27)</f>
        <v/>
      </c>
      <c r="L27" s="368">
        <f>K27*cours_OrPr</f>
        <v/>
      </c>
    </row>
    <row r="28" ht="16.5" customHeight="1" s="304">
      <c r="A28" s="362" t="inlineStr">
        <is>
          <t>Maison</t>
        </is>
      </c>
      <c r="B28" s="363" t="inlineStr">
        <is>
          <t>Biens matériels</t>
        </is>
      </c>
      <c r="C28" s="364" t="inlineStr">
        <is>
          <t>Maison</t>
        </is>
      </c>
      <c r="D28" s="365" t="inlineStr">
        <is>
          <t>Foncier</t>
        </is>
      </c>
      <c r="E28" s="365" t="n"/>
      <c r="F28" s="366" t="inlineStr">
        <is>
          <t>Commun</t>
        </is>
      </c>
      <c r="G28" s="366" t="inlineStr">
        <is>
          <t>oui</t>
        </is>
      </c>
      <c r="H28" s="367" t="n">
        <v>43750</v>
      </c>
      <c r="I28" s="368" t="n">
        <v>200000</v>
      </c>
      <c r="J28" s="369" t="n"/>
      <c r="K28" s="366" t="n">
        <v>100000</v>
      </c>
      <c r="L28" s="368">
        <f>K28</f>
        <v/>
      </c>
    </row>
    <row r="29" ht="16.5" customHeight="1" s="304">
      <c r="A29" s="362" t="inlineStr">
        <is>
          <t>Auto</t>
        </is>
      </c>
      <c r="B29" s="363" t="inlineStr">
        <is>
          <t>Biens matériels</t>
        </is>
      </c>
      <c r="C29" s="364" t="inlineStr">
        <is>
          <t>Auto</t>
        </is>
      </c>
      <c r="D29" s="365" t="inlineStr">
        <is>
          <t>Mobilier</t>
        </is>
      </c>
      <c r="E29" s="365" t="n"/>
      <c r="F29" s="366" t="inlineStr">
        <is>
          <t>Commun</t>
        </is>
      </c>
      <c r="G29" s="366" t="inlineStr">
        <is>
          <t>oui</t>
        </is>
      </c>
      <c r="H29" s="367" t="n">
        <v>37773</v>
      </c>
      <c r="I29" s="368" t="n">
        <v>30000</v>
      </c>
      <c r="J29" s="369" t="n"/>
      <c r="K29" s="366" t="n">
        <v>9000</v>
      </c>
      <c r="L29" s="368">
        <f>K29</f>
        <v/>
      </c>
    </row>
    <row r="30" ht="16.5" customHeight="1" s="304">
      <c r="A30" s="362" t="inlineStr">
        <is>
          <t>Mobilier maison</t>
        </is>
      </c>
      <c r="B30" s="363" t="inlineStr">
        <is>
          <t>Biens matériels</t>
        </is>
      </c>
      <c r="C30" s="364" t="inlineStr">
        <is>
          <t>Maison</t>
        </is>
      </c>
      <c r="D30" s="365" t="inlineStr">
        <is>
          <t>Mobilier</t>
        </is>
      </c>
      <c r="E30" s="365" t="n"/>
      <c r="F30" s="366" t="inlineStr">
        <is>
          <t>Commun</t>
        </is>
      </c>
      <c r="G30" s="366" t="inlineStr">
        <is>
          <t>oui</t>
        </is>
      </c>
      <c r="H30" s="366" t="n"/>
      <c r="I30" s="366" t="n"/>
      <c r="J30" s="369" t="n"/>
      <c r="K30" s="366" t="n">
        <v>15000</v>
      </c>
      <c r="L30" s="368">
        <f>K30</f>
        <v/>
      </c>
    </row>
    <row r="31" ht="16.5" customHeight="1" s="304">
      <c r="A31" s="362" t="n"/>
      <c r="B31" s="364" t="n"/>
      <c r="C31" s="364" t="n"/>
      <c r="D31" s="365" t="n"/>
      <c r="E31" s="365" t="n"/>
      <c r="F31" s="376" t="n"/>
      <c r="G31" s="376" t="n"/>
      <c r="H31" s="376" t="n"/>
      <c r="I31" s="376" t="n"/>
      <c r="J31" s="376" t="n"/>
      <c r="K31" s="377" t="n"/>
      <c r="L31" s="377" t="n"/>
    </row>
    <row r="32" ht="17.25" customHeight="1" s="304">
      <c r="A32" s="378" t="inlineStr">
        <is>
          <t>Total</t>
        </is>
      </c>
      <c r="B32" s="379" t="n"/>
      <c r="C32" s="380" t="n"/>
      <c r="D32" s="381" t="n"/>
      <c r="E32" s="381" t="n"/>
      <c r="F32" s="382" t="n"/>
      <c r="G32" s="382" t="n"/>
      <c r="H32" s="382" t="n"/>
      <c r="I32" s="383" t="n"/>
      <c r="J32" s="383" t="n"/>
      <c r="K32" s="383" t="n"/>
      <c r="L32" s="384">
        <f>ROUND(SUM(L4:L31),2)</f>
        <v/>
      </c>
    </row>
    <row r="34" ht="16.5" customHeight="1" s="304"/>
    <row r="35" ht="16.5" customHeight="1" s="304"/>
    <row r="36" ht="16.5" customHeight="1" s="304"/>
    <row r="37" ht="16.5" customHeight="1" s="304"/>
    <row r="38" ht="16.5" customHeight="1" s="304"/>
    <row r="39" ht="16.5" customHeight="1" s="304"/>
    <row r="40" ht="16.5" customHeight="1" s="304"/>
    <row r="41" ht="16.5" customHeight="1" s="304"/>
    <row r="42" ht="16.5" customHeight="1" s="304"/>
    <row r="43" ht="16.5" customHeight="1" s="304"/>
    <row r="44" ht="16.5" customHeight="1" s="304"/>
    <row r="45" ht="16.5" customHeight="1" s="304"/>
    <row r="46" ht="16.5" customHeight="1" s="304"/>
    <row r="47" ht="16.5" customHeight="1" s="304"/>
    <row r="48" ht="16.5" customHeight="1" s="304"/>
    <row r="49" ht="16.5" customHeight="1" s="304"/>
    <row r="50" ht="16.5" customHeight="1" s="304"/>
    <row r="51" ht="16.5" customHeight="1" s="304"/>
    <row r="52" ht="16.5" customHeight="1" s="304"/>
    <row r="53" ht="16.5" customHeight="1" s="304"/>
    <row r="54" ht="16.5" customHeight="1" s="304"/>
    <row r="55" ht="16.5" customHeight="1" s="304"/>
    <row r="56" ht="16.5" customHeight="1" s="304"/>
    <row r="57" ht="16.5" customHeight="1" s="304"/>
    <row r="58" ht="16.5" customHeight="1" s="304"/>
    <row r="59" ht="16.5" customHeight="1" s="304"/>
    <row r="60" ht="16.5" customHeight="1" s="304"/>
    <row r="61" ht="16.5" customHeight="1" s="304"/>
    <row r="62" ht="16.5" customHeight="1" s="304"/>
    <row r="63" ht="16.5" customHeight="1" s="304"/>
    <row r="64" ht="16.5" customHeight="1" s="304"/>
    <row r="65" ht="16.5" customHeight="1" s="304"/>
    <row r="66" ht="16.5" customHeight="1" s="304"/>
    <row r="67" ht="16.5" customHeight="1" s="304">
      <c r="S67" s="385" t="n"/>
    </row>
    <row r="68" ht="16.5" customHeight="1" s="304"/>
    <row r="69" ht="16.5" customHeight="1" s="304"/>
    <row r="70" ht="16.5" customHeight="1" s="304"/>
    <row r="71" ht="16.5" customHeight="1" s="304"/>
    <row r="72" ht="16.5" customHeight="1" s="304"/>
    <row r="73" ht="16.5" customHeight="1" s="304"/>
    <row r="74" ht="16.5" customHeight="1" s="304"/>
    <row r="75" ht="16.5" customHeight="1" s="304"/>
    <row r="76" ht="16.5" customHeight="1" s="304"/>
    <row r="77" ht="16.5" customHeight="1" s="304"/>
    <row r="78" ht="16.5" customHeight="1" s="304"/>
    <row r="79" ht="16.5" customHeight="1" s="304"/>
    <row r="80" ht="16.5" customHeight="1" s="304"/>
    <row r="81" ht="16.5" customHeight="1" s="304"/>
    <row r="82" ht="16.5" customHeight="1" s="304"/>
    <row r="1048530" ht="12.75" customHeight="1" s="304"/>
    <row r="1048531" ht="12.75" customHeight="1" s="304"/>
    <row r="1048532" ht="12.75" customHeight="1" s="304"/>
    <row r="1048533" ht="12.75" customHeight="1" s="304"/>
    <row r="1048534" ht="12.75" customHeight="1" s="304"/>
    <row r="1048535" ht="12.75" customHeight="1" s="304"/>
    <row r="1048536" ht="12.8" customHeight="1" s="304"/>
    <row r="1048537" ht="12.8" customHeight="1" s="304"/>
    <row r="1048538" ht="12.8" customHeight="1" s="304"/>
    <row r="1048539" ht="12.8" customHeight="1" s="304"/>
    <row r="1048540" ht="12.8" customHeight="1" s="304"/>
    <row r="1048541" ht="12.8" customHeight="1" s="304"/>
    <row r="1048542" ht="12.8" customHeight="1" s="304"/>
    <row r="1048543" ht="12.8" customHeight="1" s="304"/>
    <row r="1048544" ht="12.8" customHeight="1" s="304"/>
    <row r="1048545" ht="12.8" customHeight="1" s="304"/>
    <row r="1048546" ht="12.8" customHeight="1" s="304"/>
    <row r="1048547" ht="12.8" customHeight="1" s="304"/>
    <row r="1048548" ht="12.8" customHeight="1" s="304"/>
    <row r="1048549" ht="12.8" customHeight="1" s="304"/>
    <row r="1048550" ht="12.8" customHeight="1" s="304"/>
    <row r="1048551" ht="12.8" customHeight="1" s="304"/>
    <row r="1048552" ht="12.8" customHeight="1" s="304"/>
    <row r="1048553" ht="12.8" customHeight="1" s="304"/>
    <row r="1048554" ht="12.8" customHeight="1" s="304"/>
    <row r="1048555" ht="12.8" customHeight="1" s="304"/>
    <row r="1048556" ht="12.8" customHeight="1" s="304"/>
    <row r="1048557" ht="12.8" customHeight="1" s="304"/>
    <row r="1048558" ht="12.8" customHeight="1" s="304"/>
    <row r="1048559" ht="12.8" customHeight="1" s="304"/>
    <row r="1048560" ht="12.8" customHeight="1" s="304"/>
    <row r="1048561" ht="12.8" customHeight="1" s="304"/>
    <row r="1048562" ht="12.8" customHeight="1" s="304"/>
    <row r="1048563" ht="12.8" customHeight="1" s="304"/>
    <row r="1048564" ht="12.8" customHeight="1" s="304"/>
    <row r="1048565" ht="12.8" customHeight="1" s="304"/>
    <row r="1048566" ht="12.8" customHeight="1" s="304"/>
    <row r="1048567" ht="12.8" customHeight="1" s="304"/>
    <row r="1048568" ht="12.8" customHeight="1" s="304"/>
    <row r="1048569" ht="12.8" customHeight="1" s="304"/>
    <row r="1048570" ht="12.8" customHeight="1" s="304"/>
    <row r="1048571" ht="12.8" customHeight="1" s="304"/>
    <row r="1048572" ht="12.8" customHeight="1" s="304"/>
    <row r="1048573" ht="12.8" customHeight="1" s="304"/>
    <row r="1048574" ht="12.8" customHeight="1" s="304"/>
    <row r="1048575" ht="12.8" customHeight="1" s="304"/>
    <row r="1048576" ht="12.8" customHeight="1" s="304"/>
  </sheetData>
  <conditionalFormatting sqref="A2">
    <cfRule type="expression" rank="0" priority="2" equalAverage="0" aboveAverage="0" dxfId="1" text="" percent="0" bottom="0">
      <formula>NOT(ISERROR(FIND("✗",INDIRECT("RC",0))))</formula>
    </cfRule>
    <cfRule type="expression" rank="0" priority="3" equalAverage="0" aboveAverage="0" dxfId="2" text="" percent="0" bottom="0">
      <formula>NOT(ISERROR(FIND("⚠",INDIRECT("RC",0))))</formula>
    </cfRule>
  </conditionalFormatting>
  <printOptions horizontalCentered="0" verticalCentered="0" headings="0" gridLines="0" gridLinesSet="1"/>
  <pageMargins left="0.747916666666667" right="0.747916666666667" top="0.650694444444445" bottom="0.650694444444445" header="0.511805555555556" footer="0.511805555555556"/>
  <pageSetup orientation="landscape" paperSize="77" scale="100" fitToHeight="1" fitToWidth="1" pageOrder="downThenOver" blackAndWhite="0" draft="0" horizontalDpi="300" verticalDpi="300" copies="1"/>
  <headerFooter differentOddEven="0" differentFirst="0">
    <oddHeader>&amp;L&amp;"Helvetica Neue,Normal"&amp;K000000Comptes</oddHeader>
    <oddFooter>&amp;L&amp;"Helvetica Neue,Normal"&amp;K000000Page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40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0.83203125" defaultRowHeight="15" customHeight="1" zeroHeight="0" outlineLevelRow="0"/>
  <cols>
    <col width="33.52" customWidth="1" style="347" min="1" max="1"/>
    <col width="11.33" customWidth="1" style="347" min="2" max="2"/>
    <col width="15.33" customWidth="1" style="347" min="3" max="3"/>
    <col width="3" customWidth="1" style="347" min="4" max="4"/>
    <col width="31.68" customWidth="1" style="386" min="5" max="5"/>
    <col width="13.37" customWidth="1" style="386" min="6" max="6"/>
    <col width="12.84" customWidth="1" style="386" min="7" max="14"/>
    <col width="9.630000000000001" customWidth="1" style="386" min="15" max="15"/>
    <col width="13.16" customWidth="1" style="386" min="16" max="16"/>
    <col width="37" customWidth="1" style="386" min="17" max="17"/>
    <col width="10.83" customWidth="1" style="386" min="36" max="16373"/>
    <col width="11.53" customWidth="1" style="386" min="16374" max="16384"/>
  </cols>
  <sheetData>
    <row r="1" ht="16.5" customHeight="1" s="304">
      <c r="A1" s="387">
        <f>Contrôles!N$48</f>
        <v/>
      </c>
      <c r="B1" s="388" t="n"/>
      <c r="C1" s="389">
        <f>C$2-365</f>
        <v/>
      </c>
      <c r="D1" s="389" t="n"/>
    </row>
    <row r="2" ht="16.5" customHeight="1" s="304">
      <c r="A2" s="390" t="n"/>
      <c r="B2" s="317" t="n"/>
      <c r="C2" s="389">
        <f>TODAY()</f>
        <v/>
      </c>
      <c r="D2" s="389" t="n"/>
    </row>
    <row r="3" ht="28.5" customHeight="1" s="304">
      <c r="A3" s="329" t="inlineStr">
        <is>
          <t>Dépenses et revenus</t>
        </is>
      </c>
      <c r="B3" s="329" t="inlineStr">
        <is>
          <t>Type</t>
        </is>
      </c>
      <c r="C3" s="329" t="inlineStr">
        <is>
          <t>Année glissante</t>
        </is>
      </c>
      <c r="D3" s="329" t="n"/>
    </row>
    <row r="4" ht="16.5" customHeight="1" s="304">
      <c r="A4" s="391" t="n"/>
      <c r="B4" s="392" t="n"/>
      <c r="C4" s="324" t="n"/>
      <c r="D4" s="324" t="n"/>
    </row>
    <row r="5" ht="16.5" customHeight="1" s="304">
      <c r="A5" s="391" t="inlineStr">
        <is>
          <t>Maison</t>
        </is>
      </c>
      <c r="B5" s="393" t="inlineStr">
        <is>
          <t>Fixe</t>
        </is>
      </c>
      <c r="C5" s="394">
        <f>SUMIF(Q20:Q34,A5,P20:P34)</f>
        <v/>
      </c>
      <c r="D5" s="394" t="n"/>
    </row>
    <row r="6" ht="16.5" customHeight="1" s="304">
      <c r="A6" s="391" t="inlineStr">
        <is>
          <t>Santé</t>
        </is>
      </c>
      <c r="B6" s="393" t="inlineStr">
        <is>
          <t>Fixe</t>
        </is>
      </c>
      <c r="C6" s="394">
        <f>SUMIF(Q20:Q34,A6,P20:P34)</f>
        <v/>
      </c>
      <c r="D6" s="394" t="n"/>
    </row>
    <row r="7" ht="16.5" customHeight="1" s="304">
      <c r="A7" s="391" t="inlineStr">
        <is>
          <t>Loisirs et restaurant</t>
        </is>
      </c>
      <c r="B7" s="392" t="inlineStr">
        <is>
          <t>Fixe</t>
        </is>
      </c>
      <c r="C7" s="324">
        <f>SUMIF(Q20:Q34,A7,P20:P34)</f>
        <v/>
      </c>
      <c r="D7" s="324" t="n"/>
    </row>
    <row r="8" ht="16.5" customHeight="1" s="304">
      <c r="A8" s="391" t="inlineStr">
        <is>
          <t>Divers</t>
        </is>
      </c>
      <c r="B8" s="392" t="inlineStr">
        <is>
          <t>Fixe</t>
        </is>
      </c>
      <c r="C8" s="324">
        <f>SUMIF(Q20:Q34,A8,P20:P34)</f>
        <v/>
      </c>
      <c r="D8" s="324" t="n"/>
    </row>
    <row r="9" ht="16.5" customHeight="1" s="304">
      <c r="A9" s="391" t="inlineStr">
        <is>
          <t>Produits financiers</t>
        </is>
      </c>
      <c r="B9" s="392" t="inlineStr">
        <is>
          <t>Fixe</t>
        </is>
      </c>
      <c r="C9" s="324">
        <f>SUMIF(Q20:Q34,A9,P20:P34)</f>
        <v/>
      </c>
      <c r="D9" s="324" t="n"/>
    </row>
    <row r="10" ht="16.5" customHeight="1" s="304">
      <c r="A10" s="391" t="n"/>
      <c r="B10" s="392" t="n"/>
      <c r="C10" s="324" t="n"/>
      <c r="D10" s="324" t="n"/>
    </row>
    <row r="11" ht="17.25" customHeight="1" s="304">
      <c r="A11" s="395" t="inlineStr">
        <is>
          <t>Total = épargne</t>
        </is>
      </c>
      <c r="B11" s="396" t="n"/>
      <c r="C11" s="397">
        <f>SUM(C5:C9)</f>
        <v/>
      </c>
      <c r="D11" s="398" t="n"/>
    </row>
    <row r="12" ht="16.5" customHeight="1" s="304">
      <c r="A12" s="399" t="inlineStr">
        <is>
          <t>Epargne fixe</t>
        </is>
      </c>
      <c r="B12" s="400" t="n"/>
      <c r="C12" s="401">
        <f>SUMIF($B5:$B9,"Fixe",C5:C9)</f>
        <v/>
      </c>
      <c r="D12" s="402" t="n"/>
    </row>
    <row r="13" ht="17.25" customHeight="1" s="304">
      <c r="A13" s="399" t="inlineStr">
        <is>
          <t>Epargne fixe / mois</t>
        </is>
      </c>
      <c r="B13" s="400" t="n"/>
      <c r="C13" s="403">
        <f>C$12/12</f>
        <v/>
      </c>
      <c r="D13" s="404" t="n"/>
    </row>
    <row r="14" ht="16.5" customHeight="1" s="304">
      <c r="A14" s="405" t="inlineStr">
        <is>
          <t>Écart avec tableau Affectation</t>
        </is>
      </c>
      <c r="B14" s="406" t="n"/>
      <c r="C14" s="407">
        <f>C$11-P$39</f>
        <v/>
      </c>
      <c r="D14" s="408" t="n"/>
    </row>
    <row r="16" ht="18.75" customHeight="1" s="304">
      <c r="E16" s="409" t="inlineStr">
        <is>
          <t>CATÉGORIES</t>
        </is>
      </c>
    </row>
    <row r="17" ht="28.5" customHeight="1" s="304">
      <c r="E17" s="410" t="inlineStr">
        <is>
          <t>Catégories d’opérations de débit et crédit sur année glissante</t>
        </is>
      </c>
      <c r="F17" s="411" t="inlineStr">
        <is>
          <t>EUR</t>
        </is>
      </c>
      <c r="G17" s="411" t="inlineStr">
        <is>
          <t>XAU</t>
        </is>
      </c>
      <c r="H17" s="411" t="inlineStr">
        <is>
          <t>BTC</t>
        </is>
      </c>
      <c r="I17" s="411" t="inlineStr">
        <is>
          <t>USD</t>
        </is>
      </c>
      <c r="J17" s="411" t="inlineStr">
        <is>
          <t>SGD</t>
        </is>
      </c>
      <c r="K17" s="411" t="inlineStr">
        <is>
          <t>OrPr</t>
        </is>
      </c>
      <c r="L17" s="411" t="inlineStr">
        <is>
          <t>SAT</t>
        </is>
      </c>
      <c r="M17" s="411" t="inlineStr">
        <is>
          <t>XMR</t>
        </is>
      </c>
      <c r="N17" s="412" t="inlineStr">
        <is>
          <t>Équivalent € au cours du jour</t>
        </is>
      </c>
      <c r="O17" s="387" t="inlineStr">
        <is>
          <t>Affectation %</t>
        </is>
      </c>
      <c r="P17" s="413" t="inlineStr">
        <is>
          <t>Affectation</t>
        </is>
      </c>
      <c r="Q17" s="413" t="inlineStr">
        <is>
          <t>Dépenses et revenus</t>
        </is>
      </c>
    </row>
    <row r="18" ht="16.5" customHeight="1" s="304">
      <c r="E18" s="410" t="inlineStr">
        <is>
          <t>START</t>
        </is>
      </c>
      <c r="F18" s="414" t="n">
        <v>1</v>
      </c>
      <c r="G18" s="415">
        <f>SUMIF(Cotations!$C$3:$C$4,G$17,Cotations!$D$3:$D$4)</f>
        <v/>
      </c>
      <c r="H18" s="416">
        <f>SUMIF(Cotations!$C$3:$C$10,H$17,Cotations!$D$3:$D$10)</f>
        <v/>
      </c>
      <c r="I18" s="417">
        <f>SUMIF(Cotations!$C$3:$C$10,I$17,Cotations!$D$3:$D$10)</f>
        <v/>
      </c>
      <c r="J18" s="418">
        <f>SUMIF(Cotations!$C$3:$C$10,J$17,Cotations!$D$3:$D$10)</f>
        <v/>
      </c>
      <c r="K18" s="419">
        <f>SUMIF(Cotations!$C$3:$C$10,K$17,Cotations!$D$3:$D$10)</f>
        <v/>
      </c>
      <c r="L18" s="420">
        <f>SUMIF(Cotations!$C$3:$C$10,L$17,Cotations!$D$3:$D$10)</f>
        <v/>
      </c>
      <c r="M18" s="421">
        <f>SUMIF(Cotations!$C$3:$C$10,M$17,Cotations!$D$3:$D$10)</f>
        <v/>
      </c>
      <c r="N18" s="422" t="n"/>
      <c r="O18" s="423" t="n"/>
      <c r="P18" s="424" t="n"/>
      <c r="Q18" s="424" t="n"/>
    </row>
    <row r="19" ht="16.5" customHeight="1" s="304">
      <c r="E19" s="425" t="n"/>
      <c r="F19" s="426" t="n"/>
      <c r="G19" s="427" t="n"/>
      <c r="H19" s="428" t="n"/>
      <c r="I19" s="429" t="n"/>
      <c r="J19" s="430" t="n"/>
      <c r="K19" s="431" t="n"/>
      <c r="L19" s="432" t="n"/>
      <c r="M19" s="433" t="n"/>
      <c r="N19" s="434" t="n"/>
      <c r="O19" s="435" t="n"/>
      <c r="P19" s="324" t="n"/>
      <c r="Q19" s="436" t="n"/>
    </row>
    <row r="20" ht="16.5" customHeight="1" s="304">
      <c r="E20" s="425" t="inlineStr">
        <is>
          <t>Change</t>
        </is>
      </c>
      <c r="F20" s="426">
        <f>SUMIFS(OPmontant,OPdevise,F$17,OPcatégorie,$E20,OPdate,"&gt;"&amp;$C$2-365)</f>
        <v/>
      </c>
      <c r="G20" s="427">
        <f>SUMIFS(OPmontant,OPdevise,G$17,OPcatégorie,$E20,OPdate,"&gt;"&amp;$C$2-365)</f>
        <v/>
      </c>
      <c r="H20" s="428">
        <f>SUMIFS(OPmontant,OPdevise,H$17,OPcatégorie,$E20,OPdate,"&gt;"&amp;$C$2-365)</f>
        <v/>
      </c>
      <c r="I20" s="429">
        <f>SUMIFS(OPmontant,OPdevise,I$17,OPcatégorie,$E20,OPdate,"&gt;"&amp;$C$2-365)</f>
        <v/>
      </c>
      <c r="J20" s="430">
        <f>SUMIFS(OPmontant,OPdevise,J$17,OPcatégorie,$E20,OPdate,"&gt;"&amp;$C$2-365)</f>
        <v/>
      </c>
      <c r="K20" s="431">
        <f>SUMIFS(OPmontant,OPdevise,K$17,OPcatégorie,$E20,OPdate,"&gt;"&amp;$C$2-365)</f>
        <v/>
      </c>
      <c r="L20" s="432">
        <f>SUMIFS(OPmontant,OPdevise,L$17,OPcatégorie,$E20,OPdate,"&gt;"&amp;$C$2-365)</f>
        <v/>
      </c>
      <c r="M20" s="433">
        <f>SUMIFS(OPmontant,OPdevise,M$17,OPcatégorie,$E20,OPdate,"&gt;"&amp;$C$2-365)</f>
        <v/>
      </c>
      <c r="N20" s="434" t="n"/>
      <c r="O20" s="435" t="n"/>
      <c r="P20" s="324" t="n"/>
      <c r="Q20" s="436" t="inlineStr">
        <is>
          <t>Divers</t>
        </is>
      </c>
    </row>
    <row r="21" ht="16.5" customHeight="1" s="304">
      <c r="E21" s="437" t="inlineStr">
        <is>
          <t>Achat métaux</t>
        </is>
      </c>
      <c r="F21" s="426">
        <f>SUMIFS(OPmontant,OPdevise,F$17,OPcatégorie,$E21,OPdate,"&gt;"&amp;$C$2-365)</f>
        <v/>
      </c>
      <c r="G21" s="427">
        <f>SUMIFS(OPmontant,OPdevise,G$17,OPcatégorie,$E21,OPdate,"&gt;"&amp;$C$2-365)</f>
        <v/>
      </c>
      <c r="H21" s="428">
        <f>SUMIFS(OPmontant,OPdevise,H$17,OPcatégorie,$E21,OPdate,"&gt;"&amp;$C$2-365)</f>
        <v/>
      </c>
      <c r="I21" s="429">
        <f>SUMIFS(OPmontant,OPdevise,I$17,OPcatégorie,$E21,OPdate,"&gt;"&amp;$C$2-365)</f>
        <v/>
      </c>
      <c r="J21" s="430">
        <f>SUMIFS(OPmontant,OPdevise,J$17,OPcatégorie,$E21,OPdate,"&gt;"&amp;$C$2-365)</f>
        <v/>
      </c>
      <c r="K21" s="431">
        <f>SUMIFS(OPmontant,OPdevise,K$17,OPcatégorie,$E21,OPdate,"&gt;"&amp;$C$2-365)</f>
        <v/>
      </c>
      <c r="L21" s="432">
        <f>SUMIFS(OPmontant,OPdevise,L$17,OPcatégorie,$E21,OPdate,"&gt;"&amp;$C$2-365)</f>
        <v/>
      </c>
      <c r="M21" s="433">
        <f>SUMIFS(OPmontant,OPdevise,M$17,OPcatégorie,$E21,OPdate,"&gt;"&amp;$C$2-365)</f>
        <v/>
      </c>
      <c r="N21" s="438" t="n"/>
      <c r="O21" s="435" t="n"/>
      <c r="P21" s="324" t="n"/>
      <c r="Q21" s="436" t="inlineStr">
        <is>
          <t>Divers</t>
        </is>
      </c>
    </row>
    <row r="22" ht="16.5" customHeight="1" s="304">
      <c r="E22" s="437" t="inlineStr">
        <is>
          <t>Virement</t>
        </is>
      </c>
      <c r="F22" s="426">
        <f>SUMIFS(OPmontant,OPdevise,F$17,OPcatégorie,$E22,OPdate,"&gt;"&amp;$C$2-365)</f>
        <v/>
      </c>
      <c r="G22" s="427">
        <f>SUMIFS(OPmontant,OPdevise,G$17,OPcatégorie,$E22,OPdate,"&gt;"&amp;$C$2-365)</f>
        <v/>
      </c>
      <c r="H22" s="428">
        <f>SUMIFS(OPmontant,OPdevise,H$17,OPcatégorie,$E22,OPdate,"&gt;"&amp;$C$2-365)</f>
        <v/>
      </c>
      <c r="I22" s="429">
        <f>SUMIFS(OPmontant,OPdevise,I$17,OPcatégorie,$E22,OPdate,"&gt;"&amp;$C$2-365)</f>
        <v/>
      </c>
      <c r="J22" s="430">
        <f>SUMIFS(OPmontant,OPdevise,J$17,OPcatégorie,$E22,OPdate,"&gt;"&amp;$C$2-365)</f>
        <v/>
      </c>
      <c r="K22" s="431">
        <f>SUMIFS(OPmontant,OPdevise,K$17,OPcatégorie,$E22,OPdate,"&gt;"&amp;$C$2-365)</f>
        <v/>
      </c>
      <c r="L22" s="432">
        <f>SUMIFS(OPmontant,OPdevise,L$17,OPcatégorie,$E22,OPdate,"&gt;"&amp;$C$2-365)</f>
        <v/>
      </c>
      <c r="M22" s="433">
        <f>SUMIFS(OPmontant,OPdevise,M$17,OPcatégorie,$E22,OPdate,"&gt;"&amp;$C$2-365)</f>
        <v/>
      </c>
      <c r="N22" s="439" t="n"/>
      <c r="O22" s="439" t="n"/>
      <c r="P22" s="324" t="n"/>
      <c r="Q22" s="363" t="inlineStr">
        <is>
          <t>Divers</t>
        </is>
      </c>
    </row>
    <row r="23" ht="16.5" customHeight="1" s="304">
      <c r="E23" s="437" t="inlineStr">
        <is>
          <t>Achat titres</t>
        </is>
      </c>
      <c r="F23" s="426">
        <f>SUMIFS(OPmontant,OPdevise,F$17,OPcatégorie,$E23,OPdate,"&gt;"&amp;$C$2-365)</f>
        <v/>
      </c>
      <c r="G23" s="427">
        <f>SUMIFS(OPmontant,OPdevise,G$17,OPcatégorie,$E23,OPdate,"&gt;"&amp;$C$2-365)</f>
        <v/>
      </c>
      <c r="H23" s="428">
        <f>SUMIFS(OPmontant,OPdevise,H$17,OPcatégorie,$E23,OPdate,"&gt;"&amp;$C$2-365)</f>
        <v/>
      </c>
      <c r="I23" s="429">
        <f>SUMIFS(OPmontant,OPdevise,I$17,OPcatégorie,$E23,OPdate,"&gt;"&amp;$C$2-365)</f>
        <v/>
      </c>
      <c r="J23" s="430">
        <f>SUMIFS(OPmontant,OPdevise,J$17,OPcatégorie,$E23,OPdate,"&gt;"&amp;$C$2-365)</f>
        <v/>
      </c>
      <c r="K23" s="431">
        <f>SUMIFS(OPmontant,OPdevise,K$17,OPcatégorie,$E23,OPdate,"&gt;"&amp;$C$2-365)</f>
        <v/>
      </c>
      <c r="L23" s="432">
        <f>SUMIFS(OPmontant,OPdevise,L$17,OPcatégorie,$E23,OPdate,"&gt;"&amp;$C$2-365)</f>
        <v/>
      </c>
      <c r="M23" s="433">
        <f>SUMIFS(OPmontant,OPdevise,M$17,OPcatégorie,$E23,OPdate,"&gt;"&amp;$C$2-365)</f>
        <v/>
      </c>
      <c r="N23" s="439" t="n"/>
      <c r="O23" s="439" t="n"/>
      <c r="P23" s="324" t="n"/>
      <c r="Q23" s="363" t="inlineStr">
        <is>
          <t>Divers</t>
        </is>
      </c>
    </row>
    <row r="24" ht="16.5" customHeight="1" s="304">
      <c r="E24" s="437" t="inlineStr">
        <is>
          <t>Vente titres</t>
        </is>
      </c>
      <c r="F24" s="426">
        <f>SUMIFS(OPmontant,OPdevise,F$17,OPcatégorie,$E24,OPdate,"&gt;"&amp;$C$2-365)</f>
        <v/>
      </c>
      <c r="G24" s="427">
        <f>SUMIFS(OPmontant,OPdevise,G$17,OPcatégorie,$E24,OPdate,"&gt;"&amp;$C$2-365)</f>
        <v/>
      </c>
      <c r="H24" s="428">
        <f>SUMIFS(OPmontant,OPdevise,H$17,OPcatégorie,$E24,OPdate,"&gt;"&amp;$C$2-365)</f>
        <v/>
      </c>
      <c r="I24" s="429">
        <f>SUMIFS(OPmontant,OPdevise,I$17,OPcatégorie,$E24,OPdate,"&gt;"&amp;$C$2-365)</f>
        <v/>
      </c>
      <c r="J24" s="430">
        <f>SUMIFS(OPmontant,OPdevise,J$17,OPcatégorie,$E24,OPdate,"&gt;"&amp;$C$2-365)</f>
        <v/>
      </c>
      <c r="K24" s="431">
        <f>SUMIFS(OPmontant,OPdevise,K$17,OPcatégorie,$E24,OPdate,"&gt;"&amp;$C$2-365)</f>
        <v/>
      </c>
      <c r="L24" s="432">
        <f>SUMIFS(OPmontant,OPdevise,L$17,OPcatégorie,$E24,OPdate,"&gt;"&amp;$C$2-365)</f>
        <v/>
      </c>
      <c r="M24" s="433">
        <f>SUMIFS(OPmontant,OPdevise,M$17,OPcatégorie,$E24,OPdate,"&gt;"&amp;$C$2-365)</f>
        <v/>
      </c>
      <c r="N24" s="439" t="n"/>
      <c r="O24" s="439" t="n"/>
      <c r="P24" s="324" t="n"/>
      <c r="Q24" s="363" t="inlineStr">
        <is>
          <t>Divers</t>
        </is>
      </c>
    </row>
    <row r="25" ht="16.5" customHeight="1" s="304">
      <c r="E25" s="437" t="inlineStr">
        <is>
          <t>Arbitrage titres</t>
        </is>
      </c>
      <c r="F25" s="426">
        <f>SUMIFS(OPmontant,OPdevise,F$17,OPcatégorie,$E25,OPdate,"&gt;"&amp;$C$2-365)</f>
        <v/>
      </c>
      <c r="G25" s="427">
        <f>SUMIFS(OPmontant,OPdevise,G$17,OPcatégorie,$E25,OPdate,"&gt;"&amp;$C$2-365)</f>
        <v/>
      </c>
      <c r="H25" s="428">
        <f>SUMIFS(OPmontant,OPdevise,H$17,OPcatégorie,$E25,OPdate,"&gt;"&amp;$C$2-365)</f>
        <v/>
      </c>
      <c r="I25" s="429">
        <f>SUMIFS(OPmontant,OPdevise,I$17,OPcatégorie,$E25,OPdate,"&gt;"&amp;$C$2-365)</f>
        <v/>
      </c>
      <c r="J25" s="430">
        <f>SUMIFS(OPmontant,OPdevise,J$17,OPcatégorie,$E25,OPdate,"&gt;"&amp;$C$2-365)</f>
        <v/>
      </c>
      <c r="K25" s="431">
        <f>SUMIFS(OPmontant,OPdevise,K$17,OPcatégorie,$E25,OPdate,"&gt;"&amp;$C$2-365)</f>
        <v/>
      </c>
      <c r="L25" s="432">
        <f>SUMIFS(OPmontant,OPdevise,L$17,OPcatégorie,$E25,OPdate,"&gt;"&amp;$C$2-365)</f>
        <v/>
      </c>
      <c r="M25" s="433">
        <f>SUMIFS(OPmontant,OPdevise,M$17,OPcatégorie,$E25,OPdate,"&gt;"&amp;$C$2-365)</f>
        <v/>
      </c>
      <c r="N25" s="439" t="n"/>
      <c r="O25" s="439" t="n"/>
      <c r="P25" s="324" t="n"/>
      <c r="Q25" s="363" t="inlineStr">
        <is>
          <t>Divers</t>
        </is>
      </c>
    </row>
    <row r="26" ht="16.5" customHeight="1" s="304">
      <c r="E26" s="437" t="inlineStr">
        <is>
          <t>Ajustement</t>
        </is>
      </c>
      <c r="F26" s="426">
        <f>SUMIFS(OPmontant,OPdevise,F$17,OPcatégorie,$E26,OPdate,"&gt;"&amp;$C$2-365)</f>
        <v/>
      </c>
      <c r="G26" s="427">
        <f>SUMIFS(OPmontant,OPdevise,G$17,OPcatégorie,$E26,OPdate,"&gt;"&amp;$C$2-365)</f>
        <v/>
      </c>
      <c r="H26" s="428">
        <f>SUMIFS(OPmontant,OPdevise,H$17,OPcatégorie,$E26,OPdate,"&gt;"&amp;$C$2-365)</f>
        <v/>
      </c>
      <c r="I26" s="429">
        <f>SUMIFS(OPmontant,OPdevise,I$17,OPcatégorie,$E26,OPdate,"&gt;"&amp;$C$2-365)</f>
        <v/>
      </c>
      <c r="J26" s="430">
        <f>SUMIFS(OPmontant,OPdevise,J$17,OPcatégorie,$E26,OPdate,"&gt;"&amp;$C$2-365)</f>
        <v/>
      </c>
      <c r="K26" s="431">
        <f>SUMIFS(OPmontant,OPdevise,K$17,OPcatégorie,$E26,OPdate,"&gt;"&amp;$C$2-365)</f>
        <v/>
      </c>
      <c r="L26" s="432">
        <f>SUMIFS(OPmontant,OPdevise,L$17,OPcatégorie,$E26,OPdate,"&gt;"&amp;$C$2-365)</f>
        <v/>
      </c>
      <c r="M26" s="433">
        <f>SUMIFS(OPmontant,OPdevise,M$17,OPcatégorie,$E26,OPdate,"&gt;"&amp;$C$2-365)</f>
        <v/>
      </c>
      <c r="N26" s="440">
        <f>SUMPRODUCT(F26:M26,F$18:M$18)</f>
        <v/>
      </c>
      <c r="O26" s="441" t="n">
        <v>1</v>
      </c>
      <c r="P26" s="324">
        <f>N26*O26</f>
        <v/>
      </c>
      <c r="Q26" s="363" t="inlineStr">
        <is>
          <t>Divers</t>
        </is>
      </c>
    </row>
    <row r="27" ht="16.5" customHeight="1" s="304">
      <c r="E27" s="437" t="inlineStr">
        <is>
          <t>Coupon</t>
        </is>
      </c>
      <c r="F27" s="426">
        <f>SUMIFS(OPmontant,OPdevise,F$17,OPcatégorie,$E27,OPdate,"&gt;"&amp;$C$2-365)</f>
        <v/>
      </c>
      <c r="G27" s="427">
        <f>SUMIFS(OPmontant,OPdevise,G$17,OPcatégorie,$E27,OPdate,"&gt;"&amp;$C$2-365)</f>
        <v/>
      </c>
      <c r="H27" s="428">
        <f>SUMIFS(OPmontant,OPdevise,H$17,OPcatégorie,$E27,OPdate,"&gt;"&amp;$C$2-365)</f>
        <v/>
      </c>
      <c r="I27" s="429">
        <f>SUMIFS(OPmontant,OPdevise,I$17,OPcatégorie,$E27,OPdate,"&gt;"&amp;$C$2-365)</f>
        <v/>
      </c>
      <c r="J27" s="430">
        <f>SUMIFS(OPmontant,OPdevise,J$17,OPcatégorie,$E27,OPdate,"&gt;"&amp;$C$2-365)</f>
        <v/>
      </c>
      <c r="K27" s="431">
        <f>SUMIFS(OPmontant,OPdevise,K$17,OPcatégorie,$E27,OPdate,"&gt;"&amp;$C$2-365)</f>
        <v/>
      </c>
      <c r="L27" s="432">
        <f>SUMIFS(OPmontant,OPdevise,L$17,OPcatégorie,$E27,OPdate,"&gt;"&amp;$C$2-365)</f>
        <v/>
      </c>
      <c r="M27" s="433">
        <f>SUMIFS(OPmontant,OPdevise,M$17,OPcatégorie,$E27,OPdate,"&gt;"&amp;$C$2-365)</f>
        <v/>
      </c>
      <c r="N27" s="440">
        <f>SUMPRODUCT(F27:M27,F$18:M$18)</f>
        <v/>
      </c>
      <c r="O27" s="441" t="n">
        <v>1</v>
      </c>
      <c r="P27" s="324">
        <f>N27*O27</f>
        <v/>
      </c>
      <c r="Q27" s="363" t="inlineStr">
        <is>
          <t>Produits financiers</t>
        </is>
      </c>
    </row>
    <row r="28" ht="16.5" customHeight="1" s="304">
      <c r="E28" s="437" t="inlineStr">
        <is>
          <t>Frais bancaires</t>
        </is>
      </c>
      <c r="F28" s="426">
        <f>SUMIFS(OPmontant,OPdevise,F$17,OPcatégorie,$E28,OPdate,"&gt;"&amp;$C$2-365)</f>
        <v/>
      </c>
      <c r="G28" s="427">
        <f>SUMIFS(OPmontant,OPdevise,G$17,OPcatégorie,$E28,OPdate,"&gt;"&amp;$C$2-365)</f>
        <v/>
      </c>
      <c r="H28" s="428">
        <f>SUMIFS(OPmontant,OPdevise,H$17,OPcatégorie,$E28,OPdate,"&gt;"&amp;$C$2-365)</f>
        <v/>
      </c>
      <c r="I28" s="429">
        <f>SUMIFS(OPmontant,OPdevise,I$17,OPcatégorie,$E28,OPdate,"&gt;"&amp;$C$2-365)</f>
        <v/>
      </c>
      <c r="J28" s="430">
        <f>SUMIFS(OPmontant,OPdevise,J$17,OPcatégorie,$E28,OPdate,"&gt;"&amp;$C$2-365)</f>
        <v/>
      </c>
      <c r="K28" s="431">
        <f>SUMIFS(OPmontant,OPdevise,K$17,OPcatégorie,$E28,OPdate,"&gt;"&amp;$C$2-365)</f>
        <v/>
      </c>
      <c r="L28" s="432">
        <f>SUMIFS(OPmontant,OPdevise,L$17,OPcatégorie,$E28,OPdate,"&gt;"&amp;$C$2-365)</f>
        <v/>
      </c>
      <c r="M28" s="433">
        <f>SUMIFS(OPmontant,OPdevise,M$17,OPcatégorie,$E28,OPdate,"&gt;"&amp;$C$2-365)</f>
        <v/>
      </c>
      <c r="N28" s="440">
        <f>SUMPRODUCT(F28:M28,F$18:M$18)</f>
        <v/>
      </c>
      <c r="O28" s="441" t="n">
        <v>1</v>
      </c>
      <c r="P28" s="324">
        <f>N28*O28</f>
        <v/>
      </c>
      <c r="Q28" s="363" t="inlineStr">
        <is>
          <t>Produits financiers</t>
        </is>
      </c>
    </row>
    <row r="29" ht="16.5" customHeight="1" s="304">
      <c r="E29" s="437" t="inlineStr">
        <is>
          <t>Intérêts</t>
        </is>
      </c>
      <c r="F29" s="426">
        <f>SUMIFS(OPmontant,OPdevise,F$17,OPcatégorie,$E29,OPdate,"&gt;"&amp;$C$2-365)</f>
        <v/>
      </c>
      <c r="G29" s="427">
        <f>SUMIFS(OPmontant,OPdevise,G$17,OPcatégorie,$E29,OPdate,"&gt;"&amp;$C$2-365)</f>
        <v/>
      </c>
      <c r="H29" s="428">
        <f>SUMIFS(OPmontant,OPdevise,H$17,OPcatégorie,$E29,OPdate,"&gt;"&amp;$C$2-365)</f>
        <v/>
      </c>
      <c r="I29" s="429">
        <f>SUMIFS(OPmontant,OPdevise,I$17,OPcatégorie,$E29,OPdate,"&gt;"&amp;$C$2-365)</f>
        <v/>
      </c>
      <c r="J29" s="430">
        <f>SUMIFS(OPmontant,OPdevise,J$17,OPcatégorie,$E29,OPdate,"&gt;"&amp;$C$2-365)</f>
        <v/>
      </c>
      <c r="K29" s="431">
        <f>SUMIFS(OPmontant,OPdevise,K$17,OPcatégorie,$E29,OPdate,"&gt;"&amp;$C$2-365)</f>
        <v/>
      </c>
      <c r="L29" s="432">
        <f>SUMIFS(OPmontant,OPdevise,L$17,OPcatégorie,$E29,OPdate,"&gt;"&amp;$C$2-365)</f>
        <v/>
      </c>
      <c r="M29" s="433">
        <f>SUMIFS(OPmontant,OPdevise,M$17,OPcatégorie,$E29,OPdate,"&gt;"&amp;$C$2-365)</f>
        <v/>
      </c>
      <c r="N29" s="440">
        <f>SUMPRODUCT(F29:M29,F$18:M$18)</f>
        <v/>
      </c>
      <c r="O29" s="441" t="n">
        <v>1</v>
      </c>
      <c r="P29" s="324">
        <f>N29*O29</f>
        <v/>
      </c>
      <c r="Q29" s="363" t="inlineStr">
        <is>
          <t>Produits financiers</t>
        </is>
      </c>
    </row>
    <row r="30" ht="16.5" customHeight="1" s="304">
      <c r="E30" s="437" t="inlineStr">
        <is>
          <t>Loisirs</t>
        </is>
      </c>
      <c r="F30" s="426">
        <f>SUMIFS(OPmontant,OPdevise,F$17,OPcatégorie,$E30,OPdate,"&gt;"&amp;$C$2-365)</f>
        <v/>
      </c>
      <c r="G30" s="427">
        <f>SUMIFS(OPmontant,OPdevise,G$17,OPcatégorie,$E30,OPdate,"&gt;"&amp;$C$2-365)</f>
        <v/>
      </c>
      <c r="H30" s="428">
        <f>SUMIFS(OPmontant,OPdevise,H$17,OPcatégorie,$E30,OPdate,"&gt;"&amp;$C$2-365)</f>
        <v/>
      </c>
      <c r="I30" s="429">
        <f>SUMIFS(OPmontant,OPdevise,I$17,OPcatégorie,$E30,OPdate,"&gt;"&amp;$C$2-365)</f>
        <v/>
      </c>
      <c r="J30" s="430">
        <f>SUMIFS(OPmontant,OPdevise,J$17,OPcatégorie,$E30,OPdate,"&gt;"&amp;$C$2-365)</f>
        <v/>
      </c>
      <c r="K30" s="431">
        <f>SUMIFS(OPmontant,OPdevise,K$17,OPcatégorie,$E30,OPdate,"&gt;"&amp;$C$2-365)</f>
        <v/>
      </c>
      <c r="L30" s="432">
        <f>SUMIFS(OPmontant,OPdevise,L$17,OPcatégorie,$E30,OPdate,"&gt;"&amp;$C$2-365)</f>
        <v/>
      </c>
      <c r="M30" s="433">
        <f>SUMIFS(OPmontant,OPdevise,M$17,OPcatégorie,$E30,OPdate,"&gt;"&amp;$C$2-365)</f>
        <v/>
      </c>
      <c r="N30" s="440">
        <f>SUMPRODUCT(F30:M30,F$18:M$18)</f>
        <v/>
      </c>
      <c r="O30" s="441" t="n">
        <v>1</v>
      </c>
      <c r="P30" s="324">
        <f>N30*O30</f>
        <v/>
      </c>
      <c r="Q30" s="363" t="inlineStr">
        <is>
          <t>Loisirs et restaurant</t>
        </is>
      </c>
    </row>
    <row r="31" ht="16.5" customHeight="1" s="304">
      <c r="E31" s="437" t="inlineStr">
        <is>
          <t>Maison</t>
        </is>
      </c>
      <c r="F31" s="426">
        <f>SUMIFS(OPmontant,OPdevise,F$17,OPcatégorie,$E31,OPdate,"&gt;"&amp;$C$2-365)</f>
        <v/>
      </c>
      <c r="G31" s="427">
        <f>SUMIFS(OPmontant,OPdevise,G$17,OPcatégorie,$E31,OPdate,"&gt;"&amp;$C$2-365)</f>
        <v/>
      </c>
      <c r="H31" s="428">
        <f>SUMIFS(OPmontant,OPdevise,H$17,OPcatégorie,$E31,OPdate,"&gt;"&amp;$C$2-365)</f>
        <v/>
      </c>
      <c r="I31" s="429">
        <f>SUMIFS(OPmontant,OPdevise,I$17,OPcatégorie,$E31,OPdate,"&gt;"&amp;$C$2-365)</f>
        <v/>
      </c>
      <c r="J31" s="430">
        <f>SUMIFS(OPmontant,OPdevise,J$17,OPcatégorie,$E31,OPdate,"&gt;"&amp;$C$2-365)</f>
        <v/>
      </c>
      <c r="K31" s="431">
        <f>SUMIFS(OPmontant,OPdevise,K$17,OPcatégorie,$E31,OPdate,"&gt;"&amp;$C$2-365)</f>
        <v/>
      </c>
      <c r="L31" s="432">
        <f>SUMIFS(OPmontant,OPdevise,L$17,OPcatégorie,$E31,OPdate,"&gt;"&amp;$C$2-365)</f>
        <v/>
      </c>
      <c r="M31" s="433">
        <f>SUMIFS(OPmontant,OPdevise,M$17,OPcatégorie,$E31,OPdate,"&gt;"&amp;$C$2-365)</f>
        <v/>
      </c>
      <c r="N31" s="440">
        <f>SUMPRODUCT(F31:M31,F$18:M$18)</f>
        <v/>
      </c>
      <c r="O31" s="441" t="n">
        <v>1</v>
      </c>
      <c r="P31" s="324">
        <f>N31*O31</f>
        <v/>
      </c>
      <c r="Q31" s="363" t="inlineStr">
        <is>
          <t>Maison</t>
        </is>
      </c>
    </row>
    <row r="32" ht="16.5" customHeight="1" s="304">
      <c r="E32" s="437" t="inlineStr">
        <is>
          <t>Restaurant</t>
        </is>
      </c>
      <c r="F32" s="426">
        <f>SUMIFS(OPmontant,OPdevise,F$17,OPcatégorie,$E32,OPdate,"&gt;"&amp;$C$2-365)</f>
        <v/>
      </c>
      <c r="G32" s="427">
        <f>SUMIFS(OPmontant,OPdevise,G$17,OPcatégorie,$E32,OPdate,"&gt;"&amp;$C$2-365)</f>
        <v/>
      </c>
      <c r="H32" s="428">
        <f>SUMIFS(OPmontant,OPdevise,H$17,OPcatégorie,$E32,OPdate,"&gt;"&amp;$C$2-365)</f>
        <v/>
      </c>
      <c r="I32" s="429">
        <f>SUMIFS(OPmontant,OPdevise,I$17,OPcatégorie,$E32,OPdate,"&gt;"&amp;$C$2-365)</f>
        <v/>
      </c>
      <c r="J32" s="430">
        <f>SUMIFS(OPmontant,OPdevise,J$17,OPcatégorie,$E32,OPdate,"&gt;"&amp;$C$2-365)</f>
        <v/>
      </c>
      <c r="K32" s="431">
        <f>SUMIFS(OPmontant,OPdevise,K$17,OPcatégorie,$E32,OPdate,"&gt;"&amp;$C$2-365)</f>
        <v/>
      </c>
      <c r="L32" s="432">
        <f>SUMIFS(OPmontant,OPdevise,L$17,OPcatégorie,$E32,OPdate,"&gt;"&amp;$C$2-365)</f>
        <v/>
      </c>
      <c r="M32" s="433">
        <f>SUMIFS(OPmontant,OPdevise,M$17,OPcatégorie,$E32,OPdate,"&gt;"&amp;$C$2-365)</f>
        <v/>
      </c>
      <c r="N32" s="440">
        <f>SUMPRODUCT(F32:M32,F$18:M$18)</f>
        <v/>
      </c>
      <c r="O32" s="441" t="n">
        <v>1</v>
      </c>
      <c r="P32" s="324">
        <f>N32*O32</f>
        <v/>
      </c>
      <c r="Q32" s="363" t="inlineStr">
        <is>
          <t>Loisirs et restaurant</t>
        </is>
      </c>
    </row>
    <row r="33" ht="16.5" customHeight="1" s="304">
      <c r="E33" s="437" t="inlineStr">
        <is>
          <t>Santé</t>
        </is>
      </c>
      <c r="F33" s="426">
        <f>SUMIFS(OPmontant,OPdevise,F$17,OPcatégorie,$E33,OPdate,"&gt;"&amp;$C$2-365)</f>
        <v/>
      </c>
      <c r="G33" s="427">
        <f>SUMIFS(OPmontant,OPdevise,G$17,OPcatégorie,$E33,OPdate,"&gt;"&amp;$C$2-365)</f>
        <v/>
      </c>
      <c r="H33" s="428">
        <f>SUMIFS(OPmontant,OPdevise,H$17,OPcatégorie,$E33,OPdate,"&gt;"&amp;$C$2-365)</f>
        <v/>
      </c>
      <c r="I33" s="429">
        <f>SUMIFS(OPmontant,OPdevise,I$17,OPcatégorie,$E33,OPdate,"&gt;"&amp;$C$2-365)</f>
        <v/>
      </c>
      <c r="J33" s="430">
        <f>SUMIFS(OPmontant,OPdevise,J$17,OPcatégorie,$E33,OPdate,"&gt;"&amp;$C$2-365)</f>
        <v/>
      </c>
      <c r="K33" s="431">
        <f>SUMIFS(OPmontant,OPdevise,K$17,OPcatégorie,$E33,OPdate,"&gt;"&amp;$C$2-365)</f>
        <v/>
      </c>
      <c r="L33" s="432">
        <f>SUMIFS(OPmontant,OPdevise,L$17,OPcatégorie,$E33,OPdate,"&gt;"&amp;$C$2-365)</f>
        <v/>
      </c>
      <c r="M33" s="433">
        <f>SUMIFS(OPmontant,OPdevise,M$17,OPcatégorie,$E33,OPdate,"&gt;"&amp;$C$2-365)</f>
        <v/>
      </c>
      <c r="N33" s="440">
        <f>SUMPRODUCT(F33:M33,F$18:M$18)</f>
        <v/>
      </c>
      <c r="O33" s="441" t="n">
        <v>1</v>
      </c>
      <c r="P33" s="324">
        <f>N33*O33</f>
        <v/>
      </c>
      <c r="Q33" s="363" t="inlineStr">
        <is>
          <t>Santé</t>
        </is>
      </c>
    </row>
    <row r="34" ht="16.5" customHeight="1" s="304">
      <c r="E34" s="437" t="inlineStr">
        <is>
          <t>-</t>
        </is>
      </c>
      <c r="F34" s="426">
        <f>SUMIFS(OPmontant,OPdevise,F$17,OPcatégorie,$E34,OPdate,"&gt;"&amp;$C$2-365)</f>
        <v/>
      </c>
      <c r="G34" s="427" t="n"/>
      <c r="H34" s="428" t="n"/>
      <c r="I34" s="429" t="n"/>
      <c r="J34" s="430" t="n"/>
      <c r="K34" s="431" t="n"/>
      <c r="L34" s="432" t="n"/>
      <c r="M34" s="433" t="n"/>
      <c r="N34" s="440">
        <f>SUMPRODUCT(F34:M34,F$18:M$18)</f>
        <v/>
      </c>
      <c r="O34" s="441" t="n">
        <v>1</v>
      </c>
      <c r="P34" s="324">
        <f>N34*O34</f>
        <v/>
      </c>
      <c r="Q34" s="363" t="inlineStr">
        <is>
          <t>Divers</t>
        </is>
      </c>
    </row>
    <row r="35" ht="16.5" customHeight="1" s="304">
      <c r="E35" s="437" t="n"/>
      <c r="F35" s="426" t="n"/>
      <c r="G35" s="427" t="n"/>
      <c r="H35" s="428" t="n"/>
      <c r="I35" s="429" t="n"/>
      <c r="J35" s="430" t="n"/>
      <c r="K35" s="431" t="n"/>
      <c r="L35" s="432" t="n"/>
      <c r="M35" s="433" t="n"/>
      <c r="N35" s="440" t="n"/>
      <c r="O35" s="440" t="n"/>
      <c r="P35" s="324" t="n"/>
      <c r="Q35" s="363" t="n"/>
    </row>
    <row r="36" ht="19.5" customHeight="1" s="304">
      <c r="E36" s="395" t="inlineStr">
        <is>
          <t>Total</t>
        </is>
      </c>
      <c r="F36" s="442">
        <f>SUM(F20:F34)</f>
        <v/>
      </c>
      <c r="G36" s="443">
        <f>SUM(G20:G34)</f>
        <v/>
      </c>
      <c r="H36" s="444">
        <f>SUM(H20:H34)</f>
        <v/>
      </c>
      <c r="I36" s="445">
        <f>SUM(I20:I34)</f>
        <v/>
      </c>
      <c r="J36" s="446">
        <f>SUM(J20:J34)</f>
        <v/>
      </c>
      <c r="K36" s="447">
        <f>SUM(K20:K34)</f>
        <v/>
      </c>
      <c r="L36" s="448">
        <f>SUM(L20:L34)</f>
        <v/>
      </c>
      <c r="M36" s="449">
        <f>SUM(M20:M34)</f>
        <v/>
      </c>
      <c r="N36" s="450" t="n"/>
      <c r="O36" s="451" t="n"/>
      <c r="P36" s="450" t="n"/>
      <c r="Q36" s="452" t="n"/>
    </row>
    <row r="37" ht="18" customHeight="1" s="304">
      <c r="E37" s="453" t="inlineStr">
        <is>
          <t>Somme opérations</t>
        </is>
      </c>
      <c r="F37" s="454">
        <f>SUMIFS(OPmontant,OPdevise,F$17,OPdate,"&gt;"&amp;$C$2-365,OPcatégorie,"&lt;&gt;"&amp;Spéciale)</f>
        <v/>
      </c>
      <c r="G37" s="455">
        <f>SUMIFS(OPmontant,OPdevise,G$17,OPdate,"&gt;"&amp;$C$2-365,OPcatégorie,"&lt;&gt;"&amp;Spéciale)</f>
        <v/>
      </c>
      <c r="H37" s="456">
        <f>SUMIFS(OPmontant,OPdevise,H$17,OPdate,"&gt;"&amp;$C$2-365,OPcatégorie,"&lt;&gt;"&amp;Spéciale)</f>
        <v/>
      </c>
      <c r="I37" s="457">
        <f>SUMIFS(OPmontant,OPdevise,I$17,OPdate,"&gt;"&amp;$C$2-365,OPcatégorie,"&lt;&gt;"&amp;Spéciale)</f>
        <v/>
      </c>
      <c r="J37" s="458">
        <f>SUMIFS(OPmontant,OPdevise,J$17,OPdate,"&gt;"&amp;$C$2-365,OPcatégorie,"&lt;&gt;"&amp;Spéciale)</f>
        <v/>
      </c>
      <c r="K37" s="459">
        <f>SUMIFS(OPmontant,OPdevise,K$17,OPdate,"&gt;"&amp;$C$2-365,OPcatégorie,"&lt;&gt;"&amp;Spéciale)</f>
        <v/>
      </c>
      <c r="L37" s="460">
        <f>SUMIFS(OPmontant,OPdevise,L$17,OPdate,"&gt;"&amp;$C$2-365,OPcatégorie,"&lt;&gt;"&amp;Spéciale)</f>
        <v/>
      </c>
      <c r="M37" s="461">
        <f>SUMIFS(OPmontant,OPdevise,M$17,OPdate,"&gt;"&amp;$C$2-365,OPcatégorie,"&lt;&gt;"&amp;Spéciale)</f>
        <v/>
      </c>
      <c r="N37" s="462" t="n"/>
      <c r="O37" s="463" t="n"/>
      <c r="P37" s="464" t="n"/>
      <c r="Q37" s="404" t="n"/>
    </row>
    <row r="38" ht="16.5" customHeight="1" s="304">
      <c r="E38" s="465" t="inlineStr">
        <is>
          <t>Écart</t>
        </is>
      </c>
      <c r="F38" s="407">
        <f>ROUND(F$36-F$37,2)</f>
        <v/>
      </c>
      <c r="G38" s="466">
        <f>G$36-G$37</f>
        <v/>
      </c>
      <c r="H38" s="467">
        <f>H$36-H$37</f>
        <v/>
      </c>
      <c r="I38" s="468">
        <f>I$36-I$37</f>
        <v/>
      </c>
      <c r="J38" s="469">
        <f>J$36-J$37</f>
        <v/>
      </c>
      <c r="K38" s="470">
        <f>K$36-K$37</f>
        <v/>
      </c>
      <c r="L38" s="471">
        <f>L$36-L$37</f>
        <v/>
      </c>
      <c r="M38" s="472">
        <f>M$36-M$37</f>
        <v/>
      </c>
      <c r="N38" s="473" t="n"/>
      <c r="O38" s="463" t="n"/>
      <c r="P38" s="403" t="n"/>
      <c r="Q38" s="404" t="n"/>
    </row>
    <row r="39" ht="21.75" customHeight="1" s="304">
      <c r="E39" s="399" t="inlineStr">
        <is>
          <t>Total hors Changes et Virements</t>
        </is>
      </c>
      <c r="F39" s="401">
        <f>SUM(F26:F34)</f>
        <v/>
      </c>
      <c r="G39" s="474">
        <f>SUM(G26:G34)</f>
        <v/>
      </c>
      <c r="H39" s="475">
        <f>SUM(H26:H34)</f>
        <v/>
      </c>
      <c r="I39" s="476">
        <f>SUM(I26:I34)</f>
        <v/>
      </c>
      <c r="J39" s="477">
        <f>SUM(J26:J34)</f>
        <v/>
      </c>
      <c r="K39" s="478">
        <f>SUM(K26:K34)</f>
        <v/>
      </c>
      <c r="L39" s="479">
        <f>SUM(L26:L34)</f>
        <v/>
      </c>
      <c r="M39" s="480">
        <f>SUM(M26:M34)</f>
        <v/>
      </c>
      <c r="N39" s="407">
        <f>SUM(N26:N34)</f>
        <v/>
      </c>
      <c r="O39" s="481" t="n"/>
      <c r="P39" s="482">
        <f>SUM(P26:P34)</f>
        <v/>
      </c>
      <c r="Q39" s="483" t="n"/>
    </row>
    <row r="40" ht="16.5" customHeight="1" s="304">
      <c r="E40" s="405" t="inlineStr">
        <is>
          <t xml:space="preserve"> Montant Euros</t>
        </is>
      </c>
      <c r="F40" s="484">
        <f>F$39</f>
        <v/>
      </c>
      <c r="G40" s="484">
        <f>G$39*G$18</f>
        <v/>
      </c>
      <c r="H40" s="484">
        <f>H$39*H$18</f>
        <v/>
      </c>
      <c r="I40" s="484">
        <f>I$39*I$18</f>
        <v/>
      </c>
      <c r="J40" s="484">
        <f>J$39*J$18</f>
        <v/>
      </c>
      <c r="K40" s="484">
        <f>K$39*K$18</f>
        <v/>
      </c>
      <c r="L40" s="484">
        <f>L$39*L$18</f>
        <v/>
      </c>
      <c r="M40" s="484">
        <f>M$39*M$18</f>
        <v/>
      </c>
      <c r="N40" s="482">
        <f>SUM(F$40:M$40)</f>
        <v/>
      </c>
      <c r="O40" s="485" t="n"/>
      <c r="P40" s="486" t="n"/>
      <c r="Q40" s="408" t="n"/>
    </row>
    <row r="1048495" ht="12.75" customHeight="1" s="304"/>
    <row r="1048496" ht="12.75" customHeight="1" s="304"/>
    <row r="1048497" ht="12.75" customHeight="1" s="304"/>
    <row r="1048498" ht="12.75" customHeight="1" s="304"/>
    <row r="1048499" ht="12.75" customHeight="1" s="304"/>
    <row r="1048500" ht="12.75" customHeight="1" s="304"/>
    <row r="1048501" ht="12.75" customHeight="1" s="304"/>
    <row r="1048502" ht="12.75" customHeight="1" s="304"/>
    <row r="1048503" ht="12.75" customHeight="1" s="304"/>
    <row r="1048504" ht="12.75" customHeight="1" s="304"/>
    <row r="1048505" ht="12.75" customHeight="1" s="304"/>
    <row r="1048506" ht="12.75" customHeight="1" s="304"/>
    <row r="1048507" ht="12.75" customHeight="1" s="304"/>
    <row r="1048508" ht="12.75" customHeight="1" s="304"/>
    <row r="1048509" ht="12.75" customHeight="1" s="304"/>
    <row r="1048510" ht="12.75" customHeight="1" s="304"/>
    <row r="1048511" ht="12.75" customHeight="1" s="304"/>
    <row r="1048512" ht="12.75" customHeight="1" s="304"/>
    <row r="1048513" ht="12.75" customHeight="1" s="304"/>
    <row r="1048514" ht="12.75" customHeight="1" s="304"/>
    <row r="1048515" ht="12.75" customHeight="1" s="304"/>
    <row r="1048516" ht="12.8" customHeight="1" s="304"/>
    <row r="1048517" ht="12.8" customHeight="1" s="304"/>
    <row r="1048518" ht="12.8" customHeight="1" s="304"/>
    <row r="1048519" ht="12.8" customHeight="1" s="304"/>
    <row r="1048520" ht="12.8" customHeight="1" s="304"/>
    <row r="1048521" ht="12.8" customHeight="1" s="304"/>
    <row r="1048522" ht="12.8" customHeight="1" s="304"/>
    <row r="1048523" ht="12.8" customHeight="1" s="304"/>
    <row r="1048524" ht="12.8" customHeight="1" s="304"/>
    <row r="1048525" ht="12.8" customHeight="1" s="304"/>
    <row r="1048526" ht="12.8" customHeight="1" s="304"/>
    <row r="1048527" ht="12.8" customHeight="1" s="304"/>
    <row r="1048528" ht="12.8" customHeight="1" s="304"/>
    <row r="1048529" ht="12.8" customHeight="1" s="304"/>
    <row r="1048530" ht="12.8" customHeight="1" s="304"/>
    <row r="1048531" ht="12.8" customHeight="1" s="304"/>
    <row r="1048532" ht="12.8" customHeight="1" s="304"/>
    <row r="1048533" ht="12.8" customHeight="1" s="304"/>
    <row r="1048534" ht="12.8" customHeight="1" s="304"/>
    <row r="1048535" ht="12.8" customHeight="1" s="304"/>
    <row r="1048536" ht="12.8" customHeight="1" s="304"/>
    <row r="1048537" ht="12.8" customHeight="1" s="304"/>
    <row r="1048538" ht="12.8" customHeight="1" s="304"/>
    <row r="1048539" ht="12.8" customHeight="1" s="304"/>
    <row r="1048540" ht="12.8" customHeight="1" s="304"/>
    <row r="1048541" ht="12.8" customHeight="1" s="304"/>
    <row r="1048542" ht="12.8" customHeight="1" s="304"/>
    <row r="1048543" ht="12.8" customHeight="1" s="304"/>
    <row r="1048544" ht="12.8" customHeight="1" s="304"/>
    <row r="1048545" ht="12.8" customHeight="1" s="304"/>
    <row r="1048546" ht="12.8" customHeight="1" s="304"/>
    <row r="1048547" ht="12.8" customHeight="1" s="304"/>
    <row r="1048548" ht="12.8" customHeight="1" s="304"/>
    <row r="1048549" ht="12.8" customHeight="1" s="304"/>
    <row r="1048550" ht="12.8" customHeight="1" s="304"/>
    <row r="1048551" ht="12.8" customHeight="1" s="304"/>
    <row r="1048552" ht="12.8" customHeight="1" s="304"/>
    <row r="1048553" ht="12.8" customHeight="1" s="304"/>
    <row r="1048554" ht="12.8" customHeight="1" s="304"/>
    <row r="1048555" ht="12.8" customHeight="1" s="304"/>
    <row r="1048556" ht="12.8" customHeight="1" s="304"/>
    <row r="1048557" ht="12.8" customHeight="1" s="304"/>
    <row r="1048558" ht="12.8" customHeight="1" s="304"/>
    <row r="1048559" ht="12.8" customHeight="1" s="304"/>
    <row r="1048560" ht="12.8" customHeight="1" s="304"/>
    <row r="1048561" ht="12.8" customHeight="1" s="304"/>
    <row r="1048562" ht="12.8" customHeight="1" s="304"/>
    <row r="1048563" ht="12.8" customHeight="1" s="304"/>
    <row r="1048564" ht="12.8" customHeight="1" s="304"/>
    <row r="1048565" ht="12.8" customHeight="1" s="304"/>
    <row r="1048566" ht="12.8" customHeight="1" s="304"/>
    <row r="1048567" ht="12.8" customHeight="1" s="304"/>
    <row r="1048568" ht="12.8" customHeight="1" s="304"/>
    <row r="1048569" ht="12.8" customHeight="1" s="304"/>
    <row r="1048570" ht="12.8" customHeight="1" s="304"/>
    <row r="1048571" ht="12.8" customHeight="1" s="304"/>
    <row r="1048572" ht="12.8" customHeight="1" s="304"/>
    <row r="1048573" ht="12.8" customHeight="1" s="304"/>
    <row r="1048574" ht="12.8" customHeight="1" s="304"/>
    <row r="1048575" ht="12.8" customHeight="1" s="304"/>
    <row r="1048576" ht="12.8" customHeight="1" s="304"/>
  </sheetData>
  <mergeCells count="1">
    <mergeCell ref="E16:Q16"/>
  </mergeCells>
  <conditionalFormatting sqref="P39">
    <cfRule type="cellIs" rank="0" priority="2" equalAverage="0" operator="notEqual" aboveAverage="0" dxfId="3" text="" percent="0" bottom="0">
      <formula>$N$39</formula>
    </cfRule>
    <cfRule type="cellIs" rank="0" priority="3" equalAverage="0" operator="notEqual" aboveAverage="0" dxfId="3" text="" percent="0" bottom="0">
      <formula>$N$39</formula>
    </cfRule>
  </conditionalFormatting>
  <conditionalFormatting sqref="C14 F38:P38 N37:P37 O39:O40 P40 Q37:Q40">
    <cfRule type="cellIs" rank="0" priority="4" equalAverage="0" operator="notEqual" aboveAverage="0" dxfId="4" text="" percent="0" bottom="0">
      <formula>0</formula>
    </cfRule>
  </conditionalFormatting>
  <conditionalFormatting sqref="O26:O34">
    <cfRule type="cellIs" rank="0" priority="5" equalAverage="0" operator="lessThan" aboveAverage="0" dxfId="5" text="" percent="0" bottom="0">
      <formula>1</formula>
    </cfRule>
  </conditionalFormatting>
  <conditionalFormatting sqref="N39">
    <cfRule type="cellIs" rank="0" priority="6" equalAverage="0" operator="notEqual" aboveAverage="0" dxfId="4" text="" percent="0" bottom="0">
      <formula>N$40</formula>
    </cfRule>
  </conditionalFormatting>
  <conditionalFormatting sqref="A1">
    <cfRule type="expression" rank="0" priority="7" equalAverage="0" aboveAverage="0" dxfId="1" text="" percent="0" bottom="0">
      <formula>NOT(ISERROR(FIND("✗",INDIRECT("RC",0))))</formula>
    </cfRule>
    <cfRule type="expression" rank="0" priority="8" equalAverage="0" aboveAverage="0" dxfId="2" text="" percent="0" bottom="0">
      <formula>NOT(ISERROR(FIND("⚠",INDIRECT("RC",0))))</formula>
    </cfRule>
  </conditionalFormatting>
  <printOptions horizontalCentered="0" verticalCentered="0" headings="0" gridLines="0" gridLinesSet="1"/>
  <pageMargins left="0.75" right="0.75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57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0" ySplit="4" topLeftCell="C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3.1640625" defaultRowHeight="15" customHeight="1" zeroHeight="0" outlineLevelRow="0"/>
  <cols>
    <col width="17.66" customWidth="1" style="386" min="1" max="1"/>
    <col width="30.6" customWidth="1" style="386" min="2" max="2"/>
    <col width="28.57" customWidth="1" style="386" min="3" max="3"/>
    <col width="15.09" customWidth="1" style="386" min="4" max="4"/>
    <col width="14.21" customWidth="1" style="487" min="5" max="5"/>
    <col width="13.67" customWidth="1" style="386" min="6" max="6"/>
    <col width="9.16" customWidth="1" style="487" min="7" max="7"/>
    <col width="15.66" customWidth="1" style="386" min="8" max="10"/>
    <col width="13.67" customWidth="1" style="487" min="11" max="12"/>
    <col width="13.16" customWidth="1" style="386" min="13" max="16379"/>
    <col width="11.53" customWidth="1" style="386" min="16380" max="16384"/>
  </cols>
  <sheetData>
    <row r="1" ht="16.5" customHeight="1" s="304">
      <c r="A1" s="488" t="n"/>
      <c r="B1" s="489" t="inlineStr">
        <is>
          <t>La plus value latente, PVL, est la différence entre la valorisation au cours du jour (SOLDE) et la somme des opérations passées aux cours d’époque (Montant initial + SIGMA).</t>
        </is>
      </c>
      <c r="C1" s="317" t="n"/>
      <c r="D1" s="490" t="n"/>
      <c r="E1" s="317" t="n"/>
      <c r="F1" s="490" t="n"/>
      <c r="G1" s="317" t="n"/>
      <c r="H1" s="317" t="n"/>
      <c r="I1" s="317" t="n"/>
      <c r="J1" s="490" t="n"/>
      <c r="K1" s="490" t="n"/>
    </row>
    <row r="2" ht="16.5" customHeight="1" s="304">
      <c r="A2" s="488" t="n"/>
      <c r="B2" s="491">
        <f>Contrôles!N48</f>
        <v/>
      </c>
      <c r="C2" s="360" t="inlineStr">
        <is>
          <t>Le solde retenu d’un portefeuille est le plus récent entre cette feuille (Total) et Opérations (#Solde)</t>
        </is>
      </c>
      <c r="D2" s="490" t="n"/>
      <c r="E2" s="317" t="n"/>
      <c r="F2" s="490" t="n"/>
      <c r="G2" s="317" t="n"/>
      <c r="H2" s="317" t="n"/>
      <c r="I2" s="317" t="n"/>
      <c r="J2" s="360" t="n"/>
      <c r="K2" s="317" t="n"/>
    </row>
    <row r="3" ht="16.5" customHeight="1" s="304">
      <c r="A3" s="488" t="n"/>
      <c r="B3" s="489" t="n"/>
      <c r="C3" s="360" t="n"/>
      <c r="D3" s="490" t="n"/>
      <c r="E3" s="316">
        <f>E51</f>
        <v/>
      </c>
      <c r="F3" s="490" t="n"/>
      <c r="G3" s="492">
        <f>G51</f>
        <v/>
      </c>
      <c r="H3" s="360" t="n"/>
      <c r="I3" s="317" t="n"/>
      <c r="J3" s="360" t="n"/>
      <c r="K3" s="317" t="n"/>
    </row>
    <row r="4" ht="30.75" customHeight="1" s="304">
      <c r="A4" s="493" t="inlineStr">
        <is>
          <t>Section</t>
        </is>
      </c>
      <c r="B4" s="494" t="inlineStr">
        <is>
          <t>Compte</t>
        </is>
      </c>
      <c r="C4" s="329" t="inlineStr">
        <is>
          <t>Ligne</t>
        </is>
      </c>
      <c r="D4" s="329" t="inlineStr">
        <is>
          <t>Devise</t>
        </is>
      </c>
      <c r="E4" s="495" t="inlineStr">
        <is>
          <t>PVL</t>
        </is>
      </c>
      <c r="F4" s="329" t="inlineStr">
        <is>
          <t>PVL %</t>
        </is>
      </c>
      <c r="G4" s="361" t="inlineStr">
        <is>
          <t>Date initiale</t>
        </is>
      </c>
      <c r="H4" s="329" t="inlineStr">
        <is>
          <t>Montant initial</t>
        </is>
      </c>
      <c r="I4" s="496" t="inlineStr">
        <is>
          <t>SIGMA</t>
        </is>
      </c>
      <c r="J4" s="361" t="inlineStr">
        <is>
          <t>Date SOLDE</t>
        </is>
      </c>
      <c r="K4" s="496" t="inlineStr">
        <is>
          <t>SOLDE</t>
        </is>
      </c>
    </row>
    <row r="5" ht="17.25" customHeight="1" s="304">
      <c r="A5" s="497" t="inlineStr">
        <is>
          <t>Les portefeuilles</t>
        </is>
      </c>
      <c r="B5" s="391" t="n"/>
      <c r="C5" s="391" t="n"/>
      <c r="D5" s="391" t="n"/>
      <c r="E5" s="391" t="n"/>
      <c r="F5" s="391" t="n"/>
      <c r="G5" s="391" t="n"/>
      <c r="H5" s="391" t="n"/>
      <c r="I5" s="391" t="n"/>
      <c r="J5" s="391" t="n"/>
      <c r="K5" s="391" t="n"/>
    </row>
    <row r="6" ht="17.25" customHeight="1" s="304">
      <c r="A6" s="391" t="n"/>
      <c r="B6" s="391" t="n"/>
      <c r="C6" s="391" t="n"/>
      <c r="D6" s="391" t="n"/>
      <c r="E6" s="391" t="n"/>
      <c r="F6" s="391" t="n"/>
      <c r="G6" s="391" t="n"/>
      <c r="H6" s="391" t="n"/>
      <c r="I6" s="391" t="n"/>
      <c r="J6" s="391" t="n"/>
      <c r="K6" s="391" t="n"/>
    </row>
    <row r="7" ht="17.25" customHeight="1" s="304">
      <c r="A7" s="497" t="inlineStr">
        <is>
          <t>portefeuilles</t>
        </is>
      </c>
      <c r="B7" s="391" t="inlineStr">
        <is>
          <t>Assurance vie Alice</t>
        </is>
      </c>
      <c r="C7" s="391" t="inlineStr">
        <is>
          <t>Portefeuille</t>
        </is>
      </c>
      <c r="D7" s="391" t="n"/>
      <c r="E7" s="498" t="n"/>
      <c r="F7" s="391" t="n"/>
      <c r="G7" s="499" t="n"/>
      <c r="H7" s="500" t="n"/>
      <c r="I7" s="500" t="n"/>
      <c r="J7" s="499" t="n"/>
      <c r="K7" s="498" t="n"/>
      <c r="L7" s="487" t="n"/>
    </row>
    <row r="8" ht="17.25" customHeight="1" s="304">
      <c r="A8" s="497" t="inlineStr">
        <is>
          <t>portefeuilles</t>
        </is>
      </c>
      <c r="B8" s="391" t="inlineStr">
        <is>
          <t>Assurance vie Alice</t>
        </is>
      </c>
      <c r="C8" s="391" t="inlineStr">
        <is>
          <t>Total</t>
        </is>
      </c>
      <c r="D8" s="391" t="inlineStr">
        <is>
          <t>EUR</t>
        </is>
      </c>
      <c r="E8" s="498">
        <f>K8-(H8+I8)</f>
        <v/>
      </c>
      <c r="F8" s="391" t="n"/>
      <c r="G8" s="499" t="n">
        <v>0</v>
      </c>
      <c r="H8" s="500" t="n">
        <v>0</v>
      </c>
      <c r="I8" s="500" t="n">
        <v>0</v>
      </c>
      <c r="J8" s="499" t="n"/>
      <c r="K8" s="498" t="n">
        <v>0</v>
      </c>
      <c r="L8" s="487" t="n"/>
    </row>
    <row r="9" ht="17.25" customHeight="1" s="304">
      <c r="A9" s="497" t="inlineStr">
        <is>
          <t>portefeuilles</t>
        </is>
      </c>
      <c r="B9" s="391" t="inlineStr">
        <is>
          <t>Assurance vie Alice</t>
        </is>
      </c>
      <c r="C9" s="391" t="inlineStr">
        <is>
          <t>#Solde Opérations</t>
        </is>
      </c>
      <c r="D9" s="391" t="inlineStr">
        <is>
          <t>EUR</t>
        </is>
      </c>
      <c r="E9" s="498">
        <f>K9-(H9+I9)</f>
        <v/>
      </c>
      <c r="F9" s="391" t="n"/>
      <c r="G9" s="499">
        <f>_xlfn.MINIFS(OPdate,OPcompte,$B9,OPdevise,D9,OPcatégorie,Solde)</f>
        <v/>
      </c>
      <c r="H9" s="500">
        <f>SUMIFS(OPmontant,OPcompte,$B9,OPdevise,$D9,OPdate,$G9,OPcatégorie,Solde)</f>
        <v/>
      </c>
      <c r="I9" s="500">
        <f>I8</f>
        <v/>
      </c>
      <c r="J9" s="499">
        <f>_xlfn.MAXIFS(OPdate,OPcompte,$B9,OPdevise,$D9,OPcatégorie,Solde)</f>
        <v/>
      </c>
      <c r="K9" s="498">
        <f>SUMIFS(OPmontant,OPcompte,$B9,OPdevise,$D9,OPcatégorie,Solde,OPdate,J9)</f>
        <v/>
      </c>
      <c r="L9" s="487" t="n"/>
    </row>
    <row r="10" ht="17.25" customHeight="1" s="304">
      <c r="A10" s="497" t="inlineStr">
        <is>
          <t>portefeuilles</t>
        </is>
      </c>
      <c r="B10" s="391" t="inlineStr">
        <is>
          <t>Assurance vie Alice</t>
        </is>
      </c>
      <c r="C10" s="391" t="inlineStr">
        <is>
          <t>Retenu</t>
        </is>
      </c>
      <c r="D10" s="391" t="inlineStr">
        <is>
          <t>EUR</t>
        </is>
      </c>
      <c r="E10" s="498">
        <f>K10-(H10+I10)</f>
        <v/>
      </c>
      <c r="F10" s="391" t="n"/>
      <c r="G10" s="499">
        <f>G9</f>
        <v/>
      </c>
      <c r="H10" s="500">
        <f>H9</f>
        <v/>
      </c>
      <c r="I10" s="500">
        <f>I9</f>
        <v/>
      </c>
      <c r="J10" s="499">
        <f>IF(J8&gt;J9,J8,J9)</f>
        <v/>
      </c>
      <c r="K10" s="498">
        <f>IF(J8&gt;J9,K8,K9)</f>
        <v/>
      </c>
      <c r="L10" s="487" t="n"/>
    </row>
    <row r="11" ht="17.25" customHeight="1" s="304">
      <c r="A11" s="391" t="n"/>
      <c r="B11" s="391" t="n"/>
      <c r="C11" s="391" t="n"/>
      <c r="D11" s="391" t="n"/>
      <c r="E11" s="391" t="n"/>
      <c r="F11" s="391" t="n"/>
      <c r="G11" s="391" t="n"/>
      <c r="H11" s="391" t="n"/>
      <c r="I11" s="391" t="n"/>
      <c r="J11" s="391" t="n"/>
      <c r="K11" s="391" t="n"/>
    </row>
    <row r="12" ht="17.25" customHeight="1" s="304">
      <c r="A12" s="497" t="inlineStr">
        <is>
          <t>portefeuilles</t>
        </is>
      </c>
      <c r="B12" s="391" t="inlineStr">
        <is>
          <t>PEE Alice</t>
        </is>
      </c>
      <c r="C12" s="391" t="inlineStr">
        <is>
          <t>Portefeuille</t>
        </is>
      </c>
      <c r="D12" s="391" t="n"/>
      <c r="E12" s="498" t="n"/>
      <c r="F12" s="391" t="n"/>
      <c r="G12" s="499" t="n"/>
      <c r="H12" s="500" t="n"/>
      <c r="I12" s="500" t="n"/>
      <c r="J12" s="499" t="n"/>
      <c r="K12" s="498" t="n"/>
      <c r="L12" s="487" t="n"/>
    </row>
    <row r="13" ht="17.25" customHeight="1" s="304">
      <c r="A13" s="497" t="inlineStr">
        <is>
          <t>portefeuilles</t>
        </is>
      </c>
      <c r="B13" s="391" t="inlineStr">
        <is>
          <t>PEE Alice</t>
        </is>
      </c>
      <c r="C13" s="391" t="inlineStr">
        <is>
          <t>Total</t>
        </is>
      </c>
      <c r="D13" s="391" t="inlineStr">
        <is>
          <t>EUR</t>
        </is>
      </c>
      <c r="E13" s="498">
        <f>K13-(H13+I13)</f>
        <v/>
      </c>
      <c r="F13" s="391" t="n"/>
      <c r="G13" s="499" t="n">
        <v>0</v>
      </c>
      <c r="H13" s="500" t="n">
        <v>0</v>
      </c>
      <c r="I13" s="500" t="n">
        <v>0</v>
      </c>
      <c r="J13" s="499" t="n"/>
      <c r="K13" s="498" t="n">
        <v>0</v>
      </c>
      <c r="L13" s="487" t="n"/>
    </row>
    <row r="14" ht="17.25" customHeight="1" s="304">
      <c r="A14" s="497" t="inlineStr">
        <is>
          <t>portefeuilles</t>
        </is>
      </c>
      <c r="B14" s="391" t="inlineStr">
        <is>
          <t>PEE Alice</t>
        </is>
      </c>
      <c r="C14" s="391" t="inlineStr">
        <is>
          <t>#Solde Opérations</t>
        </is>
      </c>
      <c r="D14" s="391" t="inlineStr">
        <is>
          <t>EUR</t>
        </is>
      </c>
      <c r="E14" s="498">
        <f>K14-(H14+I14)</f>
        <v/>
      </c>
      <c r="F14" s="391" t="n"/>
      <c r="G14" s="499">
        <f>_xlfn.MINIFS(OPdate,OPcompte,$B14,OPdevise,D14,OPcatégorie,Solde)</f>
        <v/>
      </c>
      <c r="H14" s="500">
        <f>SUMIFS(OPmontant,OPcompte,$B14,OPdevise,$D14,OPdate,$G14,OPcatégorie,Solde)</f>
        <v/>
      </c>
      <c r="I14" s="500">
        <f>I13</f>
        <v/>
      </c>
      <c r="J14" s="499">
        <f>_xlfn.MAXIFS(OPdate,OPcompte,$B14,OPdevise,$D14,OPcatégorie,Solde)</f>
        <v/>
      </c>
      <c r="K14" s="498">
        <f>SUMIFS(OPmontant,OPcompte,$B14,OPdevise,$D14,OPcatégorie,Solde,OPdate,J14)</f>
        <v/>
      </c>
      <c r="L14" s="487" t="n"/>
    </row>
    <row r="15" ht="17.25" customHeight="1" s="304">
      <c r="A15" s="497" t="inlineStr">
        <is>
          <t>portefeuilles</t>
        </is>
      </c>
      <c r="B15" s="391" t="inlineStr">
        <is>
          <t>PEE Alice</t>
        </is>
      </c>
      <c r="C15" s="391" t="inlineStr">
        <is>
          <t>Retenu</t>
        </is>
      </c>
      <c r="D15" s="391" t="inlineStr">
        <is>
          <t>EUR</t>
        </is>
      </c>
      <c r="E15" s="498">
        <f>K15-(H15+I15)</f>
        <v/>
      </c>
      <c r="F15" s="391" t="n"/>
      <c r="G15" s="499">
        <f>G14</f>
        <v/>
      </c>
      <c r="H15" s="500">
        <f>H14</f>
        <v/>
      </c>
      <c r="I15" s="500">
        <f>I14</f>
        <v/>
      </c>
      <c r="J15" s="499">
        <f>IF(J13&gt;J14,J13,J14)</f>
        <v/>
      </c>
      <c r="K15" s="498">
        <f>IF(J13&gt;J14,K13,K14)</f>
        <v/>
      </c>
      <c r="L15" s="487" t="n"/>
    </row>
    <row r="16" ht="17.25" customHeight="1" s="304">
      <c r="A16" s="391" t="n"/>
      <c r="B16" s="391" t="n"/>
      <c r="C16" s="391" t="n"/>
      <c r="D16" s="391" t="n"/>
      <c r="E16" s="391" t="n"/>
      <c r="F16" s="391" t="n"/>
      <c r="G16" s="391" t="n"/>
      <c r="H16" s="391" t="n"/>
      <c r="I16" s="391" t="n"/>
      <c r="J16" s="391" t="n"/>
      <c r="K16" s="391" t="n"/>
    </row>
    <row r="17" ht="17.25" customHeight="1" s="304">
      <c r="A17" s="497" t="inlineStr">
        <is>
          <t>portefeuilles</t>
        </is>
      </c>
      <c r="B17" s="391" t="inlineStr">
        <is>
          <t>Portefeuille BB Titres</t>
        </is>
      </c>
      <c r="C17" s="391" t="inlineStr">
        <is>
          <t>Portefeuille</t>
        </is>
      </c>
      <c r="D17" s="391" t="n"/>
      <c r="E17" s="498" t="n"/>
      <c r="F17" s="391" t="n"/>
      <c r="G17" s="499" t="n"/>
      <c r="H17" s="500" t="n"/>
      <c r="I17" s="500" t="n"/>
      <c r="J17" s="499" t="n"/>
      <c r="K17" s="498" t="n"/>
      <c r="L17" s="487" t="n"/>
    </row>
    <row r="18" ht="17.25" customHeight="1" s="304">
      <c r="A18" s="497" t="inlineStr">
        <is>
          <t>portefeuilles</t>
        </is>
      </c>
      <c r="B18" s="391" t="inlineStr">
        <is>
          <t>Portefeuille BB Titres</t>
        </is>
      </c>
      <c r="C18" s="391" t="inlineStr">
        <is>
          <t>Total</t>
        </is>
      </c>
      <c r="D18" s="391" t="inlineStr">
        <is>
          <t>EUR</t>
        </is>
      </c>
      <c r="E18" s="498">
        <f>K18-(H18+I18)</f>
        <v/>
      </c>
      <c r="F18" s="391" t="n"/>
      <c r="G18" s="499" t="n">
        <v>0</v>
      </c>
      <c r="H18" s="500" t="n">
        <v>0</v>
      </c>
      <c r="I18" s="500" t="n">
        <v>0</v>
      </c>
      <c r="J18" s="499" t="n"/>
      <c r="K18" s="498" t="n">
        <v>0</v>
      </c>
      <c r="L18" s="487" t="n"/>
    </row>
    <row r="19" ht="17.25" customHeight="1" s="304">
      <c r="A19" s="497" t="inlineStr">
        <is>
          <t>portefeuilles</t>
        </is>
      </c>
      <c r="B19" s="391" t="inlineStr">
        <is>
          <t>Portefeuille BB Titres</t>
        </is>
      </c>
      <c r="C19" s="391" t="inlineStr">
        <is>
          <t>#Solde Opérations</t>
        </is>
      </c>
      <c r="D19" s="391" t="inlineStr">
        <is>
          <t>EUR</t>
        </is>
      </c>
      <c r="E19" s="498">
        <f>K19-(H19+I19)</f>
        <v/>
      </c>
      <c r="F19" s="391" t="n"/>
      <c r="G19" s="499">
        <f>_xlfn.MINIFS(OPdate,OPcompte,$B19,OPdevise,D19,OPcatégorie,Solde)</f>
        <v/>
      </c>
      <c r="H19" s="500">
        <f>SUMIFS(OPmontant,OPcompte,$B19,OPdevise,$D19,OPdate,$G19,OPcatégorie,Solde)</f>
        <v/>
      </c>
      <c r="I19" s="500">
        <f>I18</f>
        <v/>
      </c>
      <c r="J19" s="499">
        <f>_xlfn.MAXIFS(OPdate,OPcompte,$B19,OPdevise,$D19,OPcatégorie,Solde)</f>
        <v/>
      </c>
      <c r="K19" s="498">
        <f>SUMIFS(OPmontant,OPcompte,$B19,OPdevise,$D19,OPcatégorie,Solde,OPdate,J19)</f>
        <v/>
      </c>
      <c r="L19" s="487" t="n"/>
    </row>
    <row r="20" ht="17.25" customHeight="1" s="304">
      <c r="A20" s="497" t="inlineStr">
        <is>
          <t>portefeuilles</t>
        </is>
      </c>
      <c r="B20" s="391" t="inlineStr">
        <is>
          <t>Portefeuille BB Titres</t>
        </is>
      </c>
      <c r="C20" s="391" t="inlineStr">
        <is>
          <t>Retenu</t>
        </is>
      </c>
      <c r="D20" s="391" t="inlineStr">
        <is>
          <t>EUR</t>
        </is>
      </c>
      <c r="E20" s="498">
        <f>K20-(H20+I20)</f>
        <v/>
      </c>
      <c r="F20" s="391" t="n"/>
      <c r="G20" s="499">
        <f>G19</f>
        <v/>
      </c>
      <c r="H20" s="500">
        <f>H19</f>
        <v/>
      </c>
      <c r="I20" s="500">
        <f>I19</f>
        <v/>
      </c>
      <c r="J20" s="499">
        <f>IF(J18&gt;J19,J18,J19)</f>
        <v/>
      </c>
      <c r="K20" s="498">
        <f>IF(J18&gt;J19,K18,K19)</f>
        <v/>
      </c>
      <c r="L20" s="487" t="n"/>
    </row>
    <row r="21" ht="17.25" customHeight="1" s="304">
      <c r="A21" s="391" t="n"/>
      <c r="B21" s="391" t="n"/>
      <c r="C21" s="391" t="n"/>
      <c r="D21" s="391" t="n"/>
      <c r="E21" s="391" t="n"/>
      <c r="F21" s="391" t="n"/>
      <c r="G21" s="391" t="n"/>
      <c r="H21" s="391" t="n"/>
      <c r="I21" s="391" t="n"/>
      <c r="J21" s="391" t="n"/>
      <c r="K21" s="391" t="n"/>
    </row>
    <row r="22" ht="17.25" customHeight="1" s="304">
      <c r="A22" s="497" t="inlineStr">
        <is>
          <t>portefeuilles</t>
        </is>
      </c>
      <c r="B22" s="391" t="inlineStr">
        <is>
          <t>Portefeuille DEGIRO Titres</t>
        </is>
      </c>
      <c r="C22" s="391" t="inlineStr">
        <is>
          <t>Portefeuille</t>
        </is>
      </c>
      <c r="D22" s="391" t="n"/>
      <c r="E22" s="498" t="n"/>
      <c r="F22" s="391" t="n"/>
      <c r="G22" s="499" t="n"/>
      <c r="H22" s="500" t="n"/>
      <c r="I22" s="500" t="n"/>
      <c r="J22" s="499" t="n"/>
      <c r="K22" s="498" t="n"/>
      <c r="L22" s="487" t="n"/>
    </row>
    <row r="23" ht="17.25" customHeight="1" s="304">
      <c r="A23" s="497" t="inlineStr">
        <is>
          <t>portefeuilles</t>
        </is>
      </c>
      <c r="B23" s="391" t="inlineStr">
        <is>
          <t>Portefeuille DEGIRO Titres</t>
        </is>
      </c>
      <c r="C23" s="391" t="inlineStr">
        <is>
          <t>Total</t>
        </is>
      </c>
      <c r="D23" s="391" t="inlineStr">
        <is>
          <t>EUR</t>
        </is>
      </c>
      <c r="E23" s="498">
        <f>K23-(H23+I23)</f>
        <v/>
      </c>
      <c r="F23" s="391" t="n"/>
      <c r="G23" s="499" t="n">
        <v>0</v>
      </c>
      <c r="H23" s="500" t="n">
        <v>0</v>
      </c>
      <c r="I23" s="500" t="n">
        <v>0</v>
      </c>
      <c r="J23" s="499" t="n"/>
      <c r="K23" s="498" t="n">
        <v>0</v>
      </c>
      <c r="L23" s="487" t="n"/>
    </row>
    <row r="24" ht="17.25" customHeight="1" s="304">
      <c r="A24" s="497" t="inlineStr">
        <is>
          <t>portefeuilles</t>
        </is>
      </c>
      <c r="B24" s="391" t="inlineStr">
        <is>
          <t>Portefeuille DEGIRO Titres</t>
        </is>
      </c>
      <c r="C24" s="391" t="inlineStr">
        <is>
          <t>#Solde Opérations</t>
        </is>
      </c>
      <c r="D24" s="391" t="inlineStr">
        <is>
          <t>EUR</t>
        </is>
      </c>
      <c r="E24" s="498">
        <f>K24-(H24+I24)</f>
        <v/>
      </c>
      <c r="F24" s="391" t="n"/>
      <c r="G24" s="499">
        <f>_xlfn.MINIFS(OPdate,OPcompte,$B24,OPdevise,D24,OPcatégorie,Solde)</f>
        <v/>
      </c>
      <c r="H24" s="500">
        <f>SUMIFS(OPmontant,OPcompte,$B24,OPdevise,$D24,OPdate,$G24,OPcatégorie,Solde)</f>
        <v/>
      </c>
      <c r="I24" s="500">
        <f>I23</f>
        <v/>
      </c>
      <c r="J24" s="499">
        <f>_xlfn.MAXIFS(OPdate,OPcompte,$B24,OPdevise,$D24,OPcatégorie,Solde)</f>
        <v/>
      </c>
      <c r="K24" s="498">
        <f>SUMIFS(OPmontant,OPcompte,$B24,OPdevise,$D24,OPcatégorie,Solde,OPdate,J24)</f>
        <v/>
      </c>
      <c r="L24" s="487" t="n"/>
    </row>
    <row r="25" ht="17.25" customHeight="1" s="304">
      <c r="A25" s="497" t="inlineStr">
        <is>
          <t>portefeuilles</t>
        </is>
      </c>
      <c r="B25" s="391" t="inlineStr">
        <is>
          <t>Portefeuille DEGIRO Titres</t>
        </is>
      </c>
      <c r="C25" s="391" t="inlineStr">
        <is>
          <t>Retenu</t>
        </is>
      </c>
      <c r="D25" s="391" t="inlineStr">
        <is>
          <t>EUR</t>
        </is>
      </c>
      <c r="E25" s="498">
        <f>K25-(H25+I25)</f>
        <v/>
      </c>
      <c r="F25" s="391" t="n"/>
      <c r="G25" s="499">
        <f>G24</f>
        <v/>
      </c>
      <c r="H25" s="500">
        <f>H24</f>
        <v/>
      </c>
      <c r="I25" s="500">
        <f>I24</f>
        <v/>
      </c>
      <c r="J25" s="499">
        <f>IF(J23&gt;J24,J23,J24)</f>
        <v/>
      </c>
      <c r="K25" s="498">
        <f>IF(J23&gt;J24,K23,K24)</f>
        <v/>
      </c>
      <c r="L25" s="487" t="n"/>
    </row>
    <row r="26" ht="17.25" customHeight="1" s="304">
      <c r="A26" s="391" t="n"/>
      <c r="B26" s="391" t="n"/>
      <c r="C26" s="391" t="n"/>
      <c r="D26" s="391" t="n"/>
      <c r="E26" s="391" t="n"/>
      <c r="F26" s="391" t="n"/>
      <c r="G26" s="391" t="n"/>
      <c r="H26" s="391" t="n"/>
      <c r="I26" s="391" t="n"/>
      <c r="J26" s="391" t="n"/>
      <c r="K26" s="391" t="n"/>
    </row>
    <row r="27" ht="17.25" customHeight="1" s="304">
      <c r="A27" s="497" t="inlineStr">
        <is>
          <t>portefeuilles</t>
        </is>
      </c>
      <c r="B27" s="391" t="inlineStr">
        <is>
          <t>Portefeuille eToro USD Titres</t>
        </is>
      </c>
      <c r="C27" s="391" t="inlineStr">
        <is>
          <t>Portefeuille</t>
        </is>
      </c>
      <c r="D27" s="391" t="n"/>
      <c r="E27" s="501" t="n"/>
      <c r="F27" s="391" t="n"/>
      <c r="G27" s="499" t="n"/>
      <c r="H27" s="502" t="n"/>
      <c r="I27" s="502" t="n"/>
      <c r="J27" s="499" t="n"/>
      <c r="K27" s="501" t="n"/>
      <c r="L27" s="487" t="n"/>
    </row>
    <row r="28" ht="17.25" customHeight="1" s="304">
      <c r="A28" s="497" t="inlineStr">
        <is>
          <t>portefeuilles</t>
        </is>
      </c>
      <c r="B28" s="391" t="inlineStr">
        <is>
          <t>Portefeuille eToro USD Titres</t>
        </is>
      </c>
      <c r="C28" s="391" t="inlineStr">
        <is>
          <t>*AI.PA*</t>
        </is>
      </c>
      <c r="D28" s="503" t="inlineStr">
        <is>
          <t>USD</t>
        </is>
      </c>
      <c r="E28" s="504">
        <f>K28-(H28+I28)</f>
        <v/>
      </c>
      <c r="F28" s="363" t="n"/>
      <c r="G28" s="505" t="n">
        <v>0</v>
      </c>
      <c r="H28" s="506" t="n">
        <v>10</v>
      </c>
      <c r="I28" s="506">
        <f>SUMIFS(OPmontant,OPcompte,$B28,OPdevise,$D28,OPcatégorie,"&lt;&gt;"&amp;Spéciale,OPlibellé,$C28,OPdate,"&gt;="&amp;$G28)</f>
        <v/>
      </c>
      <c r="J28" s="505" t="n">
        <v>46083</v>
      </c>
      <c r="K28" s="504" t="n">
        <v>12.62</v>
      </c>
      <c r="L28" s="487" t="n"/>
    </row>
    <row r="29" ht="17.25" customHeight="1" s="304">
      <c r="A29" s="497" t="inlineStr">
        <is>
          <t>portefeuilles</t>
        </is>
      </c>
      <c r="B29" s="391" t="inlineStr">
        <is>
          <t>Portefeuille eToro USD Titres</t>
        </is>
      </c>
      <c r="C29" s="391" t="inlineStr">
        <is>
          <t>*SPX500*</t>
        </is>
      </c>
      <c r="D29" s="503" t="inlineStr">
        <is>
          <t>USD</t>
        </is>
      </c>
      <c r="E29" s="504">
        <f>K29-(H29+I29)</f>
        <v/>
      </c>
      <c r="F29" s="363" t="n"/>
      <c r="G29" s="505" t="n">
        <v>45715</v>
      </c>
      <c r="H29" s="506" t="n">
        <v>0</v>
      </c>
      <c r="I29" s="506">
        <f>SUMIFS(OPmontant,OPcompte,$B29,OPdevise,$D29,OPcatégorie,"&lt;&gt;"&amp;Spéciale,OPlibellé,$C29,OPdate,"&gt;="&amp;$G29)</f>
        <v/>
      </c>
      <c r="J29" s="505" t="n">
        <v>45924</v>
      </c>
      <c r="K29" s="504" t="n">
        <v>0</v>
      </c>
      <c r="L29" s="487" t="n"/>
    </row>
    <row r="30" ht="17.25" customHeight="1" s="304">
      <c r="A30" s="497" t="inlineStr">
        <is>
          <t>portefeuilles</t>
        </is>
      </c>
      <c r="B30" s="391" t="inlineStr">
        <is>
          <t>Portefeuille eToro USD Titres</t>
        </is>
      </c>
      <c r="C30" s="391" t="inlineStr">
        <is>
          <t>*BTC/USD*</t>
        </is>
      </c>
      <c r="D30" s="503" t="inlineStr">
        <is>
          <t>USD</t>
        </is>
      </c>
      <c r="E30" s="504">
        <f>K30-(H30+I30)</f>
        <v/>
      </c>
      <c r="F30" s="363" t="n"/>
      <c r="G30" s="505" t="n">
        <v>45924</v>
      </c>
      <c r="H30" s="506" t="n">
        <v>0</v>
      </c>
      <c r="I30" s="506">
        <f>SUMIFS(OPmontant,OPcompte,$B30,OPdevise,$D30,OPcatégorie,"&lt;&gt;"&amp;Spéciale,OPlibellé,$C30,OPdate,"&gt;="&amp;$G30)</f>
        <v/>
      </c>
      <c r="J30" s="505" t="n">
        <v>46083</v>
      </c>
      <c r="K30" s="504" t="n">
        <v>586.98</v>
      </c>
      <c r="L30" s="487" t="n"/>
    </row>
    <row r="31" ht="17.25" customHeight="1" s="304">
      <c r="A31" s="497" t="inlineStr">
        <is>
          <t>portefeuilles</t>
        </is>
      </c>
      <c r="B31" s="391" t="inlineStr">
        <is>
          <t>Portefeuille eToro USD Titres</t>
        </is>
      </c>
      <c r="C31" s="391" t="inlineStr">
        <is>
          <t>*COMT*</t>
        </is>
      </c>
      <c r="D31" s="503" t="inlineStr">
        <is>
          <t>USD</t>
        </is>
      </c>
      <c r="E31" s="504">
        <f>K31-(H31+I31)</f>
        <v/>
      </c>
      <c r="F31" s="363" t="n"/>
      <c r="G31" s="505" t="n">
        <v>46048</v>
      </c>
      <c r="H31" s="506" t="n">
        <v>0</v>
      </c>
      <c r="I31" s="506">
        <f>SUMIFS(OPmontant,OPcompte,$B31,OPdevise,$D31,OPcatégorie,"&lt;&gt;"&amp;Spéciale,OPlibellé,$C31,OPdate,"&gt;="&amp;$G31)</f>
        <v/>
      </c>
      <c r="J31" s="505" t="n">
        <v>46083</v>
      </c>
      <c r="K31" s="504" t="n">
        <v>2607.14</v>
      </c>
      <c r="L31" s="487" t="n"/>
    </row>
    <row r="32" ht="17.25" customHeight="1" s="304">
      <c r="A32" s="497" t="inlineStr">
        <is>
          <t>portefeuilles</t>
        </is>
      </c>
      <c r="B32" s="391" t="inlineStr">
        <is>
          <t>Portefeuille eToro USD Titres</t>
        </is>
      </c>
      <c r="C32" s="391" t="inlineStr">
        <is>
          <t>*KWEB*</t>
        </is>
      </c>
      <c r="D32" s="503" t="inlineStr">
        <is>
          <t>USD</t>
        </is>
      </c>
      <c r="E32" s="504">
        <f>K32-(H32+I32)</f>
        <v/>
      </c>
      <c r="F32" s="363" t="n"/>
      <c r="G32" s="505" t="n">
        <v>45783</v>
      </c>
      <c r="H32" s="506" t="n">
        <v>0</v>
      </c>
      <c r="I32" s="506">
        <f>SUMIFS(OPmontant,OPcompte,$B32,OPdevise,$D32,OPcatégorie,"&lt;&gt;"&amp;Spéciale,OPlibellé,$C32,OPdate,"&gt;="&amp;$G32)</f>
        <v/>
      </c>
      <c r="J32" s="505" t="n">
        <v>46083</v>
      </c>
      <c r="K32" s="504" t="n">
        <v>181.99</v>
      </c>
      <c r="L32" s="487" t="n"/>
    </row>
    <row r="33" ht="17.25" customHeight="1" s="304">
      <c r="A33" s="497" t="inlineStr">
        <is>
          <t>portefeuilles</t>
        </is>
      </c>
      <c r="B33" s="391" t="inlineStr">
        <is>
          <t>Portefeuille eToro USD Titres</t>
        </is>
      </c>
      <c r="C33" s="391" t="inlineStr">
        <is>
          <t>Total</t>
        </is>
      </c>
      <c r="D33" s="503" t="inlineStr">
        <is>
          <t>USD</t>
        </is>
      </c>
      <c r="E33" s="504">
        <f>K33-(H33+I33)</f>
        <v/>
      </c>
      <c r="F33" s="391" t="n"/>
      <c r="G33" s="499">
        <f>MIN(G28:G32)</f>
        <v/>
      </c>
      <c r="H33" s="506">
        <f>SUM(H28:H32)</f>
        <v/>
      </c>
      <c r="I33" s="506">
        <f>SUM(I28:I32)</f>
        <v/>
      </c>
      <c r="J33" s="499">
        <f>J28</f>
        <v/>
      </c>
      <c r="K33" s="504">
        <f>SUM(K28:K32)</f>
        <v/>
      </c>
      <c r="L33" s="487" t="n"/>
    </row>
    <row r="34" ht="17.25" customHeight="1" s="304">
      <c r="A34" s="497" t="inlineStr">
        <is>
          <t>portefeuilles</t>
        </is>
      </c>
      <c r="B34" s="391" t="inlineStr">
        <is>
          <t>Portefeuille eToro USD Titres</t>
        </is>
      </c>
      <c r="C34" s="391" t="inlineStr">
        <is>
          <t>#Solde Opérations</t>
        </is>
      </c>
      <c r="D34" s="503" t="inlineStr">
        <is>
          <t>USD</t>
        </is>
      </c>
      <c r="E34" s="504">
        <f>K34-(H34+I34)</f>
        <v/>
      </c>
      <c r="F34" s="391" t="n"/>
      <c r="G34" s="499">
        <f>_xlfn.MINIFS(OPdate,OPcompte,$B34,OPdevise,D34,OPcatégorie,Solde)</f>
        <v/>
      </c>
      <c r="H34" s="506">
        <f>SUMIFS(OPmontant,OPcompte,$B34,OPdevise,$D34,OPdate,$G34,OPcatégorie,Solde)</f>
        <v/>
      </c>
      <c r="I34" s="506">
        <f>I33</f>
        <v/>
      </c>
      <c r="J34" s="499">
        <f>_xlfn.MAXIFS(OPdate,OPcompte,$B34,OPdevise,$D34,OPcatégorie,Solde)</f>
        <v/>
      </c>
      <c r="K34" s="504">
        <f>SUMIFS(OPmontant,OPcompte,$B34,OPdevise,$D34,OPcatégorie,Solde,OPdate,J34)</f>
        <v/>
      </c>
      <c r="L34" s="487" t="n"/>
    </row>
    <row r="35" ht="17.25" customHeight="1" s="304">
      <c r="A35" s="497" t="inlineStr">
        <is>
          <t>portefeuilles</t>
        </is>
      </c>
      <c r="B35" s="391" t="inlineStr">
        <is>
          <t>Portefeuille eToro USD Titres</t>
        </is>
      </c>
      <c r="C35" s="391" t="inlineStr">
        <is>
          <t>Retenu</t>
        </is>
      </c>
      <c r="D35" s="503" t="inlineStr">
        <is>
          <t>USD</t>
        </is>
      </c>
      <c r="E35" s="504">
        <f>K35-(H35+I35)</f>
        <v/>
      </c>
      <c r="F35" s="391" t="n"/>
      <c r="G35" s="499">
        <f>G34</f>
        <v/>
      </c>
      <c r="H35" s="506">
        <f>H34</f>
        <v/>
      </c>
      <c r="I35" s="506">
        <f>I34</f>
        <v/>
      </c>
      <c r="J35" s="499">
        <f>IF(J33&gt;J34,J33,J34)</f>
        <v/>
      </c>
      <c r="K35" s="504">
        <f>IF(J33&gt;J34,K33,K34)</f>
        <v/>
      </c>
      <c r="L35" s="487" t="n"/>
    </row>
    <row r="36" ht="17.25" customHeight="1" s="304">
      <c r="A36" s="391" t="n"/>
      <c r="B36" s="391" t="n"/>
      <c r="C36" s="391" t="n"/>
      <c r="D36" s="391" t="n"/>
      <c r="E36" s="391" t="n"/>
      <c r="F36" s="391" t="n"/>
      <c r="G36" s="391" t="n"/>
      <c r="H36" s="391" t="n"/>
      <c r="I36" s="391" t="n"/>
      <c r="J36" s="391" t="n"/>
      <c r="K36" s="391" t="n"/>
    </row>
    <row r="37" ht="17.25" customHeight="1" s="304">
      <c r="A37" s="497" t="inlineStr">
        <is>
          <t>Les métaux</t>
        </is>
      </c>
      <c r="B37" s="391" t="n"/>
      <c r="C37" s="391" t="n"/>
      <c r="D37" s="391" t="n"/>
      <c r="E37" s="391" t="n"/>
      <c r="F37" s="391" t="n"/>
      <c r="G37" s="391" t="n"/>
      <c r="H37" s="391" t="n"/>
      <c r="I37" s="391" t="n"/>
      <c r="J37" s="391" t="n"/>
      <c r="K37" s="391" t="n"/>
    </row>
    <row r="38" ht="17.25" customHeight="1" s="304">
      <c r="A38" s="497" t="inlineStr">
        <is>
          <t>métaux</t>
        </is>
      </c>
      <c r="B38" s="391" t="inlineStr">
        <is>
          <t>Pièces or</t>
        </is>
      </c>
      <c r="C38" s="391" t="n"/>
      <c r="D38" s="503" t="inlineStr">
        <is>
          <t>OrPr</t>
        </is>
      </c>
      <c r="E38" s="507">
        <f>K38-(H38+I38)</f>
        <v/>
      </c>
      <c r="F38" s="363" t="n"/>
      <c r="G38" s="505">
        <f>_xlfn.MINIFS(OPdate,OPcompte,B38,OPdevise,D38,OPcatégorie,Solde)</f>
        <v/>
      </c>
      <c r="H38" s="508" t="n">
        <v>0</v>
      </c>
      <c r="I38" s="508">
        <f>SUMIFS(OPequiv_euro,OPcompte,B38,OPdevise,D38,OPcatégorie,"&lt;&gt;"&amp;Spéciale,OPdate,"&gt;="&amp;G38)</f>
        <v/>
      </c>
      <c r="J38" s="505">
        <f>SUMIF(AVRintitulé,$B38,AVRdate_solde)</f>
        <v/>
      </c>
      <c r="K38" s="507">
        <f>SUMIF(AVRintitulé,$B38,AVRmontant_solde_euro)</f>
        <v/>
      </c>
      <c r="L38" s="487" t="n"/>
    </row>
    <row r="39" ht="17.25" customHeight="1" s="304">
      <c r="A39" s="391" t="n"/>
      <c r="B39" s="391" t="n"/>
      <c r="C39" s="391" t="n"/>
      <c r="D39" s="391" t="n"/>
      <c r="E39" s="391" t="n"/>
      <c r="F39" s="391" t="n"/>
      <c r="G39" s="391" t="n"/>
      <c r="H39" s="391" t="n"/>
      <c r="I39" s="391" t="n"/>
      <c r="J39" s="391" t="n"/>
      <c r="K39" s="391" t="n"/>
    </row>
    <row r="40" ht="17.25" customHeight="1" s="304">
      <c r="A40" s="497" t="inlineStr">
        <is>
          <t>Les cryptos</t>
        </is>
      </c>
      <c r="B40" s="391" t="n"/>
      <c r="C40" s="391" t="n"/>
      <c r="D40" s="391" t="n"/>
      <c r="E40" s="391" t="n"/>
      <c r="F40" s="391" t="n"/>
      <c r="G40" s="391" t="n"/>
      <c r="H40" s="391" t="n"/>
      <c r="I40" s="391" t="n"/>
      <c r="J40" s="391" t="n"/>
      <c r="K40" s="391" t="n"/>
    </row>
    <row r="41" ht="17.25" customHeight="1" s="304">
      <c r="A41" s="497" t="inlineStr">
        <is>
          <t>crypto</t>
        </is>
      </c>
      <c r="B41" s="391" t="inlineStr">
        <is>
          <t>BlueWallet BTC</t>
        </is>
      </c>
      <c r="C41" s="391" t="n"/>
      <c r="D41" s="503" t="inlineStr">
        <is>
          <t>SAT</t>
        </is>
      </c>
      <c r="E41" s="509">
        <f>K41-(H41+I41)</f>
        <v/>
      </c>
      <c r="F41" s="363" t="n"/>
      <c r="G41" s="505">
        <f>_xlfn.MINIFS(OPdate,OPcompte,B41,OPdevise,D41,OPcatégorie,Solde)</f>
        <v/>
      </c>
      <c r="H41" s="508" t="n">
        <v>0</v>
      </c>
      <c r="I41" s="508">
        <f>SUMIFS(OPequiv_euro,OPcompte,B41,OPdevise,D41,OPcatégorie,"&lt;&gt;"&amp;Spéciale,OPdate,"&gt;="&amp;G41)</f>
        <v/>
      </c>
      <c r="J41" s="505">
        <f>SUMIF(AVRintitulé,$B41,AVRdate_solde)</f>
        <v/>
      </c>
      <c r="K41" s="509">
        <f>SUMIF(AVRintitulé,$B41,AVRmontant_solde_euro)</f>
        <v/>
      </c>
      <c r="L41" s="487" t="n"/>
    </row>
    <row r="42" ht="17.25" customHeight="1" s="304">
      <c r="A42" s="497" t="inlineStr">
        <is>
          <t>crypto</t>
        </is>
      </c>
      <c r="B42" s="391" t="inlineStr">
        <is>
          <t>Phoenix Lightning BTC</t>
        </is>
      </c>
      <c r="C42" s="391" t="n"/>
      <c r="D42" s="503" t="inlineStr">
        <is>
          <t>SAT</t>
        </is>
      </c>
      <c r="E42" s="509">
        <f>K42-(H42+I42)</f>
        <v/>
      </c>
      <c r="F42" s="363" t="n"/>
      <c r="G42" s="505">
        <f>_xlfn.MINIFS(OPdate,OPcompte,B42,OPdevise,D42,OPcatégorie,Solde)</f>
        <v/>
      </c>
      <c r="H42" s="508" t="n">
        <v>0</v>
      </c>
      <c r="I42" s="508">
        <f>SUMIFS(OPequiv_euro,OPcompte,B42,OPdevise,D42,OPcatégorie,"&lt;&gt;"&amp;Spéciale,OPdate,"&gt;="&amp;G42)</f>
        <v/>
      </c>
      <c r="J42" s="505">
        <f>SUMIF(AVRintitulé,$B42,AVRdate_solde)</f>
        <v/>
      </c>
      <c r="K42" s="509">
        <f>SUMIF(AVRintitulé,$B42,AVRmontant_solde_euro)</f>
        <v/>
      </c>
      <c r="L42" s="487" t="n"/>
    </row>
    <row r="43" ht="17.25" customHeight="1" s="304">
      <c r="A43" s="497" t="inlineStr">
        <is>
          <t>crypto</t>
        </is>
      </c>
      <c r="B43" s="391" t="inlineStr">
        <is>
          <t>Compte Kraken BTC</t>
        </is>
      </c>
      <c r="C43" s="391" t="n"/>
      <c r="D43" s="503" t="inlineStr">
        <is>
          <t>SAT</t>
        </is>
      </c>
      <c r="E43" s="509">
        <f>K43-(H43+I43)</f>
        <v/>
      </c>
      <c r="F43" s="363" t="n"/>
      <c r="G43" s="505">
        <f>_xlfn.MINIFS(OPdate,OPcompte,B43,OPdevise,D43,OPcatégorie,Solde)</f>
        <v/>
      </c>
      <c r="H43" s="508" t="n">
        <v>0</v>
      </c>
      <c r="I43" s="508">
        <f>SUMIFS(OPequiv_euro,OPcompte,B43,OPdevise,D43,OPcatégorie,"&lt;&gt;"&amp;Spéciale,OPdate,"&gt;="&amp;G43)</f>
        <v/>
      </c>
      <c r="J43" s="505">
        <f>SUMIF(AVRintitulé,$B43,AVRdate_solde)</f>
        <v/>
      </c>
      <c r="K43" s="509">
        <f>SUMIF(AVRintitulé,$B43,AVRmontant_solde_euro)</f>
        <v/>
      </c>
      <c r="L43" s="487" t="n"/>
    </row>
    <row r="44" ht="17.25" customHeight="1" s="304">
      <c r="A44" s="497" t="inlineStr">
        <is>
          <t>crypto</t>
        </is>
      </c>
      <c r="B44" s="391" t="inlineStr">
        <is>
          <t>Cake Wallet XMR</t>
        </is>
      </c>
      <c r="C44" s="391" t="n"/>
      <c r="D44" s="503" t="inlineStr">
        <is>
          <t>XMR</t>
        </is>
      </c>
      <c r="E44" s="510">
        <f>K44-(H44+I44)</f>
        <v/>
      </c>
      <c r="F44" s="363" t="n"/>
      <c r="G44" s="505">
        <f>_xlfn.MINIFS(OPdate,OPcompte,B44,OPdevise,D44,OPcatégorie,Solde)</f>
        <v/>
      </c>
      <c r="H44" s="508" t="n">
        <v>0</v>
      </c>
      <c r="I44" s="508">
        <f>SUMIFS(OPequiv_euro,OPcompte,B44,OPdevise,D44,OPcatégorie,"&lt;&gt;"&amp;Spéciale,OPdate,"&gt;="&amp;G44)</f>
        <v/>
      </c>
      <c r="J44" s="505">
        <f>SUMIF(AVRintitulé,$B44,AVRdate_solde)</f>
        <v/>
      </c>
      <c r="K44" s="510">
        <f>SUMIF(AVRintitulé,$B44,AVRmontant_solde_euro)</f>
        <v/>
      </c>
      <c r="L44" s="487" t="n"/>
    </row>
    <row r="45" ht="17.25" customHeight="1" s="304">
      <c r="A45" s="391" t="n"/>
      <c r="B45" s="391" t="n"/>
      <c r="C45" s="391" t="n"/>
      <c r="D45" s="391" t="n"/>
      <c r="E45" s="391" t="n"/>
      <c r="F45" s="391" t="n"/>
      <c r="G45" s="391" t="n"/>
      <c r="H45" s="391" t="n"/>
      <c r="I45" s="391" t="n"/>
      <c r="J45" s="391" t="n"/>
      <c r="K45" s="391" t="n"/>
    </row>
    <row r="46" ht="17.25" customHeight="1" s="304">
      <c r="A46" s="497" t="inlineStr">
        <is>
          <t>Les devises</t>
        </is>
      </c>
      <c r="B46" s="391" t="n"/>
      <c r="C46" s="391" t="n"/>
      <c r="D46" s="391" t="n"/>
      <c r="E46" s="391" t="n"/>
      <c r="F46" s="391" t="n"/>
      <c r="G46" s="391" t="n"/>
      <c r="H46" s="391" t="n"/>
      <c r="I46" s="391" t="n"/>
      <c r="J46" s="391" t="n"/>
      <c r="K46" s="391" t="n"/>
    </row>
    <row r="47" ht="17.25" customHeight="1" s="304">
      <c r="A47" s="497" t="inlineStr">
        <is>
          <t>devises</t>
        </is>
      </c>
      <c r="B47" s="391" t="inlineStr">
        <is>
          <t>Compte Wise USD</t>
        </is>
      </c>
      <c r="C47" s="391" t="n"/>
      <c r="D47" s="503" t="inlineStr">
        <is>
          <t>USD</t>
        </is>
      </c>
      <c r="E47" s="504">
        <f>K47-(H47+I47)</f>
        <v/>
      </c>
      <c r="F47" s="363" t="n"/>
      <c r="G47" s="505">
        <f>_xlfn.MINIFS(OPdate,OPcompte,B47,OPdevise,D47,OPcatégorie,Solde)</f>
        <v/>
      </c>
      <c r="H47" s="508" t="n">
        <v>0</v>
      </c>
      <c r="I47" s="508">
        <f>SUMIFS(OPequiv_euro,OPcompte,B47,OPdevise,D47,OPcatégorie,"&lt;&gt;"&amp;Spéciale,OPdate,"&gt;="&amp;G47)</f>
        <v/>
      </c>
      <c r="J47" s="505">
        <f>SUMIF(AVRintitulé,$B47,AVRdate_solde)</f>
        <v/>
      </c>
      <c r="K47" s="504">
        <f>SUMIF(AVRintitulé,$B47,AVRmontant_solde_euro)</f>
        <v/>
      </c>
      <c r="L47" s="487" t="n"/>
    </row>
    <row r="48" ht="17.25" customHeight="1" s="304">
      <c r="A48" s="497" t="inlineStr">
        <is>
          <t>devises</t>
        </is>
      </c>
      <c r="B48" s="391" t="inlineStr">
        <is>
          <t>Compte Wise SGD</t>
        </is>
      </c>
      <c r="C48" s="391" t="n"/>
      <c r="D48" s="503" t="inlineStr">
        <is>
          <t>SGD</t>
        </is>
      </c>
      <c r="E48" s="511">
        <f>K48-(H48+I48)</f>
        <v/>
      </c>
      <c r="F48" s="363" t="n"/>
      <c r="G48" s="505">
        <f>_xlfn.MINIFS(OPdate,OPcompte,B48,OPdevise,D48,OPcatégorie,Solde)</f>
        <v/>
      </c>
      <c r="H48" s="508" t="n">
        <v>0</v>
      </c>
      <c r="I48" s="508">
        <f>SUMIFS(OPequiv_euro,OPcompte,B48,OPdevise,D48,OPcatégorie,"&lt;&gt;"&amp;Spéciale,OPdate,"&gt;="&amp;G48)</f>
        <v/>
      </c>
      <c r="J48" s="505">
        <f>SUMIF(AVRintitulé,$B48,AVRdate_solde)</f>
        <v/>
      </c>
      <c r="K48" s="511">
        <f>SUMIF(AVRintitulé,$B48,AVRmontant_solde_euro)</f>
        <v/>
      </c>
      <c r="L48" s="487" t="n"/>
    </row>
    <row r="49" ht="17.25" customHeight="1" s="304">
      <c r="A49" s="497" t="inlineStr">
        <is>
          <t>devises</t>
        </is>
      </c>
      <c r="B49" s="391" t="inlineStr">
        <is>
          <t>Portefeuille eToro USD Réserve</t>
        </is>
      </c>
      <c r="C49" s="391" t="n"/>
      <c r="D49" s="503" t="inlineStr">
        <is>
          <t>USD</t>
        </is>
      </c>
      <c r="E49" s="504">
        <f>K49-(H49+I49)</f>
        <v/>
      </c>
      <c r="F49" s="363" t="n"/>
      <c r="G49" s="505">
        <f>_xlfn.MINIFS(OPdate,OPcompte,B49,OPdevise,D49,OPcatégorie,Solde)</f>
        <v/>
      </c>
      <c r="H49" s="508" t="n">
        <v>0</v>
      </c>
      <c r="I49" s="508">
        <f>SUMIFS(OPequiv_euro,OPcompte,B49,OPdevise,D49,OPcatégorie,"&lt;&gt;"&amp;Spéciale,OPdate,"&gt;="&amp;G49)</f>
        <v/>
      </c>
      <c r="J49" s="505">
        <f>SUMIF(AVRintitulé,$B49,AVRdate_solde)</f>
        <v/>
      </c>
      <c r="K49" s="504">
        <f>SUMIF(AVRintitulé,$B49,AVRmontant_solde_euro)</f>
        <v/>
      </c>
      <c r="L49" s="487" t="n"/>
    </row>
    <row r="50" ht="16.5" customHeight="1" s="304">
      <c r="A50" s="512" t="n"/>
      <c r="B50" s="512" t="n"/>
      <c r="C50" s="512" t="n"/>
      <c r="D50" s="512" t="n"/>
      <c r="E50" s="512" t="n"/>
      <c r="F50" s="512" t="n"/>
      <c r="G50" s="512" t="n"/>
      <c r="H50" s="512" t="n"/>
      <c r="I50" s="512" t="n"/>
      <c r="J50" s="512" t="n"/>
      <c r="K50" s="512" t="n"/>
    </row>
    <row r="51" ht="16.5" customHeight="1" s="304">
      <c r="A51" s="513" t="n"/>
      <c r="B51" s="513" t="inlineStr">
        <is>
          <t>GRAND TOTAL</t>
        </is>
      </c>
      <c r="C51" s="513" t="n"/>
      <c r="D51" s="514" t="inlineStr">
        <is>
          <t>EUR</t>
        </is>
      </c>
      <c r="E51" s="515">
        <f>K51-(H51+I51)</f>
        <v/>
      </c>
      <c r="F51" s="516">
        <f>E51/(I51+K51)</f>
        <v/>
      </c>
      <c r="G51" s="517">
        <f>MIN(G52:G55)</f>
        <v/>
      </c>
      <c r="H51" s="518">
        <f>SUM(H52:H55)</f>
        <v/>
      </c>
      <c r="I51" s="518">
        <f>SUM(I52:I55)</f>
        <v/>
      </c>
      <c r="J51" s="519">
        <f>MAX(J52:J55)</f>
        <v/>
      </c>
      <c r="K51" s="518">
        <f>SUM(K52:K55)</f>
        <v/>
      </c>
    </row>
    <row r="52" ht="16.5" customHeight="1" s="304">
      <c r="A52" s="391" t="n"/>
      <c r="B52" s="391" t="inlineStr">
        <is>
          <t>TOTAL portefeuilles</t>
        </is>
      </c>
      <c r="C52" s="391" t="n"/>
      <c r="D52" s="322" t="inlineStr">
        <is>
          <t>EUR</t>
        </is>
      </c>
      <c r="E52" s="520">
        <f>K52-(H52+I52)</f>
        <v/>
      </c>
      <c r="F52" s="521">
        <f>E52/(I52+K52)</f>
        <v/>
      </c>
      <c r="G52" s="522">
        <f>MIN(_xlfn.MINIFS(G:G,A:A,"portefeuilles",C:C,"Retenu",G:G,"&gt;0"))</f>
        <v/>
      </c>
      <c r="H52" s="520">
        <f>SUMIFS(H:H,A:A,"portefeuilles",C:C,"Retenu",D:D,"EUR")+SUMIFS(H:H,A:A,"portefeuilles",C:C,"Retenu",D:D,"USD")*cours_USD</f>
        <v/>
      </c>
      <c r="I52" s="520">
        <f>SUMIFS(I:I,A:A,"portefeuilles",C:C,"Retenu",D:D,"EUR")+SUMIFS(I:I,A:A,"portefeuilles",C:C,"Retenu",D:D,"USD")*cours_USD</f>
        <v/>
      </c>
      <c r="J52" s="522">
        <f>_xlfn.MAXIFS(J:J,A:A,"portefeuilles",C:C,"Retenu")</f>
        <v/>
      </c>
      <c r="K52" s="520">
        <f>SUMIFS(K:K,A:A,"portefeuilles",C:C,"Retenu",D:D,"EUR")+SUMIFS(K:K,A:A,"portefeuilles",C:C,"Retenu",D:D,"USD")*cours_USD</f>
        <v/>
      </c>
    </row>
    <row r="53" ht="16.5" customHeight="1" s="304">
      <c r="A53" s="391" t="n"/>
      <c r="B53" s="391" t="inlineStr">
        <is>
          <t>TOTAL métaux</t>
        </is>
      </c>
      <c r="C53" s="391" t="n"/>
      <c r="D53" s="322" t="inlineStr">
        <is>
          <t>EUR</t>
        </is>
      </c>
      <c r="E53" s="520">
        <f>K53-(H53+I53)</f>
        <v/>
      </c>
      <c r="F53" s="521">
        <f>E53/(I53+K53)</f>
        <v/>
      </c>
      <c r="G53" s="522">
        <f>MIN(_xlfn.MINIFS(G:G,A:A,"métaux",G:G,"&gt;0"))</f>
        <v/>
      </c>
      <c r="H53" s="520">
        <f>SUMIFS(H:H,A:A,"métaux")</f>
        <v/>
      </c>
      <c r="I53" s="520">
        <f>SUMIFS(I:I,A:A,"métaux")</f>
        <v/>
      </c>
      <c r="J53" s="522">
        <f>_xlfn.MAXIFS(J:J,A:A,"métaux")</f>
        <v/>
      </c>
      <c r="K53" s="520">
        <f>SUMIFS(K:K,A:A,"métaux")</f>
        <v/>
      </c>
    </row>
    <row r="54" ht="16.5" customHeight="1" s="304">
      <c r="A54" s="391" t="n"/>
      <c r="B54" s="391" t="inlineStr">
        <is>
          <t>TOTAL crypto-monnaies</t>
        </is>
      </c>
      <c r="C54" s="391" t="n"/>
      <c r="D54" s="322" t="inlineStr">
        <is>
          <t>EUR</t>
        </is>
      </c>
      <c r="E54" s="520">
        <f>K54-(H54+I54)</f>
        <v/>
      </c>
      <c r="F54" s="521">
        <f>E54/(I54+K54)</f>
        <v/>
      </c>
      <c r="G54" s="522">
        <f>MIN(_xlfn.MINIFS(G:G,A:A,"crypto",G:G,"&gt;0"))</f>
        <v/>
      </c>
      <c r="H54" s="520">
        <f>SUMIFS(H:H,A:A,"crypto")</f>
        <v/>
      </c>
      <c r="I54" s="520">
        <f>SUMIFS(I:I,A:A,"crypto")</f>
        <v/>
      </c>
      <c r="J54" s="522">
        <f>_xlfn.MAXIFS(J:J,A:A,"crypto")</f>
        <v/>
      </c>
      <c r="K54" s="520">
        <f>SUMIFS(K:K,A:A,"crypto")</f>
        <v/>
      </c>
    </row>
    <row r="55" ht="16.5" customHeight="1" s="304">
      <c r="A55" s="391" t="n"/>
      <c r="B55" s="391" t="inlineStr">
        <is>
          <t>TOTAL devises</t>
        </is>
      </c>
      <c r="C55" s="391" t="n"/>
      <c r="D55" s="322" t="inlineStr">
        <is>
          <t>EUR</t>
        </is>
      </c>
      <c r="E55" s="520">
        <f>K55-(H55+I55)</f>
        <v/>
      </c>
      <c r="F55" s="523">
        <f>E55/(I55+K55)</f>
        <v/>
      </c>
      <c r="G55" s="522">
        <f>MIN(_xlfn.MINIFS(G:G,A:A,"devises",G:G,"&gt;0"))</f>
        <v/>
      </c>
      <c r="H55" s="520">
        <f>SUMIFS(H:H,A:A,"devises")</f>
        <v/>
      </c>
      <c r="I55" s="520">
        <f>SUMIFS(I:I,A:A,"devises")</f>
        <v/>
      </c>
      <c r="J55" s="522">
        <f>_xlfn.MAXIFS(J:J,A:A,"devises")</f>
        <v/>
      </c>
      <c r="K55" s="520">
        <f>SUMIFS(K:K,A:A,"devises")</f>
        <v/>
      </c>
    </row>
    <row r="56" ht="16.5" customHeight="1" s="304"/>
    <row r="57" ht="16.5" customHeight="1" s="304">
      <c r="H57" s="524" t="n"/>
    </row>
    <row r="58" ht="16.5" customHeight="1" s="304"/>
    <row r="59" ht="16.5" customHeight="1" s="304"/>
    <row r="60" ht="17.25" customHeight="1" s="304"/>
    <row r="61" ht="17.25" customHeight="1" s="304"/>
    <row r="1048505" ht="12.8" customHeight="1" s="304"/>
    <row r="1048506" ht="12.8" customHeight="1" s="304"/>
    <row r="1048507" ht="12.8" customHeight="1" s="304"/>
    <row r="1048508" ht="12.8" customHeight="1" s="304"/>
    <row r="1048509" ht="12.8" customHeight="1" s="304"/>
    <row r="1048510" ht="12.8" customHeight="1" s="304"/>
    <row r="1048511" ht="12.8" customHeight="1" s="304"/>
    <row r="1048512" ht="12.8" customHeight="1" s="304"/>
    <row r="1048513" ht="12.8" customHeight="1" s="304"/>
    <row r="1048514" ht="12.8" customHeight="1" s="304"/>
    <row r="1048515" ht="12.8" customHeight="1" s="304"/>
    <row r="1048516" ht="12.8" customHeight="1" s="304"/>
    <row r="1048517" ht="12.8" customHeight="1" s="304"/>
    <row r="1048518" ht="12.8" customHeight="1" s="304"/>
    <row r="1048519" ht="12.8" customHeight="1" s="304"/>
    <row r="1048520" ht="12.8" customHeight="1" s="304"/>
    <row r="1048521" ht="12.8" customHeight="1" s="304"/>
    <row r="1048522" ht="12.8" customHeight="1" s="304"/>
    <row r="1048523" ht="12.8" customHeight="1" s="304"/>
    <row r="1048524" ht="12.8" customHeight="1" s="304"/>
    <row r="1048525" ht="12.8" customHeight="1" s="304"/>
    <row r="1048526" ht="12.8" customHeight="1" s="304"/>
    <row r="1048527" ht="12.8" customHeight="1" s="304"/>
    <row r="1048528" ht="12.8" customHeight="1" s="304"/>
    <row r="1048529" ht="12.8" customHeight="1" s="304"/>
    <row r="1048530" ht="12.8" customHeight="1" s="304"/>
    <row r="1048531" ht="12.8" customHeight="1" s="304"/>
    <row r="1048532" ht="12.8" customHeight="1" s="304"/>
    <row r="1048533" ht="12.8" customHeight="1" s="304"/>
    <row r="1048534" ht="12.8" customHeight="1" s="304"/>
    <row r="1048535" ht="12.8" customHeight="1" s="304"/>
    <row r="1048536" ht="12.8" customHeight="1" s="304"/>
    <row r="1048537" ht="12.8" customHeight="1" s="304"/>
    <row r="1048538" ht="12.8" customHeight="1" s="304"/>
    <row r="1048539" ht="12.8" customHeight="1" s="304"/>
    <row r="1048540" ht="12.8" customHeight="1" s="304"/>
    <row r="1048541" ht="12.8" customHeight="1" s="304"/>
    <row r="1048542" ht="12.8" customHeight="1" s="304"/>
    <row r="1048543" ht="12.8" customHeight="1" s="304"/>
    <row r="1048544" ht="12.8" customHeight="1" s="304"/>
    <row r="1048545" ht="12.8" customHeight="1" s="304"/>
    <row r="1048546" ht="12.8" customHeight="1" s="304"/>
    <row r="1048547" ht="12.8" customHeight="1" s="304"/>
    <row r="1048548" ht="12.8" customHeight="1" s="304"/>
    <row r="1048549" ht="12.8" customHeight="1" s="304"/>
    <row r="1048550" ht="12.8" customHeight="1" s="304"/>
    <row r="1048551" ht="12.8" customHeight="1" s="304"/>
    <row r="1048552" ht="12.8" customHeight="1" s="304"/>
    <row r="1048553" ht="12.8" customHeight="1" s="304"/>
    <row r="1048554" ht="12.8" customHeight="1" s="304"/>
    <row r="1048555" ht="12.8" customHeight="1" s="304"/>
    <row r="1048556" ht="12.8" customHeight="1" s="304"/>
    <row r="1048557" ht="12.8" customHeight="1" s="304"/>
    <row r="1048558" ht="12.8" customHeight="1" s="304"/>
    <row r="1048559" ht="12.8" customHeight="1" s="304"/>
    <row r="1048560" ht="12.8" customHeight="1" s="304"/>
    <row r="1048561" ht="12.8" customHeight="1" s="304"/>
    <row r="1048562" ht="12.8" customHeight="1" s="304"/>
    <row r="1048563" ht="12.8" customHeight="1" s="304"/>
    <row r="1048564" ht="12.8" customHeight="1" s="304"/>
    <row r="1048565" ht="12.8" customHeight="1" s="304"/>
    <row r="1048566" ht="12.8" customHeight="1" s="304"/>
    <row r="1048567" ht="12.8" customHeight="1" s="304"/>
    <row r="1048568" ht="12.8" customHeight="1" s="304"/>
    <row r="1048569" ht="12.8" customHeight="1" s="304"/>
    <row r="1048570" ht="12.8" customHeight="1" s="304"/>
    <row r="1048571" ht="12.8" customHeight="1" s="304"/>
    <row r="1048572" ht="12.8" customHeight="1" s="304"/>
    <row r="1048573" ht="12.8" customHeight="1" s="304"/>
    <row r="1048574" ht="12.8" customHeight="1" s="304"/>
    <row r="1048575" ht="12.8" customHeight="1" s="304"/>
    <row r="1048576" ht="12.8" customHeight="1" s="304"/>
  </sheetData>
  <conditionalFormatting sqref="B2">
    <cfRule type="expression" rank="0" priority="2" equalAverage="0" aboveAverage="0" dxfId="1" text="" percent="0" bottom="0">
      <formula>NOT(ISERROR(FIND("✗",INDIRECT("RC",0))))</formula>
    </cfRule>
    <cfRule type="expression" rank="0" priority="3" equalAverage="0" aboveAverage="0" dxfId="2" text="" percent="0" bottom="0">
      <formula>NOT(ISERROR(FIND("⚠",INDIRECT("RC",0))))</formula>
    </cfRule>
  </conditionalFormatting>
  <printOptions horizontalCentered="0" verticalCentered="0" headings="0" gridLines="0" gridLinesSet="1"/>
  <pageMargins left="1" right="1" top="0.25" bottom="0.402777777777778" header="0.511811023622047" footer="0.2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&amp;C&amp;"Helvetica Neue,Normal"&amp;11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02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6.00390625" defaultRowHeight="13.5" customHeight="1" zeroHeight="0" outlineLevelRow="0"/>
  <cols>
    <col width="12.39" customWidth="1" style="525" min="1" max="1"/>
    <col width="34.31" customWidth="1" style="347" min="2" max="2"/>
    <col width="17" customWidth="1" style="347" min="3" max="3"/>
    <col width="10.33" customWidth="1" style="347" min="4" max="4"/>
    <col width="12.61" customWidth="1" style="347" min="5" max="5"/>
    <col width="8.130000000000001" customWidth="1" style="347" min="6" max="6"/>
    <col width="26.88" customWidth="1" style="347" min="7" max="7"/>
    <col width="24.9" customWidth="1" style="347" min="8" max="8"/>
    <col width="32" customWidth="1" style="347" min="9" max="9"/>
    <col width="29.83" customWidth="1" style="347" min="10" max="10"/>
    <col width="22.83" customWidth="1" style="347" min="11" max="11"/>
    <col width="6" customWidth="1" style="347" min="12" max="16379"/>
    <col width="11.5" customWidth="1" style="303" min="16380" max="16380"/>
    <col width="11.53" customWidth="1" style="303" min="16381" max="16384"/>
  </cols>
  <sheetData>
    <row r="1" ht="16.5" customHeight="1" s="304">
      <c r="A1" s="360" t="inlineStr">
        <is>
          <t>Aujourd‘hui</t>
        </is>
      </c>
      <c r="B1" s="308" t="n"/>
      <c r="C1" s="308">
        <f>"Les données "&amp;année_courante&amp;" et "&amp;année_courante-1&amp;" sont complètes. Les données antérieures sont limitées à certains comptes"</f>
        <v/>
      </c>
      <c r="D1" s="308" t="n"/>
      <c r="E1" s="526" t="n"/>
      <c r="F1" s="317" t="inlineStr">
        <is>
          <t>Compteur</t>
        </is>
      </c>
      <c r="G1" s="308" t="n"/>
      <c r="H1" s="308" t="n"/>
      <c r="I1" s="308" t="n"/>
    </row>
    <row r="2" ht="16.5" customHeight="1" s="304">
      <c r="A2" s="527">
        <f>TODAY()</f>
        <v/>
      </c>
      <c r="B2" s="354">
        <f>Contrôles!N$48</f>
        <v/>
      </c>
      <c r="C2" s="528" t="n"/>
      <c r="D2" s="308" t="n"/>
      <c r="E2" s="526" t="n"/>
      <c r="F2" s="529" t="n">
        <v>0</v>
      </c>
      <c r="G2" s="315">
        <f>"Opérations : "&amp;COUNTIF(OPdate,"&lt;"&amp;DATE(année_courante,12,31))</f>
        <v/>
      </c>
      <c r="H2" s="308" t="n"/>
      <c r="I2" s="308" t="n"/>
    </row>
    <row r="3" ht="15.45" customHeight="1" s="304">
      <c r="A3" s="357" t="inlineStr">
        <is>
          <t>Date</t>
        </is>
      </c>
      <c r="B3" s="530" t="inlineStr">
        <is>
          <t>Libellé</t>
        </is>
      </c>
      <c r="C3" s="357" t="inlineStr">
        <is>
          <t>Montant</t>
        </is>
      </c>
      <c r="D3" s="357" t="inlineStr">
        <is>
          <t>Devise</t>
        </is>
      </c>
      <c r="E3" s="357" t="inlineStr">
        <is>
          <t>Eq. €</t>
        </is>
      </c>
      <c r="F3" s="361" t="inlineStr">
        <is>
          <t>Réf.</t>
        </is>
      </c>
      <c r="G3" s="357" t="inlineStr">
        <is>
          <t>Catégorie</t>
        </is>
      </c>
      <c r="H3" s="357" t="inlineStr">
        <is>
          <t>Compte</t>
        </is>
      </c>
      <c r="I3" s="360" t="inlineStr">
        <is>
          <t>Commentaire</t>
        </is>
      </c>
    </row>
    <row r="4" ht="16.5" customHeight="1" s="304">
      <c r="A4" s="531" t="n">
        <v>44927</v>
      </c>
      <c r="B4" s="532" t="inlineStr">
        <is>
          <t>Relevé compte</t>
        </is>
      </c>
      <c r="C4" s="533" t="n">
        <v>503110</v>
      </c>
      <c r="D4" s="534" t="inlineStr">
        <is>
          <t>SAT</t>
        </is>
      </c>
      <c r="E4" s="533" t="n"/>
      <c r="F4" s="535" t="n"/>
      <c r="G4" s="536" t="inlineStr">
        <is>
          <t>#Solde</t>
        </is>
      </c>
      <c r="H4" s="536" t="inlineStr">
        <is>
          <t>BlueWallet BTC</t>
        </is>
      </c>
      <c r="I4" s="537" t="inlineStr">
        <is>
          <t>SAT = 1 / 100 000 000 Bitcoin</t>
        </is>
      </c>
    </row>
    <row r="5" ht="16.5" customHeight="1" s="304">
      <c r="A5" s="531" t="n">
        <v>44927</v>
      </c>
      <c r="B5" s="538" t="inlineStr">
        <is>
          <t>Relevé compte</t>
        </is>
      </c>
      <c r="C5" s="539" t="n">
        <v>5000</v>
      </c>
      <c r="D5" s="540" t="inlineStr">
        <is>
          <t>EUR</t>
        </is>
      </c>
      <c r="E5" s="539" t="n"/>
      <c r="F5" s="541" t="n"/>
      <c r="G5" s="538" t="inlineStr">
        <is>
          <t>#Solde</t>
        </is>
      </c>
      <c r="H5" s="538" t="inlineStr">
        <is>
          <t>Compte chèque commun</t>
        </is>
      </c>
    </row>
    <row r="6" ht="16.5" customHeight="1" s="304">
      <c r="A6" s="531" t="n">
        <v>44927</v>
      </c>
      <c r="B6" s="538" t="inlineStr">
        <is>
          <t>Relevé compte</t>
        </is>
      </c>
      <c r="C6" s="539" t="n">
        <v>0</v>
      </c>
      <c r="D6" s="540" t="inlineStr">
        <is>
          <t>EUR</t>
        </is>
      </c>
      <c r="E6" s="539" t="n"/>
      <c r="F6" s="541" t="n"/>
      <c r="G6" s="538" t="inlineStr">
        <is>
          <t>#Solde</t>
        </is>
      </c>
      <c r="H6" s="538" t="inlineStr">
        <is>
          <t>Compte Paypal</t>
        </is>
      </c>
    </row>
    <row r="7" ht="16.5" customHeight="1" s="304">
      <c r="A7" s="531" t="n">
        <v>44927</v>
      </c>
      <c r="B7" s="538" t="inlineStr">
        <is>
          <t>Relevé compte</t>
        </is>
      </c>
      <c r="C7" s="539" t="n">
        <v>0</v>
      </c>
      <c r="D7" s="540" t="inlineStr">
        <is>
          <t>EUR</t>
        </is>
      </c>
      <c r="E7" s="539" t="n"/>
      <c r="F7" s="541" t="n"/>
      <c r="G7" s="538" t="inlineStr">
        <is>
          <t>#Solde</t>
        </is>
      </c>
      <c r="H7" s="538" t="inlineStr">
        <is>
          <t>Assurance vie Alice</t>
        </is>
      </c>
    </row>
    <row r="8" ht="16.5" customHeight="1" s="304">
      <c r="A8" s="531" t="n">
        <v>44927</v>
      </c>
      <c r="B8" s="538" t="inlineStr">
        <is>
          <t>Relevé compte</t>
        </is>
      </c>
      <c r="C8" s="539" t="n">
        <v>0</v>
      </c>
      <c r="D8" s="540" t="inlineStr">
        <is>
          <t>EUR</t>
        </is>
      </c>
      <c r="E8" s="539" t="n"/>
      <c r="F8" s="541" t="n"/>
      <c r="G8" s="538" t="inlineStr">
        <is>
          <t>#Solde</t>
        </is>
      </c>
      <c r="H8" s="538" t="inlineStr">
        <is>
          <t>Livret A Barnabé</t>
        </is>
      </c>
    </row>
    <row r="9" ht="16.5" customHeight="1" s="304">
      <c r="A9" s="531" t="n">
        <v>44927</v>
      </c>
      <c r="B9" s="538" t="inlineStr">
        <is>
          <t>Relevé compte</t>
        </is>
      </c>
      <c r="C9" s="539" t="n">
        <v>0</v>
      </c>
      <c r="D9" s="540" t="inlineStr">
        <is>
          <t>EUR</t>
        </is>
      </c>
      <c r="E9" s="539" t="n"/>
      <c r="F9" s="541" t="n"/>
      <c r="G9" s="538" t="inlineStr">
        <is>
          <t>#Solde</t>
        </is>
      </c>
      <c r="H9" s="538" t="inlineStr">
        <is>
          <t>PEE Alice</t>
        </is>
      </c>
    </row>
    <row r="10" ht="16.5" customHeight="1" s="304">
      <c r="A10" s="531" t="n">
        <v>44927</v>
      </c>
      <c r="B10" s="538" t="inlineStr">
        <is>
          <t>Relevé compte</t>
        </is>
      </c>
      <c r="C10" s="539" t="n">
        <v>0</v>
      </c>
      <c r="D10" s="540" t="inlineStr">
        <is>
          <t>EUR</t>
        </is>
      </c>
      <c r="E10" s="539" t="n"/>
      <c r="F10" s="541" t="n"/>
      <c r="G10" s="538" t="inlineStr">
        <is>
          <t>#Solde</t>
        </is>
      </c>
      <c r="H10" s="538" t="inlineStr">
        <is>
          <t>Compte chèque BB</t>
        </is>
      </c>
    </row>
    <row r="11" ht="16.5" customHeight="1" s="304">
      <c r="A11" s="531" t="n">
        <v>44927</v>
      </c>
      <c r="B11" s="538" t="inlineStr">
        <is>
          <t>Relevé compte</t>
        </is>
      </c>
      <c r="C11" s="539" t="n">
        <v>0</v>
      </c>
      <c r="D11" s="540" t="inlineStr">
        <is>
          <t>EUR</t>
        </is>
      </c>
      <c r="E11" s="539" t="n"/>
      <c r="F11" s="541" t="n"/>
      <c r="G11" s="538" t="inlineStr">
        <is>
          <t>#Solde</t>
        </is>
      </c>
      <c r="H11" s="538" t="inlineStr">
        <is>
          <t>Portefeuille BB Titres</t>
        </is>
      </c>
    </row>
    <row r="12" ht="16.5" customHeight="1" s="304">
      <c r="A12" s="531" t="n">
        <v>44927</v>
      </c>
      <c r="B12" s="538" t="inlineStr">
        <is>
          <t>Relevé compte</t>
        </is>
      </c>
      <c r="C12" s="539" t="n">
        <v>0</v>
      </c>
      <c r="D12" s="540" t="inlineStr">
        <is>
          <t>EUR</t>
        </is>
      </c>
      <c r="E12" s="539" t="n"/>
      <c r="F12" s="541" t="n"/>
      <c r="G12" s="538" t="inlineStr">
        <is>
          <t>#Solde</t>
        </is>
      </c>
      <c r="H12" s="538" t="inlineStr">
        <is>
          <t>Portefeuille DEGIRO Titres</t>
        </is>
      </c>
    </row>
    <row r="13" ht="16.5" customHeight="1" s="304">
      <c r="A13" s="531" t="n">
        <v>44927</v>
      </c>
      <c r="B13" s="538" t="inlineStr">
        <is>
          <t>Relevé compte</t>
        </is>
      </c>
      <c r="C13" s="539" t="n">
        <v>0</v>
      </c>
      <c r="D13" s="540" t="inlineStr">
        <is>
          <t>EUR</t>
        </is>
      </c>
      <c r="E13" s="539" t="n"/>
      <c r="F13" s="541" t="n"/>
      <c r="G13" s="538" t="inlineStr">
        <is>
          <t>#Solde</t>
        </is>
      </c>
      <c r="H13" s="538" t="inlineStr">
        <is>
          <t>Portefeuille DEGIRO Réserve</t>
        </is>
      </c>
    </row>
    <row r="14" ht="16.5" customHeight="1" s="304">
      <c r="A14" s="531" t="n">
        <v>44927</v>
      </c>
      <c r="B14" s="538" t="inlineStr">
        <is>
          <t>Relevé compte</t>
        </is>
      </c>
      <c r="C14" s="539" t="n">
        <v>0</v>
      </c>
      <c r="D14" s="540" t="inlineStr">
        <is>
          <t>EUR</t>
        </is>
      </c>
      <c r="E14" s="539" t="n"/>
      <c r="F14" s="541" t="n"/>
      <c r="G14" s="538" t="inlineStr">
        <is>
          <t>#Solde</t>
        </is>
      </c>
      <c r="H14" s="538" t="inlineStr">
        <is>
          <t>Compte Wise EUR</t>
        </is>
      </c>
    </row>
    <row r="15" ht="16.5" customHeight="1" s="304">
      <c r="A15" s="531" t="n">
        <v>44927</v>
      </c>
      <c r="B15" s="538" t="inlineStr">
        <is>
          <t>Relevé compte</t>
        </is>
      </c>
      <c r="C15" s="539" t="n">
        <v>0</v>
      </c>
      <c r="D15" s="540" t="inlineStr">
        <is>
          <t>USD</t>
        </is>
      </c>
      <c r="E15" s="539" t="n"/>
      <c r="F15" s="541" t="n"/>
      <c r="G15" s="538" t="inlineStr">
        <is>
          <t>#Solde</t>
        </is>
      </c>
      <c r="H15" s="538" t="inlineStr">
        <is>
          <t>Compte Wise USD</t>
        </is>
      </c>
    </row>
    <row r="16" ht="16.5" customHeight="1" s="304">
      <c r="A16" s="531" t="n">
        <v>44927</v>
      </c>
      <c r="B16" s="538" t="inlineStr">
        <is>
          <t>Relevé compte</t>
        </is>
      </c>
      <c r="C16" s="539" t="n">
        <v>0</v>
      </c>
      <c r="D16" s="540" t="inlineStr">
        <is>
          <t>SGD</t>
        </is>
      </c>
      <c r="E16" s="539" t="n"/>
      <c r="F16" s="541" t="n"/>
      <c r="G16" s="538" t="inlineStr">
        <is>
          <t>#Solde</t>
        </is>
      </c>
      <c r="H16" s="538" t="inlineStr">
        <is>
          <t>Compte Wise SGD</t>
        </is>
      </c>
    </row>
    <row r="17" ht="16.5" customHeight="1" s="304">
      <c r="A17" s="531" t="n">
        <v>44927</v>
      </c>
      <c r="B17" s="538" t="inlineStr">
        <is>
          <t>Relevé compte</t>
        </is>
      </c>
      <c r="C17" s="539" t="n">
        <v>0</v>
      </c>
      <c r="D17" s="540" t="inlineStr">
        <is>
          <t>XMR</t>
        </is>
      </c>
      <c r="E17" s="539" t="n"/>
      <c r="F17" s="541" t="n"/>
      <c r="G17" s="538" t="inlineStr">
        <is>
          <t>#Solde</t>
        </is>
      </c>
      <c r="H17" s="538" t="inlineStr">
        <is>
          <t>Cake Wallet XMR</t>
        </is>
      </c>
    </row>
    <row r="18" ht="16.5" customHeight="1" s="304">
      <c r="A18" s="531" t="n">
        <v>44927</v>
      </c>
      <c r="B18" s="538" t="inlineStr">
        <is>
          <t>Relevé compte</t>
        </is>
      </c>
      <c r="C18" s="539" t="n">
        <v>0</v>
      </c>
      <c r="D18" s="540" t="inlineStr">
        <is>
          <t>EUR</t>
        </is>
      </c>
      <c r="E18" s="539" t="n"/>
      <c r="F18" s="541" t="n"/>
      <c r="G18" s="538" t="inlineStr">
        <is>
          <t>#Solde</t>
        </is>
      </c>
      <c r="H18" s="538" t="inlineStr">
        <is>
          <t>Portefeuille BB Réserve</t>
        </is>
      </c>
    </row>
    <row r="19" ht="16.5" customHeight="1" s="304">
      <c r="A19" s="531" t="n">
        <v>44927</v>
      </c>
      <c r="B19" s="538" t="inlineStr">
        <is>
          <t>Relevé compte</t>
        </is>
      </c>
      <c r="C19" s="539" t="n">
        <v>0</v>
      </c>
      <c r="D19" s="540" t="inlineStr">
        <is>
          <t>SAT</t>
        </is>
      </c>
      <c r="E19" s="539" t="n"/>
      <c r="F19" s="541" t="n"/>
      <c r="G19" s="538" t="inlineStr">
        <is>
          <t>#Solde</t>
        </is>
      </c>
      <c r="H19" s="538" t="inlineStr">
        <is>
          <t>Phoenix Lightning BTC</t>
        </is>
      </c>
    </row>
    <row r="20" ht="16.5" customHeight="1" s="304">
      <c r="A20" s="531" t="n">
        <v>44968</v>
      </c>
      <c r="B20" s="538" t="inlineStr">
        <is>
          <t>Transfert bitcoin -&gt; lightning</t>
        </is>
      </c>
      <c r="C20" s="539" t="n">
        <v>-280000</v>
      </c>
      <c r="D20" s="540" t="inlineStr">
        <is>
          <t>SAT</t>
        </is>
      </c>
      <c r="E20" s="539" t="n">
        <v>-50</v>
      </c>
      <c r="F20" s="541" t="inlineStr">
        <is>
          <t>V1</t>
        </is>
      </c>
      <c r="G20" s="538" t="inlineStr">
        <is>
          <t>Virement</t>
        </is>
      </c>
      <c r="H20" s="538" t="inlineStr">
        <is>
          <t>BlueWallet BTC</t>
        </is>
      </c>
    </row>
    <row r="21" ht="16.5" customHeight="1" s="304">
      <c r="A21" s="531" t="n">
        <v>44968</v>
      </c>
      <c r="B21" s="538" t="inlineStr">
        <is>
          <t>Id</t>
        </is>
      </c>
      <c r="C21" s="539" t="n">
        <v>-584</v>
      </c>
      <c r="D21" s="540" t="inlineStr">
        <is>
          <t>SAT</t>
        </is>
      </c>
      <c r="E21" s="539" t="n"/>
      <c r="F21" s="541" t="n"/>
      <c r="G21" s="538" t="inlineStr">
        <is>
          <t>Frais bancaires</t>
        </is>
      </c>
      <c r="H21" s="538" t="inlineStr">
        <is>
          <t>BlueWallet BTC</t>
        </is>
      </c>
    </row>
    <row r="22" ht="16.5" customHeight="1" s="304">
      <c r="A22" s="531" t="n">
        <v>44983</v>
      </c>
      <c r="B22" s="538" t="inlineStr">
        <is>
          <t>Id</t>
        </is>
      </c>
      <c r="C22" s="539" t="n">
        <v>280000</v>
      </c>
      <c r="D22" s="540" t="inlineStr">
        <is>
          <t>SAT</t>
        </is>
      </c>
      <c r="E22" s="539" t="n">
        <v>50</v>
      </c>
      <c r="F22" s="541" t="inlineStr">
        <is>
          <t>V1</t>
        </is>
      </c>
      <c r="G22" s="538" t="inlineStr">
        <is>
          <t>Virement</t>
        </is>
      </c>
      <c r="H22" s="538" t="inlineStr">
        <is>
          <t>Phoenix Lightning BTC</t>
        </is>
      </c>
    </row>
    <row r="23" ht="16.5" customHeight="1" s="304">
      <c r="A23" s="531" t="n">
        <v>44983</v>
      </c>
      <c r="B23" s="538" t="inlineStr">
        <is>
          <t>Id</t>
        </is>
      </c>
      <c r="C23" s="539" t="n">
        <v>-1200</v>
      </c>
      <c r="D23" s="540" t="inlineStr">
        <is>
          <t>SAT</t>
        </is>
      </c>
      <c r="E23" s="539" t="n"/>
      <c r="F23" s="541" t="n"/>
      <c r="G23" s="538" t="inlineStr">
        <is>
          <t>Frais bancaires</t>
        </is>
      </c>
      <c r="H23" s="538" t="inlineStr">
        <is>
          <t>Phoenix Lightning BTC</t>
        </is>
      </c>
    </row>
    <row r="24" ht="16.5" customHeight="1" s="304">
      <c r="A24" s="531" t="n">
        <v>44999</v>
      </c>
      <c r="B24" s="538" t="inlineStr">
        <is>
          <t>Relevé compte</t>
        </is>
      </c>
      <c r="C24" s="539" t="n">
        <v>0</v>
      </c>
      <c r="D24" s="540" t="inlineStr">
        <is>
          <t>EUR</t>
        </is>
      </c>
      <c r="E24" s="539" t="n"/>
      <c r="F24" s="541" t="n"/>
      <c r="G24" s="538" t="inlineStr">
        <is>
          <t>#Solde</t>
        </is>
      </c>
      <c r="H24" s="538" t="inlineStr">
        <is>
          <t>Compte Amazon</t>
        </is>
      </c>
    </row>
    <row r="25" ht="16.5" customHeight="1" s="304">
      <c r="A25" s="531" t="n">
        <v>45000</v>
      </c>
      <c r="B25" s="538" t="inlineStr">
        <is>
          <t xml:space="preserve">Achat carte cadeau Amazon </t>
        </is>
      </c>
      <c r="C25" s="539" t="n">
        <v>-218292</v>
      </c>
      <c r="D25" s="540" t="inlineStr">
        <is>
          <t>SAT</t>
        </is>
      </c>
      <c r="E25" s="539" t="n">
        <v>-50</v>
      </c>
      <c r="F25" s="541" t="inlineStr">
        <is>
          <t>eur2</t>
        </is>
      </c>
      <c r="G25" s="538" t="inlineStr">
        <is>
          <t>Change</t>
        </is>
      </c>
      <c r="H25" s="538" t="inlineStr">
        <is>
          <t>BlueWallet BTC</t>
        </is>
      </c>
    </row>
    <row r="26" ht="16.5" customHeight="1" s="304">
      <c r="A26" s="531" t="n">
        <v>45000</v>
      </c>
      <c r="B26" s="538" t="inlineStr">
        <is>
          <t>Id</t>
        </is>
      </c>
      <c r="C26" s="539" t="n">
        <v>-4234</v>
      </c>
      <c r="D26" s="540" t="inlineStr">
        <is>
          <t>SAT</t>
        </is>
      </c>
      <c r="E26" s="539" t="n"/>
      <c r="F26" s="541" t="n"/>
      <c r="G26" s="538" t="inlineStr">
        <is>
          <t>Frais bancaires</t>
        </is>
      </c>
      <c r="H26" s="538" t="inlineStr">
        <is>
          <t>BlueWallet BTC</t>
        </is>
      </c>
    </row>
    <row r="27" ht="16.5" customHeight="1" s="304">
      <c r="A27" s="531" t="n">
        <v>45000</v>
      </c>
      <c r="B27" s="538" t="inlineStr">
        <is>
          <t>Id</t>
        </is>
      </c>
      <c r="C27" s="539" t="n">
        <v>50</v>
      </c>
      <c r="D27" s="540" t="inlineStr">
        <is>
          <t>EUR</t>
        </is>
      </c>
      <c r="E27" s="539" t="n">
        <v>50</v>
      </c>
      <c r="F27" s="541" t="inlineStr">
        <is>
          <t>eur2</t>
        </is>
      </c>
      <c r="G27" s="538" t="inlineStr">
        <is>
          <t>Change</t>
        </is>
      </c>
      <c r="H27" s="538" t="inlineStr">
        <is>
          <t>Compte Amazon</t>
        </is>
      </c>
    </row>
    <row r="28" ht="16.5" customHeight="1" s="304">
      <c r="A28" s="531" t="n">
        <v>45047</v>
      </c>
      <c r="B28" s="538" t="inlineStr">
        <is>
          <t>Relevé compte</t>
        </is>
      </c>
      <c r="C28" s="539" t="n">
        <v>0</v>
      </c>
      <c r="D28" s="540" t="inlineStr">
        <is>
          <t>OrPr</t>
        </is>
      </c>
      <c r="E28" s="539" t="n"/>
      <c r="F28" s="541" t="n"/>
      <c r="G28" s="538" t="inlineStr">
        <is>
          <t>#Solde</t>
        </is>
      </c>
      <c r="H28" s="538" t="inlineStr">
        <is>
          <t>Pièces or</t>
        </is>
      </c>
    </row>
    <row r="29" ht="16.5" customHeight="1" s="304">
      <c r="A29" s="531" t="n">
        <v>45048</v>
      </c>
      <c r="B29" s="538" t="inlineStr">
        <is>
          <t>CMA</t>
        </is>
      </c>
      <c r="C29" s="539" t="n">
        <v>14.09344</v>
      </c>
      <c r="D29" s="540" t="inlineStr">
        <is>
          <t>OrPr</t>
        </is>
      </c>
      <c r="E29" s="539" t="n">
        <v>990</v>
      </c>
      <c r="F29" s="541" t="inlineStr">
        <is>
          <t>OrPr3</t>
        </is>
      </c>
      <c r="G29" s="538" t="inlineStr">
        <is>
          <t>Change</t>
        </is>
      </c>
      <c r="H29" s="538" t="inlineStr">
        <is>
          <t>Pièces or</t>
        </is>
      </c>
    </row>
    <row r="30" ht="16.5" customHeight="1" s="304">
      <c r="A30" s="531" t="n">
        <v>45048</v>
      </c>
      <c r="B30" s="538" t="inlineStr">
        <is>
          <t>Commission CMA</t>
        </is>
      </c>
      <c r="C30" s="539" t="n">
        <v>-39.6</v>
      </c>
      <c r="D30" s="540" t="inlineStr">
        <is>
          <t>EUR</t>
        </is>
      </c>
      <c r="E30" s="539" t="n"/>
      <c r="F30" s="541" t="n"/>
      <c r="G30" s="538" t="inlineStr">
        <is>
          <t>#Info</t>
        </is>
      </c>
      <c r="H30" s="538" t="inlineStr">
        <is>
          <t>Pièces or</t>
        </is>
      </c>
      <c r="I30" s="347" t="inlineStr">
        <is>
          <t>Opération non comptabilisée</t>
        </is>
      </c>
    </row>
    <row r="31" ht="16.5" customHeight="1" s="304">
      <c r="A31" s="531" t="n">
        <v>45048</v>
      </c>
      <c r="B31" s="538" t="inlineStr">
        <is>
          <t>VIR. LOGITEL</t>
        </is>
      </c>
      <c r="C31" s="539" t="n">
        <v>-990</v>
      </c>
      <c r="D31" s="540" t="inlineStr">
        <is>
          <t>EUR</t>
        </is>
      </c>
      <c r="E31" s="539" t="n">
        <v>-990</v>
      </c>
      <c r="F31" s="541" t="inlineStr">
        <is>
          <t>OrPr3</t>
        </is>
      </c>
      <c r="G31" s="538" t="inlineStr">
        <is>
          <t>Change</t>
        </is>
      </c>
      <c r="H31" s="538" t="inlineStr">
        <is>
          <t>Compte chèque commun</t>
        </is>
      </c>
    </row>
    <row r="32" ht="16.5" customHeight="1" s="304">
      <c r="A32" s="531" t="n">
        <v>45292</v>
      </c>
      <c r="B32" s="538" t="inlineStr">
        <is>
          <t>Relevé compte</t>
        </is>
      </c>
      <c r="C32" s="539" t="n">
        <v>0</v>
      </c>
      <c r="D32" s="540" t="inlineStr">
        <is>
          <t>SAT</t>
        </is>
      </c>
      <c r="E32" s="539" t="n"/>
      <c r="F32" s="541" t="n"/>
      <c r="G32" s="538" t="inlineStr">
        <is>
          <t>#Solde</t>
        </is>
      </c>
      <c r="H32" s="538" t="inlineStr">
        <is>
          <t>BlueWallet BTC</t>
        </is>
      </c>
    </row>
    <row r="33" ht="16.5" customHeight="1" s="304">
      <c r="A33" s="531" t="n">
        <v>45292</v>
      </c>
      <c r="B33" s="538" t="inlineStr">
        <is>
          <t>Relevé compte</t>
        </is>
      </c>
      <c r="C33" s="539" t="n">
        <v>278800</v>
      </c>
      <c r="D33" s="540" t="inlineStr">
        <is>
          <t>SAT</t>
        </is>
      </c>
      <c r="E33" s="539" t="n"/>
      <c r="F33" s="541" t="n"/>
      <c r="G33" s="538" t="inlineStr">
        <is>
          <t>#Solde</t>
        </is>
      </c>
      <c r="H33" s="538" t="inlineStr">
        <is>
          <t>Phoenix Lightning BTC</t>
        </is>
      </c>
    </row>
    <row r="34" ht="16.5" customHeight="1" s="304">
      <c r="A34" s="531" t="n">
        <v>45457</v>
      </c>
      <c r="B34" s="538" t="inlineStr">
        <is>
          <t>Relevé compte</t>
        </is>
      </c>
      <c r="C34" s="539" t="n">
        <v>14.09344</v>
      </c>
      <c r="D34" s="540" t="inlineStr">
        <is>
          <t>OrPr</t>
        </is>
      </c>
      <c r="E34" s="539" t="n"/>
      <c r="F34" s="541" t="n"/>
      <c r="G34" s="538" t="inlineStr">
        <is>
          <t>#Solde</t>
        </is>
      </c>
      <c r="H34" s="538" t="inlineStr">
        <is>
          <t>Pièces or</t>
        </is>
      </c>
    </row>
    <row r="35" ht="16.5" customHeight="1" s="304">
      <c r="A35" s="531" t="n">
        <v>45621</v>
      </c>
      <c r="B35" s="538" t="inlineStr">
        <is>
          <t>Relevé compte</t>
        </is>
      </c>
      <c r="C35" s="539" t="n">
        <v>2500</v>
      </c>
      <c r="D35" s="540" t="inlineStr">
        <is>
          <t>USD</t>
        </is>
      </c>
      <c r="E35" s="539" t="n"/>
      <c r="F35" s="541" t="n"/>
      <c r="G35" s="538" t="inlineStr">
        <is>
          <t>#Solde</t>
        </is>
      </c>
      <c r="H35" s="538" t="inlineStr">
        <is>
          <t>Portefeuille eToro USD Réserve</t>
        </is>
      </c>
    </row>
    <row r="36" ht="16.5" customHeight="1" s="304">
      <c r="A36" s="531" t="n">
        <v>45621</v>
      </c>
      <c r="B36" s="538" t="inlineStr">
        <is>
          <t>Relevé compte</t>
        </is>
      </c>
      <c r="C36" s="539" t="n">
        <v>0</v>
      </c>
      <c r="D36" s="540" t="inlineStr">
        <is>
          <t>USD</t>
        </is>
      </c>
      <c r="E36" s="539" t="n"/>
      <c r="F36" s="541" t="n"/>
      <c r="G36" s="538" t="inlineStr">
        <is>
          <t>#Solde</t>
        </is>
      </c>
      <c r="H36" s="538" t="inlineStr">
        <is>
          <t>Portefeuille eToro USD Titres</t>
        </is>
      </c>
    </row>
    <row r="37" ht="16.5" customHeight="1" s="304">
      <c r="A37" s="531" t="n">
        <v>45622</v>
      </c>
      <c r="B37" s="538" t="inlineStr">
        <is>
          <t>Action Air Liquide offert</t>
        </is>
      </c>
      <c r="C37" s="539" t="n">
        <v>10</v>
      </c>
      <c r="D37" s="540" t="inlineStr">
        <is>
          <t>USD</t>
        </is>
      </c>
      <c r="E37" s="539" t="n">
        <v>9.6</v>
      </c>
      <c r="F37" s="541" t="n"/>
      <c r="G37" s="538" t="inlineStr">
        <is>
          <t>Intérêts</t>
        </is>
      </c>
      <c r="H37" s="538" t="inlineStr">
        <is>
          <t>Portefeuille eToro USD Titres</t>
        </is>
      </c>
    </row>
    <row r="38" ht="16.5" customHeight="1" s="304">
      <c r="A38" s="531" t="n">
        <v>45657</v>
      </c>
      <c r="B38" s="538" t="inlineStr">
        <is>
          <t>Relevé compte</t>
        </is>
      </c>
      <c r="C38" s="539" t="n">
        <v>50</v>
      </c>
      <c r="D38" s="540" t="inlineStr">
        <is>
          <t>EUR</t>
        </is>
      </c>
      <c r="E38" s="539" t="n"/>
      <c r="F38" s="541" t="n"/>
      <c r="G38" s="538" t="inlineStr">
        <is>
          <t>#Solde</t>
        </is>
      </c>
      <c r="H38" s="538" t="inlineStr">
        <is>
          <t>Compte Amazon</t>
        </is>
      </c>
    </row>
    <row r="39" ht="16.5" customHeight="1" s="304">
      <c r="A39" s="531" t="n">
        <v>45657</v>
      </c>
      <c r="B39" s="538" t="inlineStr">
        <is>
          <t>Relevé compte</t>
        </is>
      </c>
      <c r="C39" s="539" t="n">
        <v>10965</v>
      </c>
      <c r="D39" s="540" t="inlineStr">
        <is>
          <t>EUR</t>
        </is>
      </c>
      <c r="E39" s="539" t="n"/>
      <c r="F39" s="541" t="n"/>
      <c r="G39" s="538" t="inlineStr">
        <is>
          <t>#Solde</t>
        </is>
      </c>
      <c r="H39" s="538" t="inlineStr">
        <is>
          <t>Créance Francine</t>
        </is>
      </c>
    </row>
    <row r="40" ht="16.5" customHeight="1" s="304">
      <c r="A40" s="531" t="n">
        <v>45657</v>
      </c>
      <c r="B40" s="538" t="inlineStr">
        <is>
          <t>Relevé compte</t>
        </is>
      </c>
      <c r="C40" s="539" t="n">
        <v>2500</v>
      </c>
      <c r="D40" s="540" t="inlineStr">
        <is>
          <t>EUR</t>
        </is>
      </c>
      <c r="E40" s="539" t="n"/>
      <c r="F40" s="541" t="n"/>
      <c r="G40" s="538" t="inlineStr">
        <is>
          <t>#Solde</t>
        </is>
      </c>
      <c r="H40" s="538" t="inlineStr">
        <is>
          <t>Espèces</t>
        </is>
      </c>
    </row>
    <row r="41" ht="16.5" customHeight="1" s="304">
      <c r="A41" s="531" t="n">
        <v>45661</v>
      </c>
      <c r="B41" s="538" t="inlineStr">
        <is>
          <t xml:space="preserve">Nettoyage  </t>
        </is>
      </c>
      <c r="C41" s="539" t="n">
        <v>-1000</v>
      </c>
      <c r="D41" s="540" t="inlineStr">
        <is>
          <t>EUR</t>
        </is>
      </c>
      <c r="E41" s="539" t="n"/>
      <c r="F41" s="541" t="n"/>
      <c r="G41" s="538" t="inlineStr">
        <is>
          <t>Maison</t>
        </is>
      </c>
      <c r="H41" s="538" t="inlineStr">
        <is>
          <t>Espèces</t>
        </is>
      </c>
    </row>
    <row r="42" ht="16.5" customHeight="1" s="304">
      <c r="A42" s="531" t="n">
        <v>45663</v>
      </c>
      <c r="B42" s="538" t="inlineStr">
        <is>
          <t>VIR. LOGITEL</t>
        </is>
      </c>
      <c r="C42" s="539" t="n">
        <v>500</v>
      </c>
      <c r="D42" s="540" t="inlineStr">
        <is>
          <t>EUR</t>
        </is>
      </c>
      <c r="E42" s="539" t="n"/>
      <c r="F42" s="541" t="inlineStr">
        <is>
          <t>V4</t>
        </is>
      </c>
      <c r="G42" s="538" t="inlineStr">
        <is>
          <t>Virement</t>
        </is>
      </c>
      <c r="H42" s="538" t="inlineStr">
        <is>
          <t>Compte chèque commun</t>
        </is>
      </c>
    </row>
    <row r="43" ht="16.5" customHeight="1" s="304">
      <c r="A43" s="531" t="n">
        <v>45663</v>
      </c>
      <c r="B43" s="538" t="n"/>
      <c r="C43" s="539" t="n">
        <v>-500</v>
      </c>
      <c r="D43" s="540" t="inlineStr">
        <is>
          <t>EUR</t>
        </is>
      </c>
      <c r="E43" s="539" t="n"/>
      <c r="F43" s="541" t="inlineStr">
        <is>
          <t>V4</t>
        </is>
      </c>
      <c r="G43" s="538" t="inlineStr">
        <is>
          <t>Virement</t>
        </is>
      </c>
      <c r="H43" s="538" t="inlineStr">
        <is>
          <t>Créance Francine</t>
        </is>
      </c>
    </row>
    <row r="44" ht="16.5" customHeight="1" s="304">
      <c r="A44" s="531" t="n">
        <v>45679</v>
      </c>
      <c r="B44" s="538" t="inlineStr">
        <is>
          <t>Ramonage</t>
        </is>
      </c>
      <c r="C44" s="539" t="n">
        <v>-180</v>
      </c>
      <c r="D44" s="540" t="inlineStr">
        <is>
          <t>EUR</t>
        </is>
      </c>
      <c r="E44" s="539" t="n"/>
      <c r="F44" s="541" t="n"/>
      <c r="G44" s="538" t="inlineStr">
        <is>
          <t>Maison</t>
        </is>
      </c>
      <c r="H44" s="538" t="inlineStr">
        <is>
          <t>Espèces</t>
        </is>
      </c>
    </row>
    <row r="45" ht="16.5" customHeight="1" s="304">
      <c r="A45" s="531" t="n">
        <v>45705</v>
      </c>
      <c r="B45" s="538" t="inlineStr">
        <is>
          <t>retrait DAB</t>
        </is>
      </c>
      <c r="C45" s="539" t="n">
        <v>-300</v>
      </c>
      <c r="D45" s="540" t="inlineStr">
        <is>
          <t>EUR</t>
        </is>
      </c>
      <c r="E45" s="539" t="n"/>
      <c r="F45" s="541" t="inlineStr">
        <is>
          <t>V5</t>
        </is>
      </c>
      <c r="G45" s="538" t="inlineStr">
        <is>
          <t>Virement</t>
        </is>
      </c>
      <c r="H45" s="538" t="inlineStr">
        <is>
          <t>Compte chèque commun</t>
        </is>
      </c>
    </row>
    <row r="46" ht="16.5" customHeight="1" s="304">
      <c r="A46" s="531" t="n">
        <v>45705</v>
      </c>
      <c r="B46" s="538" t="inlineStr">
        <is>
          <t>retrait DAB</t>
        </is>
      </c>
      <c r="C46" s="539" t="n">
        <v>300</v>
      </c>
      <c r="D46" s="540" t="inlineStr">
        <is>
          <t>EUR</t>
        </is>
      </c>
      <c r="E46" s="539" t="n"/>
      <c r="F46" s="541" t="inlineStr">
        <is>
          <t>V5</t>
        </is>
      </c>
      <c r="G46" s="538" t="inlineStr">
        <is>
          <t>Virement</t>
        </is>
      </c>
      <c r="H46" s="538" t="inlineStr">
        <is>
          <t>Espèces</t>
        </is>
      </c>
    </row>
    <row r="47" ht="16.5" customHeight="1" s="304">
      <c r="A47" s="531" t="n">
        <v>45715</v>
      </c>
      <c r="B47" s="538" t="inlineStr">
        <is>
          <t>VIR. LOGITEL</t>
        </is>
      </c>
      <c r="C47" s="539" t="n">
        <v>-500</v>
      </c>
      <c r="D47" s="540" t="inlineStr">
        <is>
          <t>EUR</t>
        </is>
      </c>
      <c r="E47" s="539" t="n">
        <v>-500</v>
      </c>
      <c r="F47" s="541" t="inlineStr">
        <is>
          <t>usd6</t>
        </is>
      </c>
      <c r="G47" s="538" t="inlineStr">
        <is>
          <t>Change</t>
        </is>
      </c>
      <c r="H47" s="538" t="inlineStr">
        <is>
          <t>Compte chèque commun</t>
        </is>
      </c>
    </row>
    <row r="48" ht="16.5" customHeight="1" s="304">
      <c r="A48" s="531" t="n">
        <v>45715</v>
      </c>
      <c r="B48" s="538" t="inlineStr">
        <is>
          <t xml:space="preserve">Dépôt </t>
        </is>
      </c>
      <c r="C48" s="539" t="n">
        <v>520.1</v>
      </c>
      <c r="D48" s="540" t="inlineStr">
        <is>
          <t>USD</t>
        </is>
      </c>
      <c r="E48" s="539" t="n">
        <v>500</v>
      </c>
      <c r="F48" s="541" t="inlineStr">
        <is>
          <t>usd6</t>
        </is>
      </c>
      <c r="G48" s="538" t="inlineStr">
        <is>
          <t>Change</t>
        </is>
      </c>
      <c r="H48" s="538" t="inlineStr">
        <is>
          <t>Portefeuille eToro USD Réserve</t>
        </is>
      </c>
    </row>
    <row r="49" ht="16.5" customHeight="1" s="304">
      <c r="A49" s="531" t="n">
        <v>45715</v>
      </c>
      <c r="B49" s="538" t="inlineStr">
        <is>
          <t>Position ouverte SPX500/USD</t>
        </is>
      </c>
      <c r="C49" s="539" t="n">
        <v>60</v>
      </c>
      <c r="D49" s="540" t="inlineStr">
        <is>
          <t>USD</t>
        </is>
      </c>
      <c r="E49" s="539" t="n">
        <v>57.25</v>
      </c>
      <c r="F49" s="541" t="inlineStr">
        <is>
          <t>V7</t>
        </is>
      </c>
      <c r="G49" s="538" t="inlineStr">
        <is>
          <t>Achat titres</t>
        </is>
      </c>
      <c r="H49" s="538" t="inlineStr">
        <is>
          <t>Portefeuille eToro USD Titres</t>
        </is>
      </c>
    </row>
    <row r="50" ht="16.5" customHeight="1" s="304">
      <c r="A50" s="531" t="n">
        <v>45715</v>
      </c>
      <c r="B50" s="538" t="inlineStr">
        <is>
          <t>Position ouverte SPX500/USD</t>
        </is>
      </c>
      <c r="C50" s="539" t="n">
        <v>-60</v>
      </c>
      <c r="D50" s="540" t="inlineStr">
        <is>
          <t>USD</t>
        </is>
      </c>
      <c r="E50" s="539" t="n">
        <v>-57.25</v>
      </c>
      <c r="F50" s="541" t="inlineStr">
        <is>
          <t>V7</t>
        </is>
      </c>
      <c r="G50" s="538" t="inlineStr">
        <is>
          <t>Achat titres</t>
        </is>
      </c>
      <c r="H50" s="538" t="inlineStr">
        <is>
          <t>Portefeuille eToro USD Réserve</t>
        </is>
      </c>
    </row>
    <row r="51" ht="16.5" customHeight="1" s="304">
      <c r="A51" s="531" t="n">
        <v>45716</v>
      </c>
      <c r="B51" s="538" t="inlineStr">
        <is>
          <t>Bénéfice/Perte du trade SPX500/USD</t>
        </is>
      </c>
      <c r="C51" s="539" t="n">
        <v>-29.97</v>
      </c>
      <c r="D51" s="540" t="inlineStr">
        <is>
          <t>USD</t>
        </is>
      </c>
      <c r="E51" s="539" t="n">
        <v>-28.85</v>
      </c>
      <c r="F51" s="541" t="inlineStr">
        <is>
          <t>t8</t>
        </is>
      </c>
      <c r="G51" s="538" t="inlineStr">
        <is>
          <t>Vente titres</t>
        </is>
      </c>
      <c r="H51" s="538" t="inlineStr">
        <is>
          <t>Portefeuille eToro USD Titres</t>
        </is>
      </c>
    </row>
    <row r="52" ht="16.5" customHeight="1" s="304">
      <c r="A52" s="531" t="n">
        <v>45716</v>
      </c>
      <c r="B52" s="538" t="inlineStr">
        <is>
          <t>Bénéfice/Perte du trade SPX500/USD</t>
        </is>
      </c>
      <c r="C52" s="539" t="n">
        <v>29.97</v>
      </c>
      <c r="D52" s="540" t="inlineStr">
        <is>
          <t>USD</t>
        </is>
      </c>
      <c r="E52" s="539" t="n">
        <v>28.85</v>
      </c>
      <c r="F52" s="541" t="inlineStr">
        <is>
          <t>t8</t>
        </is>
      </c>
      <c r="G52" s="538" t="inlineStr">
        <is>
          <t>Vente titres</t>
        </is>
      </c>
      <c r="H52" s="538" t="inlineStr">
        <is>
          <t>Portefeuille eToro USD Réserve</t>
        </is>
      </c>
    </row>
    <row r="53" ht="16.5" customHeight="1" s="304">
      <c r="A53" s="531" t="n">
        <v>45716</v>
      </c>
      <c r="B53" s="538" t="inlineStr">
        <is>
          <t>Ajustement du prix de l’indice SPX500/USD</t>
        </is>
      </c>
      <c r="C53" s="539" t="n">
        <v>0.15</v>
      </c>
      <c r="D53" s="540" t="inlineStr">
        <is>
          <t>USD</t>
        </is>
      </c>
      <c r="E53" s="539" t="n"/>
      <c r="F53" s="541" t="n"/>
      <c r="G53" s="538" t="inlineStr">
        <is>
          <t>Ajustement</t>
        </is>
      </c>
      <c r="H53" s="538" t="inlineStr">
        <is>
          <t>Portefeuille eToro USD Réserve</t>
        </is>
      </c>
    </row>
    <row r="54" ht="16.5" customHeight="1" s="304">
      <c r="A54" s="531" t="n">
        <v>45715</v>
      </c>
      <c r="B54" s="538" t="inlineStr">
        <is>
          <t>Frais overnight Quotidien</t>
        </is>
      </c>
      <c r="C54" s="539" t="n">
        <v>-0.29</v>
      </c>
      <c r="D54" s="540" t="inlineStr">
        <is>
          <t>USD</t>
        </is>
      </c>
      <c r="E54" s="539" t="n"/>
      <c r="F54" s="541" t="n"/>
      <c r="G54" s="538" t="inlineStr">
        <is>
          <t>Frais bancaires</t>
        </is>
      </c>
      <c r="H54" s="538" t="inlineStr">
        <is>
          <t>Portefeuille eToro USD Réserve</t>
        </is>
      </c>
    </row>
    <row r="55" ht="16.5" customHeight="1" s="304">
      <c r="A55" s="531" t="n">
        <v>45763</v>
      </c>
      <c r="B55" s="538" t="n"/>
      <c r="C55" s="539" t="n">
        <v>-33</v>
      </c>
      <c r="D55" s="540" t="inlineStr">
        <is>
          <t>EUR</t>
        </is>
      </c>
      <c r="E55" s="539" t="n"/>
      <c r="F55" s="541" t="n"/>
      <c r="G55" s="538" t="inlineStr">
        <is>
          <t>Restaurant</t>
        </is>
      </c>
      <c r="H55" s="538" t="inlineStr">
        <is>
          <t>Espèces</t>
        </is>
      </c>
    </row>
    <row r="56" ht="16.5" customHeight="1" s="304">
      <c r="A56" s="531" t="n">
        <v>45783</v>
      </c>
      <c r="B56" s="538" t="inlineStr">
        <is>
          <t>Position ouverte KWEB/USD</t>
        </is>
      </c>
      <c r="C56" s="539" t="n">
        <v>200</v>
      </c>
      <c r="D56" s="540" t="inlineStr">
        <is>
          <t>USD</t>
        </is>
      </c>
      <c r="E56" s="539" t="n">
        <v>176</v>
      </c>
      <c r="F56" s="541" t="n"/>
      <c r="G56" s="538" t="inlineStr">
        <is>
          <t>Achat titres</t>
        </is>
      </c>
      <c r="H56" s="538" t="inlineStr">
        <is>
          <t>Portefeuille eToro USD Titres</t>
        </is>
      </c>
    </row>
    <row r="57" ht="16.5" customHeight="1" s="304">
      <c r="A57" s="531" t="n">
        <v>45783</v>
      </c>
      <c r="B57" s="538" t="inlineStr">
        <is>
          <t>Position ouverte KWEB/USD</t>
        </is>
      </c>
      <c r="C57" s="539" t="n">
        <v>-200</v>
      </c>
      <c r="D57" s="540" t="inlineStr">
        <is>
          <t>USD</t>
        </is>
      </c>
      <c r="E57" s="539" t="n">
        <v>-176</v>
      </c>
      <c r="F57" s="541" t="n"/>
      <c r="G57" s="538" t="inlineStr">
        <is>
          <t>Achat titres</t>
        </is>
      </c>
      <c r="H57" s="538" t="inlineStr">
        <is>
          <t>Portefeuille eToro USD Réserve</t>
        </is>
      </c>
    </row>
    <row r="58" ht="16.5" customHeight="1" s="304">
      <c r="A58" s="531" t="n">
        <v>45809</v>
      </c>
      <c r="B58" s="538" t="inlineStr">
        <is>
          <t>Dividende AI.PA/EUR</t>
        </is>
      </c>
      <c r="C58" s="539" t="n">
        <v>0.17</v>
      </c>
      <c r="D58" s="540" t="inlineStr">
        <is>
          <t>USD</t>
        </is>
      </c>
      <c r="E58" s="539" t="n"/>
      <c r="F58" s="541" t="n"/>
      <c r="G58" s="538" t="inlineStr">
        <is>
          <t>Coupon</t>
        </is>
      </c>
      <c r="H58" s="538" t="inlineStr">
        <is>
          <t>Portefeuille eToro USD Réserve</t>
        </is>
      </c>
    </row>
    <row r="59" ht="16.5" customHeight="1" s="304">
      <c r="A59" s="531" t="n">
        <v>45809</v>
      </c>
      <c r="B59" s="538" t="n"/>
      <c r="C59" s="539" t="n">
        <v>0.79</v>
      </c>
      <c r="D59" s="540" t="inlineStr">
        <is>
          <t>USD</t>
        </is>
      </c>
      <c r="E59" s="539" t="n"/>
      <c r="F59" s="541" t="n"/>
      <c r="G59" s="538" t="inlineStr">
        <is>
          <t>Ajustement</t>
        </is>
      </c>
      <c r="H59" s="538" t="inlineStr">
        <is>
          <t>Portefeuille eToro USD Réserve</t>
        </is>
      </c>
    </row>
    <row r="60" ht="16.5" customHeight="1" s="304">
      <c r="A60" s="531" t="n">
        <v>45822</v>
      </c>
      <c r="B60" s="538" t="n"/>
      <c r="C60" s="539" t="n">
        <v>-90</v>
      </c>
      <c r="D60" s="540" t="inlineStr">
        <is>
          <t>EUR</t>
        </is>
      </c>
      <c r="E60" s="539" t="n"/>
      <c r="F60" s="541" t="n"/>
      <c r="G60" s="538" t="inlineStr">
        <is>
          <t>Santé</t>
        </is>
      </c>
      <c r="H60" s="538" t="inlineStr">
        <is>
          <t>Espèces</t>
        </is>
      </c>
    </row>
    <row r="61" ht="16.5" customHeight="1" s="304">
      <c r="A61" s="531" t="n">
        <v>45923</v>
      </c>
      <c r="B61" s="538" t="inlineStr">
        <is>
          <t>Relevé compte</t>
        </is>
      </c>
      <c r="C61" s="539" t="n">
        <v>51277</v>
      </c>
      <c r="D61" s="540" t="inlineStr">
        <is>
          <t>SAT</t>
        </is>
      </c>
      <c r="E61" s="539" t="n"/>
      <c r="F61" s="541" t="n"/>
      <c r="G61" s="538" t="inlineStr">
        <is>
          <t>#Solde</t>
        </is>
      </c>
      <c r="H61" s="538" t="inlineStr">
        <is>
          <t>Compte Kraken BTC</t>
        </is>
      </c>
    </row>
    <row r="62" ht="16.5" customHeight="1" s="304">
      <c r="A62" s="531" t="n">
        <v>45924</v>
      </c>
      <c r="B62" s="538" t="inlineStr">
        <is>
          <t>VIR. LOGITEL</t>
        </is>
      </c>
      <c r="C62" s="539" t="n">
        <v>-900</v>
      </c>
      <c r="D62" s="540" t="inlineStr">
        <is>
          <t>EUR</t>
        </is>
      </c>
      <c r="E62" s="539" t="n">
        <v>-900</v>
      </c>
      <c r="F62" s="541" t="inlineStr">
        <is>
          <t>usd9</t>
        </is>
      </c>
      <c r="G62" s="538" t="inlineStr">
        <is>
          <t>Change</t>
        </is>
      </c>
      <c r="H62" s="538" t="inlineStr">
        <is>
          <t>Compte chèque commun</t>
        </is>
      </c>
    </row>
    <row r="63" ht="16.5" customHeight="1" s="304">
      <c r="A63" s="531" t="n">
        <v>45924</v>
      </c>
      <c r="B63" s="538" t="inlineStr">
        <is>
          <t>Dépôt</t>
        </is>
      </c>
      <c r="C63" s="539" t="n">
        <v>1050.06</v>
      </c>
      <c r="D63" s="540" t="inlineStr">
        <is>
          <t>USD</t>
        </is>
      </c>
      <c r="E63" s="539" t="n">
        <v>900</v>
      </c>
      <c r="F63" s="541" t="inlineStr">
        <is>
          <t>usd9</t>
        </is>
      </c>
      <c r="G63" s="538" t="inlineStr">
        <is>
          <t>Change</t>
        </is>
      </c>
      <c r="H63" s="538" t="inlineStr">
        <is>
          <t>Portefeuille eToro USD Réserve</t>
        </is>
      </c>
    </row>
    <row r="64" ht="16.5" customHeight="1" s="304">
      <c r="A64" s="531" t="n">
        <v>45924</v>
      </c>
      <c r="B64" s="538" t="inlineStr">
        <is>
          <t>Frais de conversion de dépôt -</t>
        </is>
      </c>
      <c r="C64" s="539" t="n">
        <v>-0.76</v>
      </c>
      <c r="D64" s="540" t="inlineStr">
        <is>
          <t>USD</t>
        </is>
      </c>
      <c r="E64" s="539" t="n"/>
      <c r="F64" s="541" t="inlineStr">
        <is>
          <t>usd9</t>
        </is>
      </c>
      <c r="G64" s="538" t="inlineStr">
        <is>
          <t>Ajustement</t>
        </is>
      </c>
      <c r="H64" s="538" t="inlineStr">
        <is>
          <t>Portefeuille eToro USD Réserve</t>
        </is>
      </c>
    </row>
    <row r="65" ht="16.5" customHeight="1" s="304">
      <c r="A65" s="531" t="n">
        <v>45924</v>
      </c>
      <c r="B65" s="538" t="inlineStr">
        <is>
          <t>Position ouverte BTC/USD</t>
        </is>
      </c>
      <c r="C65" s="539" t="n">
        <v>-1000</v>
      </c>
      <c r="D65" s="540" t="inlineStr">
        <is>
          <t>USD</t>
        </is>
      </c>
      <c r="E65" s="539" t="n">
        <v>-1175.09</v>
      </c>
      <c r="F65" s="541" t="inlineStr">
        <is>
          <t>t10</t>
        </is>
      </c>
      <c r="G65" s="538" t="inlineStr">
        <is>
          <t>Achat titres</t>
        </is>
      </c>
      <c r="H65" s="538" t="inlineStr">
        <is>
          <t>Portefeuille eToro USD Réserve</t>
        </is>
      </c>
    </row>
    <row r="66" ht="16.5" customHeight="1" s="304">
      <c r="A66" s="531" t="n">
        <v>45924</v>
      </c>
      <c r="B66" s="538" t="inlineStr">
        <is>
          <t>Commission À l'ouverture</t>
        </is>
      </c>
      <c r="C66" s="539" t="n">
        <v>-10</v>
      </c>
      <c r="D66" s="540" t="inlineStr">
        <is>
          <t>USD</t>
        </is>
      </c>
      <c r="E66" s="539" t="n"/>
      <c r="F66" s="541" t="inlineStr">
        <is>
          <t>t10</t>
        </is>
      </c>
      <c r="G66" s="538" t="inlineStr">
        <is>
          <t>Frais bancaires</t>
        </is>
      </c>
      <c r="H66" s="538" t="inlineStr">
        <is>
          <t>Portefeuille eToro USD Réserve</t>
        </is>
      </c>
    </row>
    <row r="67" ht="16.5" customHeight="1" s="304">
      <c r="A67" s="531" t="n">
        <v>45924</v>
      </c>
      <c r="B67" s="538" t="inlineStr">
        <is>
          <t>Position ouverte BTC/USD</t>
        </is>
      </c>
      <c r="C67" s="539" t="n">
        <v>1000</v>
      </c>
      <c r="D67" s="540" t="inlineStr">
        <is>
          <t>USD</t>
        </is>
      </c>
      <c r="E67" s="539" t="n">
        <v>1175.09</v>
      </c>
      <c r="F67" s="541" t="inlineStr">
        <is>
          <t>t10</t>
        </is>
      </c>
      <c r="G67" s="538" t="inlineStr">
        <is>
          <t>Achat titres</t>
        </is>
      </c>
      <c r="H67" s="538" t="inlineStr">
        <is>
          <t>Portefeuille eToro USD Titres</t>
        </is>
      </c>
    </row>
    <row r="68" ht="16.5" customHeight="1" s="304">
      <c r="A68" s="531" t="n">
        <v>45933</v>
      </c>
      <c r="B68" s="538" t="inlineStr">
        <is>
          <t>Rome taxi</t>
        </is>
      </c>
      <c r="C68" s="539" t="n">
        <v>-120</v>
      </c>
      <c r="D68" s="540" t="inlineStr">
        <is>
          <t>EUR</t>
        </is>
      </c>
      <c r="E68" s="539" t="n"/>
      <c r="F68" s="541" t="n"/>
      <c r="G68" s="538" t="inlineStr">
        <is>
          <t>Loisirs</t>
        </is>
      </c>
      <c r="H68" s="538" t="inlineStr">
        <is>
          <t>Espèces</t>
        </is>
      </c>
    </row>
    <row r="69" ht="16.5" customHeight="1" s="304">
      <c r="A69" s="531" t="n">
        <v>45939</v>
      </c>
      <c r="B69" s="538" t="inlineStr">
        <is>
          <t>Fendage bois</t>
        </is>
      </c>
      <c r="C69" s="539" t="n">
        <v>-970</v>
      </c>
      <c r="D69" s="540" t="inlineStr">
        <is>
          <t>EUR</t>
        </is>
      </c>
      <c r="E69" s="539" t="n"/>
      <c r="F69" s="541" t="n"/>
      <c r="G69" s="538" t="inlineStr">
        <is>
          <t>Maison</t>
        </is>
      </c>
      <c r="H69" s="538" t="inlineStr">
        <is>
          <t>Espèces</t>
        </is>
      </c>
    </row>
    <row r="70" ht="16.5" customHeight="1" s="304">
      <c r="A70" s="531" t="n">
        <v>45940</v>
      </c>
      <c r="B70" s="538" t="inlineStr">
        <is>
          <t>VIR. LOGITEL</t>
        </is>
      </c>
      <c r="C70" s="539" t="n">
        <v>500</v>
      </c>
      <c r="D70" s="540" t="inlineStr">
        <is>
          <t>EUR</t>
        </is>
      </c>
      <c r="E70" s="539" t="n"/>
      <c r="F70" s="541" t="inlineStr">
        <is>
          <t>V11</t>
        </is>
      </c>
      <c r="G70" s="538" t="inlineStr">
        <is>
          <t>Virement</t>
        </is>
      </c>
      <c r="H70" s="538" t="inlineStr">
        <is>
          <t>Compte chèque commun</t>
        </is>
      </c>
    </row>
    <row r="71" ht="16.5" customHeight="1" s="304">
      <c r="A71" s="531" t="n">
        <v>45940</v>
      </c>
      <c r="B71" s="538" t="inlineStr">
        <is>
          <t>Créance</t>
        </is>
      </c>
      <c r="C71" s="539" t="n">
        <v>-500</v>
      </c>
      <c r="D71" s="540" t="inlineStr">
        <is>
          <t>EUR</t>
        </is>
      </c>
      <c r="E71" s="539" t="n"/>
      <c r="F71" s="541" t="inlineStr">
        <is>
          <t>V11</t>
        </is>
      </c>
      <c r="G71" s="538" t="inlineStr">
        <is>
          <t>Virement</t>
        </is>
      </c>
      <c r="H71" s="538" t="inlineStr">
        <is>
          <t>Créance Francine</t>
        </is>
      </c>
    </row>
    <row r="72" ht="16.5" customHeight="1" s="304">
      <c r="A72" s="531" t="n">
        <v>45945</v>
      </c>
      <c r="B72" s="538" t="inlineStr">
        <is>
          <t>VIR. LOGITEL</t>
        </is>
      </c>
      <c r="C72" s="539" t="n">
        <v>-300</v>
      </c>
      <c r="D72" s="540" t="inlineStr">
        <is>
          <t>EUR</t>
        </is>
      </c>
      <c r="E72" s="539" t="n"/>
      <c r="F72" s="541" t="inlineStr">
        <is>
          <t>V12</t>
        </is>
      </c>
      <c r="G72" s="538" t="inlineStr">
        <is>
          <t>Virement</t>
        </is>
      </c>
      <c r="H72" s="538" t="inlineStr">
        <is>
          <t>Compte chèque commun</t>
        </is>
      </c>
    </row>
    <row r="73" ht="16.5" customHeight="1" s="304">
      <c r="A73" s="531" t="n">
        <v>45945</v>
      </c>
      <c r="B73" s="538" t="inlineStr">
        <is>
          <t>retrait DAB</t>
        </is>
      </c>
      <c r="C73" s="539" t="n">
        <v>300</v>
      </c>
      <c r="D73" s="540" t="inlineStr">
        <is>
          <t>EUR</t>
        </is>
      </c>
      <c r="E73" s="539" t="n"/>
      <c r="F73" s="541" t="inlineStr">
        <is>
          <t>V12</t>
        </is>
      </c>
      <c r="G73" s="538" t="inlineStr">
        <is>
          <t>Virement</t>
        </is>
      </c>
      <c r="H73" s="538" t="inlineStr">
        <is>
          <t>Espèces</t>
        </is>
      </c>
    </row>
    <row r="74" ht="16.5" customHeight="1" s="304">
      <c r="A74" s="531" t="n">
        <v>45951</v>
      </c>
      <c r="B74" s="538" t="inlineStr">
        <is>
          <t xml:space="preserve">Nettoyage  </t>
        </is>
      </c>
      <c r="C74" s="539" t="n">
        <v>-700</v>
      </c>
      <c r="D74" s="540" t="inlineStr">
        <is>
          <t>EUR</t>
        </is>
      </c>
      <c r="E74" s="539" t="n"/>
      <c r="F74" s="541" t="n"/>
      <c r="G74" s="538" t="inlineStr">
        <is>
          <t>Maison</t>
        </is>
      </c>
      <c r="H74" s="538" t="inlineStr">
        <is>
          <t>Espèces</t>
        </is>
      </c>
    </row>
    <row r="75" ht="16.5" customHeight="1" s="304">
      <c r="A75" s="531" t="n">
        <v>45967</v>
      </c>
      <c r="B75" s="538" t="inlineStr">
        <is>
          <t>Relevé compte</t>
        </is>
      </c>
      <c r="C75" s="539" t="n">
        <v>51277</v>
      </c>
      <c r="D75" s="540" t="inlineStr">
        <is>
          <t>SAT</t>
        </is>
      </c>
      <c r="E75" s="539" t="n"/>
      <c r="F75" s="541" t="n"/>
      <c r="G75" s="538" t="inlineStr">
        <is>
          <t>#Solde</t>
        </is>
      </c>
      <c r="H75" s="538" t="inlineStr">
        <is>
          <t>Compte Kraken BTC</t>
        </is>
      </c>
    </row>
    <row r="76" ht="16.5" customHeight="1" s="304">
      <c r="A76" s="531" t="n">
        <v>46014</v>
      </c>
      <c r="B76" s="538" t="inlineStr">
        <is>
          <t>VIR. LOGITEL</t>
        </is>
      </c>
      <c r="C76" s="539" t="n">
        <v>-118.08</v>
      </c>
      <c r="D76" s="540" t="inlineStr">
        <is>
          <t>EUR</t>
        </is>
      </c>
      <c r="E76" s="539" t="n">
        <v>-118.08</v>
      </c>
      <c r="F76" s="541" t="inlineStr">
        <is>
          <t>usd13</t>
        </is>
      </c>
      <c r="G76" s="538" t="inlineStr">
        <is>
          <t>Change</t>
        </is>
      </c>
      <c r="H76" s="538" t="inlineStr">
        <is>
          <t>Compte chèque commun</t>
        </is>
      </c>
    </row>
    <row r="77" ht="16.5" customHeight="1" s="304">
      <c r="A77" s="531" t="n">
        <v>46014</v>
      </c>
      <c r="B77" s="538" t="inlineStr">
        <is>
          <t>Dividende KWEB/USD</t>
        </is>
      </c>
      <c r="C77" s="539" t="n">
        <v>10.44</v>
      </c>
      <c r="D77" s="540" t="inlineStr">
        <is>
          <t>USD</t>
        </is>
      </c>
      <c r="E77" s="539" t="n"/>
      <c r="F77" s="541" t="n"/>
      <c r="G77" s="538" t="inlineStr">
        <is>
          <t>Coupon</t>
        </is>
      </c>
      <c r="H77" s="538" t="inlineStr">
        <is>
          <t>Portefeuille eToro USD Réserve</t>
        </is>
      </c>
    </row>
    <row r="78" ht="16.5" customHeight="1" s="304">
      <c r="A78" s="531" t="n">
        <v>46048</v>
      </c>
      <c r="B78" s="538" t="inlineStr">
        <is>
          <t>Transfer: EUR &gt; USD EUR</t>
        </is>
      </c>
      <c r="C78" s="539" t="n">
        <v>138.95</v>
      </c>
      <c r="D78" s="540" t="inlineStr">
        <is>
          <t>USD</t>
        </is>
      </c>
      <c r="E78" s="539" t="n">
        <v>118.08</v>
      </c>
      <c r="F78" s="541" t="inlineStr">
        <is>
          <t>usd13</t>
        </is>
      </c>
      <c r="G78" s="538" t="inlineStr">
        <is>
          <t>Change</t>
        </is>
      </c>
      <c r="H78" s="538" t="inlineStr">
        <is>
          <t>Portefeuille eToro USD Réserve</t>
        </is>
      </c>
    </row>
    <row r="79" ht="16.5" customHeight="1" s="304">
      <c r="A79" s="531" t="n">
        <v>46048</v>
      </c>
      <c r="B79" s="538" t="inlineStr">
        <is>
          <t>Position ouverte COMT/USD</t>
        </is>
      </c>
      <c r="C79" s="539" t="n">
        <v>-138.93</v>
      </c>
      <c r="D79" s="540" t="inlineStr">
        <is>
          <t>USD</t>
        </is>
      </c>
      <c r="E79" s="539" t="n">
        <v>-117.38</v>
      </c>
      <c r="F79" s="541" t="inlineStr">
        <is>
          <t>t14</t>
        </is>
      </c>
      <c r="G79" s="538" t="inlineStr">
        <is>
          <t>Achat titres</t>
        </is>
      </c>
      <c r="H79" s="538" t="inlineStr">
        <is>
          <t>Portefeuille eToro USD Réserve</t>
        </is>
      </c>
    </row>
    <row r="80" ht="16.5" customHeight="1" s="304">
      <c r="A80" s="531" t="n">
        <v>46048</v>
      </c>
      <c r="B80" s="538" t="inlineStr">
        <is>
          <t>Position ouverte COMT/USD</t>
        </is>
      </c>
      <c r="C80" s="539" t="n">
        <v>138.93</v>
      </c>
      <c r="D80" s="540" t="inlineStr">
        <is>
          <t>USD</t>
        </is>
      </c>
      <c r="E80" s="539" t="n">
        <v>117.38</v>
      </c>
      <c r="F80" s="541" t="inlineStr">
        <is>
          <t>t14</t>
        </is>
      </c>
      <c r="G80" s="538" t="inlineStr">
        <is>
          <t>Achat titres</t>
        </is>
      </c>
      <c r="H80" s="538" t="inlineStr">
        <is>
          <t>Portefeuille eToro USD Titres</t>
        </is>
      </c>
    </row>
    <row r="81" ht="16.5" customHeight="1" s="304">
      <c r="A81" s="531" t="n">
        <v>46048</v>
      </c>
      <c r="B81" s="538" t="inlineStr">
        <is>
          <t>Position ouverte COMT/USD</t>
        </is>
      </c>
      <c r="C81" s="539" t="n">
        <v>-2353.06</v>
      </c>
      <c r="D81" s="540" t="inlineStr">
        <is>
          <t>USD</t>
        </is>
      </c>
      <c r="E81" s="539" t="n">
        <v>-1988.05</v>
      </c>
      <c r="F81" s="541" t="inlineStr">
        <is>
          <t>t15</t>
        </is>
      </c>
      <c r="G81" s="538" t="inlineStr">
        <is>
          <t>Achat titres</t>
        </is>
      </c>
      <c r="H81" s="538" t="inlineStr">
        <is>
          <t>Portefeuille eToro USD Réserve</t>
        </is>
      </c>
    </row>
    <row r="82" ht="16.5" customHeight="1" s="304">
      <c r="A82" s="531" t="n">
        <v>46048</v>
      </c>
      <c r="B82" s="538" t="inlineStr">
        <is>
          <t>Position ouverte COMT/USD</t>
        </is>
      </c>
      <c r="C82" s="539" t="n">
        <v>2353.06</v>
      </c>
      <c r="D82" s="540" t="inlineStr">
        <is>
          <t>USD</t>
        </is>
      </c>
      <c r="E82" s="539" t="n">
        <v>1988.05</v>
      </c>
      <c r="F82" s="541" t="inlineStr">
        <is>
          <t>t15</t>
        </is>
      </c>
      <c r="G82" s="538" t="inlineStr">
        <is>
          <t>Achat titres</t>
        </is>
      </c>
      <c r="H82" s="538" t="inlineStr">
        <is>
          <t>Portefeuille eToro USD Titres</t>
        </is>
      </c>
    </row>
    <row r="83" ht="16.5" customHeight="1" s="304">
      <c r="A83" s="531" t="n">
        <v>46050</v>
      </c>
      <c r="B83" s="538" t="inlineStr">
        <is>
          <t>Relevé compte</t>
        </is>
      </c>
      <c r="C83" s="539" t="n">
        <v>487.59</v>
      </c>
      <c r="D83" s="540" t="inlineStr">
        <is>
          <t>USD</t>
        </is>
      </c>
      <c r="E83" s="539" t="n"/>
      <c r="F83" s="541" t="n"/>
      <c r="G83" s="538" t="inlineStr">
        <is>
          <t>#Solde</t>
        </is>
      </c>
      <c r="H83" s="538" t="inlineStr">
        <is>
          <t>Portefeuille eToro USD Réserve</t>
        </is>
      </c>
    </row>
    <row r="84" ht="16.5" customHeight="1" s="304">
      <c r="A84" s="531" t="n">
        <v>46050</v>
      </c>
      <c r="B84" s="538" t="inlineStr">
        <is>
          <t>Relevé compte</t>
        </is>
      </c>
      <c r="C84" s="539" t="n">
        <v>3549.43</v>
      </c>
      <c r="D84" s="540" t="inlineStr">
        <is>
          <t>USD</t>
        </is>
      </c>
      <c r="E84" s="539" t="n"/>
      <c r="F84" s="541" t="n"/>
      <c r="G84" s="538" t="inlineStr">
        <is>
          <t>#Solde</t>
        </is>
      </c>
      <c r="H84" s="538" t="inlineStr">
        <is>
          <t>Portefeuille eToro USD Titres</t>
        </is>
      </c>
    </row>
    <row r="85" ht="16.5" customHeight="1" s="304">
      <c r="A85" s="531" t="n">
        <v>46058</v>
      </c>
      <c r="B85" s="538" t="inlineStr">
        <is>
          <t>Relevé compte</t>
        </is>
      </c>
      <c r="C85" s="539" t="n">
        <v>9965</v>
      </c>
      <c r="D85" s="540" t="inlineStr">
        <is>
          <t>EUR</t>
        </is>
      </c>
      <c r="E85" s="539" t="n"/>
      <c r="F85" s="541" t="n"/>
      <c r="G85" s="538" t="inlineStr">
        <is>
          <t>#Solde</t>
        </is>
      </c>
      <c r="H85" s="538" t="inlineStr">
        <is>
          <t>Créance Francine</t>
        </is>
      </c>
    </row>
    <row r="86" ht="16.5" customHeight="1" s="304">
      <c r="A86" s="531" t="n">
        <v>46084</v>
      </c>
      <c r="B86" s="538" t="inlineStr">
        <is>
          <t>Relevé compte</t>
        </is>
      </c>
      <c r="C86" s="539" t="n">
        <v>7</v>
      </c>
      <c r="D86" s="540" t="inlineStr">
        <is>
          <t>EUR</t>
        </is>
      </c>
      <c r="E86" s="539" t="n"/>
      <c r="F86" s="541" t="n"/>
      <c r="G86" s="538" t="inlineStr">
        <is>
          <t>#Solde</t>
        </is>
      </c>
      <c r="H86" s="538" t="inlineStr">
        <is>
          <t>Espèces</t>
        </is>
      </c>
    </row>
    <row r="87" ht="16.5" customHeight="1" s="304">
      <c r="A87" s="531" t="n">
        <v>46091</v>
      </c>
      <c r="B87" s="538" t="inlineStr">
        <is>
          <t>VIR. LOGITEL</t>
        </is>
      </c>
      <c r="C87" s="539" t="n">
        <v>-10</v>
      </c>
      <c r="D87" s="540" t="inlineStr">
        <is>
          <t>EUR</t>
        </is>
      </c>
      <c r="E87" s="539" t="n"/>
      <c r="F87" s="541" t="inlineStr">
        <is>
          <t>V16</t>
        </is>
      </c>
      <c r="G87" s="538" t="inlineStr">
        <is>
          <t>Virement</t>
        </is>
      </c>
      <c r="H87" s="538" t="inlineStr">
        <is>
          <t>Compte chèque commun</t>
        </is>
      </c>
    </row>
    <row r="88" ht="16.5" customHeight="1" s="304">
      <c r="A88" s="531" t="n">
        <v>46091</v>
      </c>
      <c r="B88" s="538" t="inlineStr">
        <is>
          <t>Approvisionnement pour virement électronique PayPal Inc.</t>
        </is>
      </c>
      <c r="C88" s="539" t="n">
        <v>10</v>
      </c>
      <c r="D88" s="540" t="inlineStr">
        <is>
          <t>EUR</t>
        </is>
      </c>
      <c r="E88" s="539" t="n"/>
      <c r="F88" s="541" t="inlineStr">
        <is>
          <t>V16</t>
        </is>
      </c>
      <c r="G88" s="538" t="inlineStr">
        <is>
          <t>Virement</t>
        </is>
      </c>
      <c r="H88" s="538" t="inlineStr">
        <is>
          <t>Compte Paypal</t>
        </is>
      </c>
    </row>
    <row r="89" ht="16.5" customHeight="1" s="304">
      <c r="A89" s="531" t="n">
        <v>46091</v>
      </c>
      <c r="B89" s="538" t="inlineStr">
        <is>
          <t>Relevé compte</t>
        </is>
      </c>
      <c r="C89" s="539" t="n">
        <v>10</v>
      </c>
      <c r="D89" s="540" t="inlineStr">
        <is>
          <t>EUR</t>
        </is>
      </c>
      <c r="E89" s="539" t="n"/>
      <c r="F89" s="541" t="n"/>
      <c r="G89" s="538" t="inlineStr">
        <is>
          <t>#Solde</t>
        </is>
      </c>
      <c r="H89" s="538" t="inlineStr">
        <is>
          <t>Compte Paypal</t>
        </is>
      </c>
    </row>
    <row r="90" ht="16.5" customHeight="1" s="304">
      <c r="A90" s="531" t="n">
        <v>46092</v>
      </c>
      <c r="B90" s="538" t="inlineStr">
        <is>
          <t>Relevé compte</t>
        </is>
      </c>
      <c r="C90" s="539" t="n">
        <v>0</v>
      </c>
      <c r="D90" s="540" t="inlineStr">
        <is>
          <t>EUR</t>
        </is>
      </c>
      <c r="E90" s="539" t="n"/>
      <c r="F90" s="541" t="n"/>
      <c r="G90" s="538" t="inlineStr">
        <is>
          <t>#Solde</t>
        </is>
      </c>
      <c r="H90" s="538" t="inlineStr">
        <is>
          <t>Assurance vie Alice</t>
        </is>
      </c>
    </row>
    <row r="91" ht="16.5" customHeight="1" s="304">
      <c r="A91" s="531" t="n">
        <v>46092</v>
      </c>
      <c r="B91" s="538" t="inlineStr">
        <is>
          <t>Relevé compte</t>
        </is>
      </c>
      <c r="C91" s="539" t="n">
        <v>2881.92</v>
      </c>
      <c r="D91" s="540" t="inlineStr">
        <is>
          <t>EUR</t>
        </is>
      </c>
      <c r="E91" s="539" t="n"/>
      <c r="F91" s="541" t="n"/>
      <c r="G91" s="538" t="inlineStr">
        <is>
          <t>#Solde</t>
        </is>
      </c>
      <c r="H91" s="538" t="inlineStr">
        <is>
          <t>Compte chèque commun</t>
        </is>
      </c>
    </row>
    <row r="92" ht="16.5" customHeight="1" s="304">
      <c r="A92" s="531" t="n">
        <v>46092</v>
      </c>
      <c r="B92" s="538" t="inlineStr">
        <is>
          <t>Relevé compte</t>
        </is>
      </c>
      <c r="C92" s="539" t="n">
        <v>0</v>
      </c>
      <c r="D92" s="540" t="inlineStr">
        <is>
          <t>EUR</t>
        </is>
      </c>
      <c r="E92" s="539" t="n"/>
      <c r="F92" s="541" t="n"/>
      <c r="G92" s="538" t="inlineStr">
        <is>
          <t>#Solde</t>
        </is>
      </c>
      <c r="H92" s="538" t="inlineStr">
        <is>
          <t>Livret A Barnabé</t>
        </is>
      </c>
    </row>
    <row r="93" ht="16.5" customHeight="1" s="304">
      <c r="A93" s="531" t="n">
        <v>46092</v>
      </c>
      <c r="B93" s="538" t="inlineStr">
        <is>
          <t>Relevé compte</t>
        </is>
      </c>
      <c r="C93" s="539" t="n">
        <v>0</v>
      </c>
      <c r="D93" s="540" t="inlineStr">
        <is>
          <t>EUR</t>
        </is>
      </c>
      <c r="E93" s="539" t="n"/>
      <c r="F93" s="541" t="n"/>
      <c r="G93" s="538" t="inlineStr">
        <is>
          <t>#Solde</t>
        </is>
      </c>
      <c r="H93" s="538" t="inlineStr">
        <is>
          <t>PEE Alice</t>
        </is>
      </c>
    </row>
    <row r="94" ht="16.5" customHeight="1" s="304">
      <c r="A94" s="531" t="n">
        <v>46092</v>
      </c>
      <c r="B94" s="538" t="inlineStr">
        <is>
          <t>Relevé compte</t>
        </is>
      </c>
      <c r="C94" s="539" t="n">
        <v>0</v>
      </c>
      <c r="D94" s="540" t="inlineStr">
        <is>
          <t>EUR</t>
        </is>
      </c>
      <c r="E94" s="539" t="n"/>
      <c r="F94" s="541" t="n"/>
      <c r="G94" s="538" t="inlineStr">
        <is>
          <t>#Solde</t>
        </is>
      </c>
      <c r="H94" s="538" t="inlineStr">
        <is>
          <t>Compte chèque BB</t>
        </is>
      </c>
    </row>
    <row r="95" ht="16.5" customHeight="1" s="304">
      <c r="A95" s="531" t="n">
        <v>46092</v>
      </c>
      <c r="B95" s="538" t="inlineStr">
        <is>
          <t>Relevé compte</t>
        </is>
      </c>
      <c r="C95" s="539" t="n">
        <v>0</v>
      </c>
      <c r="D95" s="540" t="inlineStr">
        <is>
          <t>EUR</t>
        </is>
      </c>
      <c r="E95" s="539" t="n"/>
      <c r="F95" s="541" t="n"/>
      <c r="G95" s="538" t="inlineStr">
        <is>
          <t>#Solde</t>
        </is>
      </c>
      <c r="H95" s="538" t="inlineStr">
        <is>
          <t>Portefeuille BB Titres</t>
        </is>
      </c>
    </row>
    <row r="96" ht="16.5" customHeight="1" s="304">
      <c r="A96" s="531" t="n">
        <v>46092</v>
      </c>
      <c r="B96" s="538" t="inlineStr">
        <is>
          <t>Relevé compte</t>
        </is>
      </c>
      <c r="C96" s="539" t="n">
        <v>0</v>
      </c>
      <c r="D96" s="540" t="inlineStr">
        <is>
          <t>EUR</t>
        </is>
      </c>
      <c r="E96" s="539" t="n"/>
      <c r="F96" s="541" t="n"/>
      <c r="G96" s="538" t="inlineStr">
        <is>
          <t>#Solde</t>
        </is>
      </c>
      <c r="H96" s="538" t="inlineStr">
        <is>
          <t>Portefeuille DEGIRO Titres</t>
        </is>
      </c>
    </row>
    <row r="97" ht="16.5" customHeight="1" s="304">
      <c r="A97" s="531" t="n">
        <v>46092</v>
      </c>
      <c r="B97" s="538" t="inlineStr">
        <is>
          <t>Relevé compte</t>
        </is>
      </c>
      <c r="C97" s="539" t="n">
        <v>0</v>
      </c>
      <c r="D97" s="540" t="inlineStr">
        <is>
          <t>EUR</t>
        </is>
      </c>
      <c r="E97" s="539" t="n"/>
      <c r="F97" s="541" t="n"/>
      <c r="G97" s="538" t="inlineStr">
        <is>
          <t>#Solde</t>
        </is>
      </c>
      <c r="H97" s="538" t="inlineStr">
        <is>
          <t>Portefeuille DEGIRO Réserve</t>
        </is>
      </c>
    </row>
    <row r="98" ht="16.5" customHeight="1" s="304">
      <c r="A98" s="531" t="n">
        <v>46092</v>
      </c>
      <c r="B98" s="538" t="inlineStr">
        <is>
          <t>Relevé compte</t>
        </is>
      </c>
      <c r="C98" s="539" t="n">
        <v>0</v>
      </c>
      <c r="D98" s="540" t="inlineStr">
        <is>
          <t>EUR</t>
        </is>
      </c>
      <c r="E98" s="539" t="n"/>
      <c r="F98" s="541" t="n"/>
      <c r="G98" s="538" t="inlineStr">
        <is>
          <t>#Solde</t>
        </is>
      </c>
      <c r="H98" s="538" t="inlineStr">
        <is>
          <t>Compte Wise EUR</t>
        </is>
      </c>
    </row>
    <row r="99" ht="16.5" customHeight="1" s="304">
      <c r="A99" s="531" t="n">
        <v>46092</v>
      </c>
      <c r="B99" s="538" t="inlineStr">
        <is>
          <t>Relevé compte</t>
        </is>
      </c>
      <c r="C99" s="539" t="n">
        <v>0</v>
      </c>
      <c r="D99" s="540" t="inlineStr">
        <is>
          <t>USD</t>
        </is>
      </c>
      <c r="E99" s="539" t="n"/>
      <c r="F99" s="541" t="n"/>
      <c r="G99" s="538" t="inlineStr">
        <is>
          <t>#Solde</t>
        </is>
      </c>
      <c r="H99" s="538" t="inlineStr">
        <is>
          <t>Compte Wise USD</t>
        </is>
      </c>
    </row>
    <row r="100" ht="16.5" customHeight="1" s="304">
      <c r="A100" s="531" t="n">
        <v>46092</v>
      </c>
      <c r="B100" s="538" t="inlineStr">
        <is>
          <t>Relevé compte</t>
        </is>
      </c>
      <c r="C100" s="539" t="n">
        <v>0</v>
      </c>
      <c r="D100" s="540" t="inlineStr">
        <is>
          <t>SGD</t>
        </is>
      </c>
      <c r="E100" s="539" t="n"/>
      <c r="F100" s="541" t="n"/>
      <c r="G100" s="538" t="inlineStr">
        <is>
          <t>#Solde</t>
        </is>
      </c>
      <c r="H100" s="538" t="inlineStr">
        <is>
          <t>Compte Wise SGD</t>
        </is>
      </c>
    </row>
    <row r="101" ht="16.5" customHeight="1" s="304">
      <c r="A101" s="531" t="n">
        <v>46092</v>
      </c>
      <c r="B101" s="538" t="inlineStr">
        <is>
          <t>Relevé compte</t>
        </is>
      </c>
      <c r="C101" s="539" t="n">
        <v>0</v>
      </c>
      <c r="D101" s="540" t="inlineStr">
        <is>
          <t>XMR</t>
        </is>
      </c>
      <c r="E101" s="539" t="n"/>
      <c r="F101" s="541" t="n"/>
      <c r="G101" s="538" t="inlineStr">
        <is>
          <t>#Solde</t>
        </is>
      </c>
      <c r="H101" s="538" t="inlineStr">
        <is>
          <t>Cake Wallet XMR</t>
        </is>
      </c>
    </row>
    <row r="102" ht="16.5" customHeight="1" s="304">
      <c r="A102" s="531" t="n">
        <v>46092</v>
      </c>
      <c r="B102" s="538" t="inlineStr">
        <is>
          <t>Relevé compte</t>
        </is>
      </c>
      <c r="C102" s="539" t="n">
        <v>0</v>
      </c>
      <c r="D102" s="540" t="inlineStr">
        <is>
          <t>EUR</t>
        </is>
      </c>
      <c r="E102" s="539" t="n"/>
      <c r="F102" s="541" t="n"/>
      <c r="G102" s="538" t="inlineStr">
        <is>
          <t>#Solde</t>
        </is>
      </c>
      <c r="H102" s="538" t="inlineStr">
        <is>
          <t>Portefeuille BB Réserve</t>
        </is>
      </c>
    </row>
    <row r="103" ht="16.5" customHeight="1" s="304"/>
    <row r="104" ht="16.5" customHeight="1" s="304"/>
    <row r="105" ht="16.5" customHeight="1" s="304"/>
    <row r="106" ht="16.5" customHeight="1" s="304"/>
    <row r="107" ht="16.5" customHeight="1" s="304"/>
    <row r="108" ht="16.5" customHeight="1" s="304"/>
    <row r="109" ht="16.5" customHeight="1" s="304"/>
    <row r="110" ht="16.5" customHeight="1" s="304"/>
    <row r="111" ht="16.5" customHeight="1" s="304"/>
    <row r="112" ht="16.5" customHeight="1" s="304"/>
    <row r="113" ht="16.5" customHeight="1" s="304"/>
    <row r="114" ht="16.5" customHeight="1" s="304"/>
    <row r="115" ht="16.5" customHeight="1" s="304"/>
    <row r="116" ht="16.5" customHeight="1" s="304"/>
    <row r="117" ht="16.5" customHeight="1" s="304"/>
    <row r="118" ht="16.5" customHeight="1" s="304"/>
    <row r="119" ht="16.5" customHeight="1" s="304"/>
    <row r="120" ht="16.5" customHeight="1" s="304"/>
    <row r="121" ht="16.5" customHeight="1" s="304"/>
    <row r="122" ht="16.5" customHeight="1" s="304"/>
    <row r="123" ht="16.5" customHeight="1" s="304"/>
    <row r="124" ht="16.5" customHeight="1" s="304"/>
    <row r="125" ht="16.5" customHeight="1" s="304"/>
    <row r="126" ht="16.5" customHeight="1" s="304"/>
    <row r="127" ht="16.5" customHeight="1" s="304"/>
    <row r="128" ht="16.5" customHeight="1" s="304"/>
    <row r="129" ht="16.5" customHeight="1" s="304"/>
    <row r="130" ht="16.5" customHeight="1" s="304"/>
    <row r="131" ht="16.5" customHeight="1" s="304"/>
    <row r="132" ht="16.5" customHeight="1" s="304"/>
    <row r="133" ht="16.5" customHeight="1" s="304"/>
    <row r="134" ht="16.5" customHeight="1" s="304"/>
    <row r="135" ht="16.5" customHeight="1" s="304"/>
    <row r="136" ht="16.5" customHeight="1" s="304"/>
    <row r="137" ht="16.5" customHeight="1" s="304"/>
    <row r="138" ht="16.5" customHeight="1" s="304"/>
    <row r="139" ht="16.5" customHeight="1" s="304"/>
    <row r="140" ht="16.5" customHeight="1" s="304"/>
    <row r="141" ht="16.5" customHeight="1" s="304"/>
    <row r="142" ht="16.5" customHeight="1" s="304"/>
    <row r="143" ht="16.5" customHeight="1" s="304"/>
    <row r="144" ht="16.5" customHeight="1" s="304"/>
    <row r="145" ht="16.5" customHeight="1" s="304"/>
    <row r="146" ht="16.5" customHeight="1" s="304"/>
    <row r="147" ht="16.5" customHeight="1" s="304"/>
    <row r="148" ht="16.5" customHeight="1" s="304"/>
    <row r="149" ht="16.5" customHeight="1" s="304"/>
    <row r="150" ht="16.5" customHeight="1" s="304"/>
    <row r="151" ht="16.5" customHeight="1" s="304"/>
    <row r="152" ht="16.5" customHeight="1" s="304"/>
    <row r="153" ht="16.5" customHeight="1" s="304"/>
    <row r="154" ht="16.5" customHeight="1" s="304"/>
    <row r="155" ht="16.5" customHeight="1" s="304"/>
    <row r="156" ht="16.5" customHeight="1" s="304"/>
    <row r="157" ht="16.5" customHeight="1" s="304"/>
    <row r="158" ht="16.5" customHeight="1" s="304"/>
    <row r="159" ht="16.5" customHeight="1" s="304"/>
    <row r="160" ht="16.5" customHeight="1" s="304"/>
    <row r="161" ht="16.5" customHeight="1" s="304"/>
    <row r="162" ht="16.5" customHeight="1" s="304"/>
    <row r="163" ht="16.5" customHeight="1" s="304"/>
    <row r="164" ht="16.5" customHeight="1" s="304"/>
    <row r="165" ht="16.5" customHeight="1" s="304"/>
    <row r="166" ht="16.5" customHeight="1" s="304"/>
    <row r="167" ht="16.5" customHeight="1" s="304"/>
    <row r="168" ht="16.5" customHeight="1" s="304"/>
    <row r="169" ht="16.5" customHeight="1" s="304"/>
    <row r="170" ht="16.5" customHeight="1" s="304"/>
    <row r="171" ht="16.5" customHeight="1" s="304"/>
    <row r="172" ht="16.5" customHeight="1" s="304"/>
    <row r="173" ht="16.5" customHeight="1" s="304"/>
    <row r="174" ht="16.5" customHeight="1" s="304"/>
    <row r="175" ht="16.5" customHeight="1" s="304"/>
    <row r="176" ht="16.5" customHeight="1" s="304"/>
    <row r="177" ht="16.5" customHeight="1" s="304"/>
    <row r="178" ht="16.5" customHeight="1" s="304"/>
    <row r="179" ht="16.5" customHeight="1" s="304"/>
    <row r="180" ht="16.5" customHeight="1" s="304"/>
    <row r="181" ht="16.5" customHeight="1" s="304"/>
    <row r="182" ht="16.5" customHeight="1" s="304"/>
    <row r="183" ht="16.5" customHeight="1" s="304"/>
    <row r="184" ht="16.5" customHeight="1" s="304"/>
    <row r="185" ht="16.5" customHeight="1" s="304"/>
    <row r="186" ht="16.5" customHeight="1" s="304"/>
    <row r="187" ht="16.5" customHeight="1" s="304"/>
    <row r="188" ht="16.5" customHeight="1" s="304"/>
    <row r="189" ht="16.5" customHeight="1" s="304"/>
    <row r="190" ht="16.5" customHeight="1" s="304"/>
    <row r="191" ht="16.5" customHeight="1" s="304"/>
    <row r="192" ht="16.5" customHeight="1" s="304"/>
    <row r="193" ht="16.5" customHeight="1" s="304"/>
    <row r="194" ht="16.5" customHeight="1" s="304"/>
    <row r="195" ht="16.5" customHeight="1" s="304"/>
    <row r="196" ht="16.5" customHeight="1" s="304"/>
    <row r="197" ht="16.5" customHeight="1" s="304"/>
    <row r="198" ht="16.5" customHeight="1" s="304"/>
    <row r="199" ht="16.5" customHeight="1" s="304"/>
    <row r="200" ht="16.5" customHeight="1" s="304"/>
    <row r="201" ht="16.5" customHeight="1" s="304"/>
    <row r="202" ht="16.5" customHeight="1" s="304"/>
    <row r="203" ht="16.5" customHeight="1" s="304"/>
    <row r="204" ht="16.5" customHeight="1" s="304"/>
    <row r="205" ht="16.5" customHeight="1" s="304"/>
    <row r="206" ht="16.5" customHeight="1" s="304"/>
    <row r="207" ht="16.5" customHeight="1" s="304"/>
    <row r="208" ht="16.5" customHeight="1" s="304"/>
    <row r="209" ht="16.5" customHeight="1" s="304"/>
    <row r="210" ht="16.5" customHeight="1" s="304"/>
    <row r="211" ht="16.5" customHeight="1" s="304"/>
    <row r="212" ht="16.5" customHeight="1" s="304"/>
    <row r="213" ht="16.5" customHeight="1" s="304"/>
    <row r="214" ht="16.5" customHeight="1" s="304"/>
    <row r="215" ht="16.5" customHeight="1" s="304"/>
    <row r="216" ht="16.5" customHeight="1" s="304"/>
    <row r="217" ht="16.5" customHeight="1" s="304"/>
    <row r="218" ht="16.5" customHeight="1" s="304"/>
    <row r="219" ht="16.5" customHeight="1" s="304"/>
    <row r="220" ht="16.5" customHeight="1" s="304"/>
    <row r="221" ht="16.5" customHeight="1" s="304"/>
    <row r="222" ht="16.5" customHeight="1" s="304"/>
    <row r="223" ht="16.5" customHeight="1" s="304"/>
    <row r="224" ht="16.5" customHeight="1" s="304"/>
    <row r="225" ht="16.5" customHeight="1" s="304"/>
    <row r="226" ht="16.5" customHeight="1" s="304"/>
    <row r="227" ht="16.5" customHeight="1" s="304"/>
    <row r="228" ht="16.5" customHeight="1" s="304"/>
    <row r="229" ht="16.5" customHeight="1" s="304"/>
    <row r="230" ht="16.5" customHeight="1" s="304"/>
    <row r="231" ht="16.5" customHeight="1" s="304"/>
    <row r="232" ht="16.5" customHeight="1" s="304"/>
    <row r="233" ht="16.5" customHeight="1" s="304"/>
    <row r="234" ht="16.5" customHeight="1" s="304"/>
    <row r="235" ht="16.5" customHeight="1" s="304"/>
    <row r="236" ht="16.5" customHeight="1" s="304"/>
    <row r="237" ht="16.5" customHeight="1" s="304"/>
    <row r="238" ht="16.5" customHeight="1" s="304"/>
    <row r="239" ht="16.5" customHeight="1" s="304"/>
    <row r="240" ht="16.5" customHeight="1" s="304"/>
    <row r="241" ht="16.5" customHeight="1" s="304"/>
    <row r="242" ht="16.5" customHeight="1" s="304"/>
    <row r="243" ht="16.5" customHeight="1" s="304"/>
    <row r="244" ht="16.5" customHeight="1" s="304"/>
    <row r="245" ht="16.5" customHeight="1" s="304"/>
    <row r="246" ht="16.5" customHeight="1" s="304"/>
    <row r="247" ht="16.5" customHeight="1" s="304"/>
    <row r="248" ht="16.5" customHeight="1" s="304"/>
    <row r="249" ht="16.5" customHeight="1" s="304"/>
    <row r="250" ht="16.5" customHeight="1" s="304"/>
    <row r="251" ht="16.5" customHeight="1" s="304"/>
    <row r="252" ht="16.5" customHeight="1" s="304"/>
    <row r="253" ht="16.5" customHeight="1" s="304"/>
    <row r="254" ht="16.5" customHeight="1" s="304"/>
    <row r="255" ht="16.5" customHeight="1" s="304"/>
    <row r="256" ht="16.5" customHeight="1" s="304"/>
    <row r="257" ht="16.5" customHeight="1" s="304"/>
    <row r="258" ht="16.5" customHeight="1" s="304"/>
    <row r="259" ht="16.5" customHeight="1" s="304"/>
    <row r="260" ht="16.5" customHeight="1" s="304"/>
    <row r="261" ht="16.5" customHeight="1" s="304"/>
    <row r="262" ht="16.5" customHeight="1" s="304"/>
    <row r="263" ht="16.5" customHeight="1" s="304"/>
    <row r="264" ht="16.5" customHeight="1" s="304"/>
    <row r="265" ht="16.5" customHeight="1" s="304"/>
    <row r="266" ht="16.5" customHeight="1" s="304"/>
    <row r="267" ht="16.5" customHeight="1" s="304"/>
    <row r="268" ht="16.5" customHeight="1" s="304"/>
    <row r="269" ht="16.5" customHeight="1" s="304"/>
    <row r="270" ht="16.5" customHeight="1" s="304"/>
    <row r="271" ht="16.5" customHeight="1" s="304"/>
    <row r="272" ht="16.5" customHeight="1" s="304"/>
    <row r="273" ht="16.5" customHeight="1" s="304"/>
    <row r="274" ht="16.5" customHeight="1" s="304"/>
    <row r="275" ht="16.5" customHeight="1" s="304"/>
    <row r="276" ht="16.5" customHeight="1" s="304"/>
    <row r="277" ht="16.5" customHeight="1" s="304"/>
    <row r="278" ht="16.5" customHeight="1" s="304"/>
    <row r="279" ht="16.5" customHeight="1" s="304"/>
    <row r="280" ht="16.5" customHeight="1" s="304"/>
    <row r="281" ht="16.5" customHeight="1" s="304"/>
    <row r="282" ht="16.5" customHeight="1" s="304"/>
    <row r="283" ht="16.5" customHeight="1" s="304"/>
    <row r="284" ht="16.5" customHeight="1" s="304"/>
    <row r="285" ht="16.5" customHeight="1" s="304"/>
    <row r="286" ht="16.5" customHeight="1" s="304"/>
    <row r="287" ht="16.5" customHeight="1" s="304"/>
    <row r="288" ht="16.5" customHeight="1" s="304"/>
    <row r="289" ht="16.5" customHeight="1" s="304"/>
    <row r="290" ht="16.5" customHeight="1" s="304"/>
    <row r="291" ht="16.5" customHeight="1" s="304"/>
    <row r="292" ht="16.5" customHeight="1" s="304"/>
    <row r="293" ht="16.5" customHeight="1" s="304"/>
    <row r="294" ht="16.5" customHeight="1" s="304"/>
    <row r="295" ht="16.5" customHeight="1" s="304"/>
    <row r="296" ht="16.5" customHeight="1" s="304"/>
    <row r="297" ht="16.5" customHeight="1" s="304"/>
    <row r="298" ht="16.5" customHeight="1" s="304"/>
    <row r="299" ht="16.5" customHeight="1" s="304"/>
    <row r="300" ht="16.5" customHeight="1" s="304"/>
    <row r="301" ht="16.5" customHeight="1" s="304"/>
    <row r="302" ht="16.5" customHeight="1" s="304"/>
    <row r="303" ht="16.5" customHeight="1" s="304"/>
    <row r="304" ht="16.5" customHeight="1" s="304"/>
    <row r="305" ht="16.5" customHeight="1" s="304"/>
    <row r="306" ht="16.5" customHeight="1" s="304"/>
    <row r="307" ht="16.5" customHeight="1" s="304"/>
    <row r="308" ht="16.5" customHeight="1" s="304"/>
    <row r="309" ht="16.5" customHeight="1" s="304"/>
    <row r="310" ht="16.5" customHeight="1" s="304"/>
    <row r="311" ht="16.5" customHeight="1" s="304"/>
    <row r="312" ht="16.5" customHeight="1" s="304"/>
    <row r="313" ht="16.5" customHeight="1" s="304"/>
    <row r="314" ht="16.5" customHeight="1" s="304"/>
    <row r="315" ht="16.5" customHeight="1" s="304"/>
    <row r="316" ht="16.5" customHeight="1" s="304"/>
    <row r="317" ht="16.5" customHeight="1" s="304"/>
    <row r="318" ht="16.5" customHeight="1" s="304"/>
    <row r="319" ht="16.5" customHeight="1" s="304"/>
    <row r="320" ht="16.5" customHeight="1" s="304"/>
    <row r="321" ht="16.5" customHeight="1" s="304"/>
    <row r="322" ht="16.5" customHeight="1" s="304"/>
    <row r="323" ht="16.5" customHeight="1" s="304"/>
    <row r="324" ht="16.5" customHeight="1" s="304"/>
    <row r="325" ht="16.5" customHeight="1" s="304"/>
    <row r="326" ht="16.5" customHeight="1" s="304"/>
    <row r="327" ht="16.5" customHeight="1" s="304"/>
    <row r="328" ht="16.5" customHeight="1" s="304"/>
    <row r="329" ht="16.5" customHeight="1" s="304"/>
    <row r="330" ht="16.5" customHeight="1" s="304"/>
    <row r="331" ht="16.5" customHeight="1" s="304"/>
    <row r="332" ht="16.5" customHeight="1" s="304"/>
    <row r="333" ht="16.5" customHeight="1" s="304"/>
    <row r="334" ht="16.5" customHeight="1" s="304"/>
    <row r="335" ht="16.5" customHeight="1" s="304"/>
    <row r="336" ht="16.5" customHeight="1" s="304"/>
    <row r="337" ht="16.5" customHeight="1" s="304"/>
    <row r="338" ht="16.5" customHeight="1" s="304"/>
    <row r="339" ht="16.5" customHeight="1" s="304"/>
    <row r="340" ht="16.5" customHeight="1" s="304"/>
    <row r="341" ht="16.5" customHeight="1" s="304"/>
    <row r="342" ht="16.5" customHeight="1" s="304"/>
    <row r="343" ht="16.5" customHeight="1" s="304"/>
    <row r="344" ht="16.5" customHeight="1" s="304"/>
    <row r="345" ht="16.5" customHeight="1" s="304"/>
    <row r="346" ht="16.5" customHeight="1" s="304"/>
    <row r="347" ht="16.5" customHeight="1" s="304"/>
    <row r="348" ht="16.5" customHeight="1" s="304"/>
    <row r="349" ht="16.5" customHeight="1" s="304"/>
    <row r="350" ht="16.5" customHeight="1" s="304"/>
    <row r="351" ht="16.5" customHeight="1" s="304"/>
    <row r="352" ht="16.5" customHeight="1" s="304"/>
    <row r="353" ht="16.5" customHeight="1" s="304"/>
    <row r="354" ht="16.5" customHeight="1" s="304"/>
    <row r="355" ht="16.5" customHeight="1" s="304"/>
    <row r="356" ht="16.5" customHeight="1" s="304"/>
    <row r="357" ht="16.5" customHeight="1" s="304"/>
    <row r="358" ht="16.5" customHeight="1" s="304"/>
    <row r="359" ht="16.5" customHeight="1" s="304"/>
    <row r="360" ht="16.5" customHeight="1" s="304"/>
    <row r="361" ht="16.5" customHeight="1" s="304"/>
    <row r="362" ht="16.5" customHeight="1" s="304"/>
    <row r="363" ht="16.5" customHeight="1" s="304"/>
    <row r="364" ht="16.5" customHeight="1" s="304"/>
    <row r="365" ht="16.5" customHeight="1" s="304"/>
    <row r="366" ht="16.5" customHeight="1" s="304"/>
    <row r="367" ht="16.5" customHeight="1" s="304"/>
    <row r="368" ht="16.5" customHeight="1" s="304"/>
    <row r="369" ht="16.5" customHeight="1" s="304"/>
    <row r="370" ht="16.5" customHeight="1" s="304"/>
    <row r="371" ht="16.5" customHeight="1" s="304"/>
    <row r="372" ht="16.5" customHeight="1" s="304"/>
    <row r="373" ht="16.5" customHeight="1" s="304"/>
    <row r="374" ht="16.5" customHeight="1" s="304"/>
    <row r="375" ht="16.5" customHeight="1" s="304"/>
    <row r="376" ht="16.5" customHeight="1" s="304"/>
    <row r="377" ht="16.5" customHeight="1" s="304"/>
    <row r="378" ht="16.5" customHeight="1" s="304"/>
    <row r="379" ht="16.5" customHeight="1" s="304"/>
    <row r="380" ht="16.5" customHeight="1" s="304"/>
    <row r="381" ht="16.5" customHeight="1" s="304"/>
    <row r="382" ht="16.5" customHeight="1" s="304"/>
    <row r="383" ht="16.5" customHeight="1" s="304"/>
    <row r="384" ht="16.5" customHeight="1" s="304"/>
    <row r="385" ht="16.5" customHeight="1" s="304"/>
    <row r="386" ht="16.5" customHeight="1" s="304"/>
    <row r="387" ht="16.5" customHeight="1" s="304"/>
    <row r="388" ht="16.5" customHeight="1" s="304"/>
    <row r="389" ht="16.5" customHeight="1" s="304"/>
    <row r="390" ht="16.5" customHeight="1" s="304"/>
    <row r="391" ht="16.5" customHeight="1" s="304"/>
    <row r="392" ht="16.5" customHeight="1" s="304"/>
    <row r="393" ht="16.5" customHeight="1" s="304"/>
    <row r="394" ht="16.5" customHeight="1" s="304"/>
    <row r="395" ht="16.5" customHeight="1" s="304"/>
    <row r="396" ht="16.5" customHeight="1" s="304"/>
    <row r="397" ht="16.5" customHeight="1" s="304"/>
    <row r="398" ht="16.5" customHeight="1" s="304"/>
    <row r="399" ht="16.5" customHeight="1" s="304"/>
    <row r="400" ht="16.5" customHeight="1" s="304"/>
    <row r="401" ht="16.5" customHeight="1" s="304"/>
    <row r="402" ht="16.5" customHeight="1" s="304"/>
    <row r="403" ht="16.5" customHeight="1" s="304"/>
    <row r="404" ht="16.5" customHeight="1" s="304"/>
    <row r="405" ht="16.5" customHeight="1" s="304"/>
    <row r="406" ht="16.5" customHeight="1" s="304"/>
    <row r="407" ht="16.5" customHeight="1" s="304"/>
    <row r="408" ht="16.5" customHeight="1" s="304"/>
    <row r="409" ht="16.5" customHeight="1" s="304"/>
    <row r="410" ht="16.5" customHeight="1" s="304"/>
    <row r="411" ht="16.5" customHeight="1" s="304"/>
    <row r="412" ht="16.5" customHeight="1" s="304"/>
    <row r="413" ht="16.5" customHeight="1" s="304"/>
    <row r="414" ht="16.5" customHeight="1" s="304"/>
    <row r="415" ht="16.5" customHeight="1" s="304"/>
    <row r="416" ht="16.5" customHeight="1" s="304"/>
    <row r="417" ht="16.5" customHeight="1" s="304"/>
    <row r="418" ht="16.5" customHeight="1" s="304"/>
    <row r="419" ht="16.5" customHeight="1" s="304"/>
    <row r="420" ht="16.5" customHeight="1" s="304"/>
    <row r="421" ht="16.5" customHeight="1" s="304"/>
    <row r="422" ht="16.5" customHeight="1" s="304"/>
    <row r="423" ht="16.5" customHeight="1" s="304"/>
    <row r="424" ht="16.5" customHeight="1" s="304"/>
    <row r="425" ht="16.5" customHeight="1" s="304"/>
    <row r="426" ht="16.5" customHeight="1" s="304"/>
    <row r="427" ht="16.5" customHeight="1" s="304"/>
    <row r="428" ht="16.5" customHeight="1" s="304"/>
    <row r="429" ht="16.5" customHeight="1" s="304"/>
    <row r="430" ht="16.5" customHeight="1" s="304"/>
    <row r="431" ht="16.5" customHeight="1" s="304"/>
    <row r="432" ht="16.5" customHeight="1" s="304"/>
    <row r="433" ht="16.5" customHeight="1" s="304"/>
    <row r="434" ht="16.5" customHeight="1" s="304"/>
    <row r="435" ht="16.5" customHeight="1" s="304"/>
    <row r="436" ht="16.5" customHeight="1" s="304"/>
    <row r="437" ht="16.5" customHeight="1" s="304"/>
    <row r="438" ht="16.5" customHeight="1" s="304"/>
    <row r="439" ht="16.5" customHeight="1" s="304"/>
    <row r="440" ht="16.5" customHeight="1" s="304"/>
    <row r="441" ht="16.5" customHeight="1" s="304"/>
    <row r="442" ht="16.5" customHeight="1" s="304"/>
    <row r="443" ht="16.5" customHeight="1" s="304"/>
    <row r="444" ht="16.5" customHeight="1" s="304"/>
    <row r="445" ht="16.5" customHeight="1" s="304"/>
    <row r="446" ht="16.5" customHeight="1" s="304"/>
    <row r="447" ht="16.5" customHeight="1" s="304"/>
    <row r="448" ht="16.5" customHeight="1" s="304"/>
    <row r="449" ht="16.5" customHeight="1" s="304"/>
    <row r="450" ht="16.5" customHeight="1" s="304"/>
    <row r="451" ht="16.5" customHeight="1" s="304"/>
    <row r="452" ht="16.5" customHeight="1" s="304"/>
    <row r="453" ht="16.5" customHeight="1" s="304"/>
    <row r="454" ht="16.5" customHeight="1" s="304"/>
    <row r="455" ht="16.5" customHeight="1" s="304"/>
    <row r="456" ht="16.5" customHeight="1" s="304"/>
    <row r="457" ht="16.5" customHeight="1" s="304"/>
    <row r="458" ht="16.5" customHeight="1" s="304"/>
    <row r="459" ht="16.5" customHeight="1" s="304"/>
    <row r="460" ht="16.5" customHeight="1" s="304"/>
    <row r="461" ht="16.5" customHeight="1" s="304"/>
    <row r="462" ht="16.5" customHeight="1" s="304"/>
    <row r="463" ht="16.5" customHeight="1" s="304"/>
    <row r="464" ht="16.5" customHeight="1" s="304"/>
    <row r="465" ht="16.5" customHeight="1" s="304"/>
    <row r="466" ht="16.5" customHeight="1" s="304"/>
    <row r="467" ht="16.5" customHeight="1" s="304"/>
    <row r="468" ht="16.5" customHeight="1" s="304"/>
    <row r="469" ht="16.5" customHeight="1" s="304"/>
    <row r="470" ht="16.5" customHeight="1" s="304"/>
    <row r="471" ht="16.5" customHeight="1" s="304"/>
    <row r="472" ht="16.5" customHeight="1" s="304"/>
    <row r="473" ht="16.5" customHeight="1" s="304"/>
    <row r="474" ht="16.5" customHeight="1" s="304"/>
    <row r="475" ht="16.5" customHeight="1" s="304"/>
    <row r="476" ht="16.5" customHeight="1" s="304"/>
    <row r="477" ht="16.5" customHeight="1" s="304"/>
    <row r="478" ht="16.5" customHeight="1" s="304"/>
    <row r="479" ht="16.5" customHeight="1" s="304"/>
    <row r="480" ht="16.5" customHeight="1" s="304"/>
    <row r="481" ht="16.5" customHeight="1" s="304"/>
    <row r="482" ht="16.5" customHeight="1" s="304"/>
    <row r="483" ht="16.5" customHeight="1" s="304"/>
    <row r="484" ht="16.5" customHeight="1" s="304"/>
    <row r="485" ht="16.5" customHeight="1" s="304"/>
    <row r="486" ht="16.5" customHeight="1" s="304"/>
    <row r="487" ht="16.5" customHeight="1" s="304"/>
    <row r="488" ht="16.5" customHeight="1" s="304"/>
    <row r="489" ht="16.5" customHeight="1" s="304"/>
    <row r="490" ht="16.5" customHeight="1" s="304"/>
    <row r="491" ht="16.5" customHeight="1" s="304"/>
    <row r="492" ht="16.5" customHeight="1" s="304"/>
    <row r="493" ht="16.5" customHeight="1" s="304"/>
    <row r="494" ht="16.5" customHeight="1" s="304"/>
    <row r="495" ht="16.5" customHeight="1" s="304"/>
    <row r="496" ht="16.5" customHeight="1" s="304"/>
    <row r="497" ht="16.5" customHeight="1" s="304"/>
    <row r="498" ht="16.5" customHeight="1" s="304"/>
    <row r="499" ht="16.5" customHeight="1" s="304"/>
    <row r="500" ht="16.5" customHeight="1" s="304"/>
    <row r="501" ht="16.5" customHeight="1" s="304"/>
    <row r="502" ht="16.5" customHeight="1" s="304"/>
    <row r="503" ht="16.5" customHeight="1" s="304"/>
    <row r="504" ht="16.5" customHeight="1" s="304"/>
    <row r="505" ht="16.5" customHeight="1" s="304"/>
    <row r="506" ht="16.5" customHeight="1" s="304"/>
    <row r="507" ht="16.5" customHeight="1" s="304"/>
    <row r="508" ht="16.5" customHeight="1" s="304"/>
    <row r="509" ht="16.5" customHeight="1" s="304"/>
    <row r="510" ht="16.5" customHeight="1" s="304"/>
    <row r="511" ht="16.5" customHeight="1" s="304"/>
    <row r="512" ht="16.5" customHeight="1" s="304"/>
    <row r="513" ht="16.5" customHeight="1" s="304"/>
    <row r="514" ht="16.5" customHeight="1" s="304"/>
    <row r="515" ht="16.5" customHeight="1" s="304"/>
    <row r="516" ht="16.5" customHeight="1" s="304"/>
    <row r="517" ht="16.5" customHeight="1" s="304"/>
    <row r="518" ht="16.5" customHeight="1" s="304"/>
    <row r="519" ht="16.5" customHeight="1" s="304"/>
    <row r="520" ht="16.5" customHeight="1" s="304"/>
    <row r="521" ht="16.5" customHeight="1" s="304"/>
    <row r="522" ht="16.5" customHeight="1" s="304"/>
    <row r="523" ht="16.5" customHeight="1" s="304"/>
    <row r="524" ht="16.5" customHeight="1" s="304"/>
    <row r="525" ht="16.5" customHeight="1" s="304"/>
    <row r="526" ht="16.5" customHeight="1" s="304"/>
    <row r="527" ht="16.5" customHeight="1" s="304"/>
    <row r="528" ht="16.5" customHeight="1" s="304"/>
    <row r="529" ht="16.5" customHeight="1" s="304"/>
    <row r="530" ht="16.5" customHeight="1" s="304"/>
    <row r="531" ht="16.5" customHeight="1" s="304"/>
    <row r="532" ht="16.5" customHeight="1" s="304"/>
    <row r="533" ht="16.5" customHeight="1" s="304"/>
    <row r="534" ht="16.5" customHeight="1" s="304"/>
    <row r="535" ht="16.5" customHeight="1" s="304"/>
    <row r="536" ht="16.5" customHeight="1" s="304"/>
    <row r="537" ht="16.5" customHeight="1" s="304"/>
    <row r="538" ht="16.5" customHeight="1" s="304"/>
    <row r="539" ht="16.5" customHeight="1" s="304"/>
    <row r="540" ht="16.5" customHeight="1" s="304"/>
    <row r="541" ht="16.5" customHeight="1" s="304"/>
    <row r="542" ht="16.5" customHeight="1" s="304"/>
    <row r="543" ht="16.5" customHeight="1" s="304"/>
    <row r="544" ht="16.5" customHeight="1" s="304"/>
    <row r="545" ht="16.5" customHeight="1" s="304"/>
    <row r="546" ht="16.5" customHeight="1" s="304"/>
    <row r="547" ht="16.5" customHeight="1" s="304"/>
    <row r="548" ht="16.5" customHeight="1" s="304"/>
    <row r="549" ht="16.5" customHeight="1" s="304"/>
    <row r="550" ht="16.5" customHeight="1" s="304"/>
    <row r="551" ht="16.5" customHeight="1" s="304"/>
    <row r="552" ht="16.5" customHeight="1" s="304"/>
    <row r="553" ht="16.5" customHeight="1" s="304"/>
    <row r="554" ht="16.5" customHeight="1" s="304"/>
    <row r="555" ht="16.5" customHeight="1" s="304"/>
    <row r="556" ht="16.5" customHeight="1" s="304"/>
    <row r="557" ht="16.5" customHeight="1" s="304"/>
    <row r="558" ht="16.5" customHeight="1" s="304"/>
    <row r="559" ht="16.5" customHeight="1" s="304"/>
    <row r="560" ht="16.5" customHeight="1" s="304"/>
    <row r="561" ht="16.5" customHeight="1" s="304"/>
    <row r="562" ht="16.5" customHeight="1" s="304"/>
    <row r="563" ht="16.5" customHeight="1" s="304"/>
    <row r="564" ht="16.5" customHeight="1" s="304"/>
    <row r="565" ht="16.5" customHeight="1" s="304"/>
    <row r="566" ht="16.5" customHeight="1" s="304"/>
    <row r="567" ht="16.5" customHeight="1" s="304"/>
    <row r="568" ht="16.5" customHeight="1" s="304"/>
    <row r="569" ht="16.5" customHeight="1" s="304"/>
    <row r="570" ht="16.5" customHeight="1" s="304"/>
    <row r="571" ht="16.5" customHeight="1" s="304"/>
    <row r="572" ht="16.5" customHeight="1" s="304"/>
    <row r="573" ht="16.5" customHeight="1" s="304"/>
    <row r="574" ht="16.5" customHeight="1" s="304"/>
    <row r="575" ht="16.5" customHeight="1" s="304"/>
    <row r="576" ht="16.5" customHeight="1" s="304"/>
    <row r="577" ht="16.5" customHeight="1" s="304"/>
    <row r="578" ht="16.5" customHeight="1" s="304"/>
    <row r="579" ht="16.5" customHeight="1" s="304"/>
    <row r="580" ht="16.5" customHeight="1" s="304"/>
    <row r="581" ht="16.5" customHeight="1" s="304"/>
    <row r="582" ht="16.5" customHeight="1" s="304"/>
    <row r="583" ht="16.5" customHeight="1" s="304"/>
    <row r="584" ht="16.5" customHeight="1" s="304"/>
    <row r="585" ht="16.5" customHeight="1" s="304"/>
    <row r="586" ht="16.5" customHeight="1" s="304"/>
    <row r="587" ht="16.5" customHeight="1" s="304"/>
    <row r="588" ht="16.5" customHeight="1" s="304"/>
    <row r="589" ht="16.5" customHeight="1" s="304"/>
    <row r="590" ht="16.5" customHeight="1" s="304"/>
    <row r="591" ht="16.5" customHeight="1" s="304"/>
    <row r="592" ht="16.5" customHeight="1" s="304"/>
    <row r="593" ht="16.5" customHeight="1" s="304"/>
    <row r="594" ht="16.5" customHeight="1" s="304"/>
    <row r="595" ht="16.5" customHeight="1" s="304"/>
    <row r="596" ht="16.5" customHeight="1" s="304"/>
    <row r="597" ht="16.5" customHeight="1" s="304"/>
    <row r="598" ht="16.5" customHeight="1" s="304"/>
    <row r="599" ht="16.5" customHeight="1" s="304"/>
    <row r="600" ht="16.5" customHeight="1" s="304"/>
    <row r="601" ht="16.5" customHeight="1" s="304"/>
    <row r="602" ht="16.5" customHeight="1" s="304"/>
    <row r="603" ht="16.5" customHeight="1" s="304"/>
    <row r="604" ht="16.5" customHeight="1" s="304"/>
    <row r="605" ht="16.5" customHeight="1" s="304"/>
    <row r="606" ht="16.5" customHeight="1" s="304"/>
    <row r="607" ht="16.5" customHeight="1" s="304"/>
    <row r="608" ht="16.5" customHeight="1" s="304"/>
    <row r="609" ht="16.5" customHeight="1" s="304"/>
    <row r="610" ht="16.5" customHeight="1" s="304"/>
    <row r="611" ht="16.5" customHeight="1" s="304"/>
    <row r="612" ht="16.5" customHeight="1" s="304"/>
    <row r="613" ht="16.5" customHeight="1" s="304"/>
    <row r="614" ht="16.5" customHeight="1" s="304"/>
    <row r="615" ht="16.5" customHeight="1" s="304"/>
    <row r="616" ht="16.5" customHeight="1" s="304"/>
    <row r="617" ht="16.5" customHeight="1" s="304"/>
    <row r="618" ht="16.5" customHeight="1" s="304"/>
    <row r="619" ht="16.5" customHeight="1" s="304"/>
    <row r="620" ht="16.5" customHeight="1" s="304"/>
    <row r="621" ht="16.5" customHeight="1" s="304"/>
    <row r="622" ht="16.5" customHeight="1" s="304"/>
    <row r="623" ht="16.5" customHeight="1" s="304"/>
    <row r="624" ht="16.5" customHeight="1" s="304"/>
    <row r="625" ht="16.5" customHeight="1" s="304"/>
    <row r="626" ht="16.5" customHeight="1" s="304"/>
    <row r="627" ht="16.5" customHeight="1" s="304"/>
    <row r="628" ht="16.5" customHeight="1" s="304"/>
    <row r="629" ht="16.5" customHeight="1" s="304"/>
    <row r="630" ht="16.5" customHeight="1" s="304"/>
    <row r="631" ht="16.5" customHeight="1" s="304"/>
    <row r="632" ht="16.5" customHeight="1" s="304"/>
    <row r="633" ht="16.5" customHeight="1" s="304"/>
    <row r="634" ht="16.5" customHeight="1" s="304"/>
    <row r="635" ht="16.5" customHeight="1" s="304"/>
    <row r="636" ht="16.5" customHeight="1" s="304"/>
    <row r="637" ht="16.5" customHeight="1" s="304"/>
    <row r="638" ht="16.5" customHeight="1" s="304"/>
    <row r="639" ht="16.5" customHeight="1" s="304"/>
    <row r="640" ht="16.5" customHeight="1" s="304"/>
    <row r="641" ht="16.5" customHeight="1" s="304"/>
    <row r="642" ht="16.5" customHeight="1" s="304"/>
    <row r="643" ht="16.5" customHeight="1" s="304"/>
    <row r="644" ht="16.5" customHeight="1" s="304"/>
    <row r="645" ht="16.5" customHeight="1" s="304"/>
    <row r="646" ht="16.5" customHeight="1" s="304"/>
    <row r="647" ht="16.5" customHeight="1" s="304"/>
    <row r="648" ht="16.5" customHeight="1" s="304"/>
    <row r="649" ht="16.5" customHeight="1" s="304"/>
    <row r="650" ht="16.5" customHeight="1" s="304"/>
    <row r="651" ht="16.5" customHeight="1" s="304"/>
    <row r="652" ht="16.5" customHeight="1" s="304"/>
    <row r="653" ht="16.5" customHeight="1" s="304"/>
    <row r="654" ht="16.5" customHeight="1" s="304"/>
    <row r="655" ht="16.5" customHeight="1" s="304"/>
    <row r="656" ht="16.5" customHeight="1" s="304"/>
    <row r="657" ht="16.5" customHeight="1" s="304"/>
    <row r="658" ht="16.5" customHeight="1" s="304"/>
    <row r="659" ht="16.5" customHeight="1" s="304"/>
    <row r="660" ht="16.5" customHeight="1" s="304"/>
    <row r="661" ht="16.5" customHeight="1" s="304"/>
    <row r="662" ht="16.5" customHeight="1" s="304"/>
    <row r="663" ht="16.5" customHeight="1" s="304"/>
    <row r="664" ht="16.5" customHeight="1" s="304"/>
    <row r="665" ht="16.5" customHeight="1" s="304"/>
    <row r="666" ht="16.5" customHeight="1" s="304"/>
    <row r="667" ht="16.5" customHeight="1" s="304"/>
    <row r="668" ht="16.5" customHeight="1" s="304"/>
    <row r="669" ht="16.5" customHeight="1" s="304"/>
    <row r="670" ht="16.5" customHeight="1" s="304"/>
    <row r="671" ht="16.5" customHeight="1" s="304"/>
    <row r="672" ht="16.5" customHeight="1" s="304"/>
    <row r="673" ht="16.5" customHeight="1" s="304"/>
    <row r="674" ht="16.5" customHeight="1" s="304"/>
    <row r="675" ht="16.5" customHeight="1" s="304"/>
    <row r="676" ht="16.5" customHeight="1" s="304"/>
    <row r="677" ht="16.5" customHeight="1" s="304"/>
    <row r="678" ht="16.5" customHeight="1" s="304"/>
    <row r="679" ht="16.5" customHeight="1" s="304"/>
    <row r="680" ht="16.5" customHeight="1" s="304"/>
    <row r="681" ht="16.5" customHeight="1" s="304"/>
    <row r="682" ht="16.5" customHeight="1" s="304"/>
    <row r="683" ht="16.5" customHeight="1" s="304"/>
    <row r="684" ht="16.5" customHeight="1" s="304"/>
    <row r="685" ht="16.5" customHeight="1" s="304"/>
    <row r="686" ht="16.5" customHeight="1" s="304"/>
    <row r="687" ht="16.5" customHeight="1" s="304"/>
    <row r="688" ht="16.5" customHeight="1" s="304"/>
    <row r="689" ht="16.5" customHeight="1" s="304"/>
    <row r="690" ht="16.5" customHeight="1" s="304"/>
    <row r="691" ht="16.5" customHeight="1" s="304"/>
    <row r="692" ht="16.5" customHeight="1" s="304"/>
    <row r="693" ht="16.5" customHeight="1" s="304"/>
    <row r="694" ht="16.5" customHeight="1" s="304"/>
    <row r="695" ht="16.5" customHeight="1" s="304"/>
    <row r="696" ht="16.5" customHeight="1" s="304"/>
    <row r="697" ht="16.5" customHeight="1" s="304"/>
    <row r="698" ht="16.5" customHeight="1" s="304"/>
    <row r="699" ht="16.5" customHeight="1" s="304"/>
    <row r="700" ht="16.5" customHeight="1" s="304"/>
    <row r="701" ht="16.5" customHeight="1" s="304"/>
    <row r="702" ht="16.5" customHeight="1" s="304"/>
    <row r="703" ht="16.5" customHeight="1" s="304"/>
    <row r="704" ht="16.5" customHeight="1" s="304"/>
    <row r="705" ht="16.5" customHeight="1" s="304"/>
    <row r="706" ht="16.5" customHeight="1" s="304"/>
    <row r="707" ht="16.5" customHeight="1" s="304"/>
    <row r="708" ht="16.5" customHeight="1" s="304"/>
    <row r="709" ht="16.5" customHeight="1" s="304"/>
    <row r="710" ht="16.5" customHeight="1" s="304"/>
    <row r="711" ht="16.5" customHeight="1" s="304"/>
    <row r="712" ht="16.5" customHeight="1" s="304"/>
    <row r="713" ht="16.5" customHeight="1" s="304"/>
    <row r="714" ht="16.5" customHeight="1" s="304"/>
    <row r="715" ht="16.5" customHeight="1" s="304"/>
    <row r="716" ht="16.5" customHeight="1" s="304"/>
    <row r="717" ht="16.5" customHeight="1" s="304"/>
    <row r="718" ht="16.5" customHeight="1" s="304"/>
    <row r="719" ht="16.5" customHeight="1" s="304"/>
    <row r="720" ht="16.5" customHeight="1" s="304"/>
    <row r="721" ht="16.5" customHeight="1" s="304"/>
    <row r="722" ht="16.5" customHeight="1" s="304"/>
    <row r="723" ht="16.5" customHeight="1" s="304"/>
    <row r="724" ht="16.5" customHeight="1" s="304"/>
    <row r="725" ht="16.5" customHeight="1" s="304"/>
    <row r="726" ht="16.5" customHeight="1" s="304"/>
    <row r="727" ht="16.5" customHeight="1" s="304"/>
    <row r="728" ht="16.5" customHeight="1" s="304"/>
    <row r="729" ht="16.5" customHeight="1" s="304"/>
    <row r="730" ht="16.5" customHeight="1" s="304"/>
    <row r="731" ht="16.5" customHeight="1" s="304"/>
    <row r="732" ht="16.5" customHeight="1" s="304"/>
    <row r="733" ht="16.5" customHeight="1" s="304"/>
    <row r="734" ht="16.5" customHeight="1" s="304"/>
    <row r="735" ht="16.5" customHeight="1" s="304"/>
    <row r="736" ht="16.5" customHeight="1" s="304"/>
    <row r="737" ht="16.5" customHeight="1" s="304"/>
    <row r="738" ht="16.5" customHeight="1" s="304"/>
    <row r="739" ht="16.5" customHeight="1" s="304"/>
    <row r="740" ht="16.5" customHeight="1" s="304"/>
    <row r="741" ht="16.5" customHeight="1" s="304"/>
    <row r="742" ht="16.5" customHeight="1" s="304"/>
    <row r="743" ht="16.5" customHeight="1" s="304"/>
    <row r="744" ht="16.5" customHeight="1" s="304"/>
    <row r="745" ht="16.5" customHeight="1" s="304"/>
    <row r="746" ht="16.5" customHeight="1" s="304"/>
    <row r="747" ht="16.5" customHeight="1" s="304"/>
    <row r="748" ht="16.5" customHeight="1" s="304"/>
    <row r="749" ht="16.5" customHeight="1" s="304"/>
    <row r="750" ht="16.5" customHeight="1" s="304"/>
    <row r="751" ht="16.5" customHeight="1" s="304"/>
    <row r="752" ht="16.5" customHeight="1" s="304"/>
    <row r="753" ht="16.5" customHeight="1" s="304"/>
    <row r="754" ht="16.5" customHeight="1" s="304"/>
    <row r="755" ht="16.5" customHeight="1" s="304"/>
    <row r="756" ht="16.5" customHeight="1" s="304"/>
    <row r="757" ht="16.5" customHeight="1" s="304"/>
    <row r="758" ht="16.5" customHeight="1" s="304"/>
    <row r="759" ht="16.5" customHeight="1" s="304"/>
    <row r="760" ht="16.5" customHeight="1" s="304"/>
    <row r="761" ht="16.5" customHeight="1" s="304"/>
    <row r="762" ht="16.5" customHeight="1" s="304"/>
    <row r="763" ht="16.5" customHeight="1" s="304"/>
    <row r="764" ht="16.5" customHeight="1" s="304"/>
    <row r="765" ht="16.5" customHeight="1" s="304"/>
    <row r="766" ht="16.5" customHeight="1" s="304"/>
    <row r="767" ht="16.5" customHeight="1" s="304"/>
    <row r="768" ht="16.5" customHeight="1" s="304"/>
    <row r="769" ht="16.5" customHeight="1" s="304"/>
    <row r="770" ht="16.5" customHeight="1" s="304"/>
    <row r="771" ht="16.5" customHeight="1" s="304"/>
    <row r="772" ht="16.5" customHeight="1" s="304"/>
    <row r="773" ht="16.5" customHeight="1" s="304"/>
    <row r="774" ht="16.5" customHeight="1" s="304"/>
    <row r="775" ht="16.5" customHeight="1" s="304"/>
    <row r="776" ht="16.5" customHeight="1" s="304"/>
    <row r="777" ht="16.5" customHeight="1" s="304"/>
    <row r="778" ht="16.5" customHeight="1" s="304"/>
    <row r="779" ht="16.5" customHeight="1" s="304"/>
    <row r="780" ht="16.5" customHeight="1" s="304"/>
    <row r="781" ht="16.5" customHeight="1" s="304"/>
    <row r="782" ht="16.5" customHeight="1" s="304"/>
    <row r="783" ht="16.5" customHeight="1" s="304"/>
    <row r="784" ht="16.5" customHeight="1" s="304"/>
    <row r="785" ht="16.5" customHeight="1" s="304"/>
    <row r="786" ht="16.5" customHeight="1" s="304"/>
    <row r="787" ht="16.5" customHeight="1" s="304"/>
    <row r="788" ht="16.5" customHeight="1" s="304"/>
    <row r="789" ht="16.5" customHeight="1" s="304"/>
    <row r="790" ht="16.5" customHeight="1" s="304"/>
    <row r="791" ht="16.5" customHeight="1" s="304"/>
    <row r="792" ht="16.5" customHeight="1" s="304"/>
    <row r="793" ht="16.5" customHeight="1" s="304"/>
    <row r="794" ht="16.5" customHeight="1" s="304"/>
    <row r="795" ht="16.5" customHeight="1" s="304"/>
    <row r="796" ht="16.5" customHeight="1" s="304"/>
    <row r="797" ht="16.5" customHeight="1" s="304"/>
    <row r="798" ht="16.5" customHeight="1" s="304"/>
    <row r="799" ht="16.5" customHeight="1" s="304"/>
    <row r="800" ht="16.5" customHeight="1" s="304"/>
    <row r="801" ht="16.5" customHeight="1" s="304"/>
    <row r="802" ht="16.5" customHeight="1" s="304"/>
    <row r="803" ht="16.5" customHeight="1" s="304"/>
    <row r="804" ht="16.5" customHeight="1" s="304"/>
    <row r="805" ht="16.5" customHeight="1" s="304"/>
    <row r="806" ht="16.5" customHeight="1" s="304"/>
    <row r="807" ht="16.5" customHeight="1" s="304"/>
    <row r="808" ht="16.5" customHeight="1" s="304"/>
    <row r="809" ht="16.5" customHeight="1" s="304"/>
    <row r="810" ht="16.5" customHeight="1" s="304"/>
    <row r="811" ht="16.5" customHeight="1" s="304"/>
    <row r="812" ht="16.5" customHeight="1" s="304"/>
    <row r="813" ht="16.5" customHeight="1" s="304"/>
    <row r="814" ht="16.5" customHeight="1" s="304"/>
    <row r="815" ht="16.5" customHeight="1" s="304"/>
    <row r="816" ht="16.5" customHeight="1" s="304"/>
    <row r="817" ht="16.5" customHeight="1" s="304"/>
    <row r="818" ht="16.5" customHeight="1" s="304"/>
    <row r="819" ht="16.5" customHeight="1" s="304"/>
    <row r="820" ht="16.5" customHeight="1" s="304"/>
    <row r="821" ht="16.5" customHeight="1" s="304"/>
    <row r="822" ht="16.5" customHeight="1" s="304"/>
    <row r="823" ht="16.5" customHeight="1" s="304"/>
    <row r="824" ht="16.5" customHeight="1" s="304"/>
    <row r="825" ht="16.5" customHeight="1" s="304"/>
    <row r="826" ht="16.5" customHeight="1" s="304"/>
    <row r="827" ht="16.5" customHeight="1" s="304"/>
    <row r="828" ht="16.5" customHeight="1" s="304"/>
    <row r="829" ht="16.5" customHeight="1" s="304"/>
    <row r="830" ht="16.5" customHeight="1" s="304"/>
    <row r="831" ht="16.5" customHeight="1" s="304"/>
    <row r="832" ht="16.5" customHeight="1" s="304"/>
    <row r="833" ht="16.5" customHeight="1" s="304"/>
    <row r="834" ht="16.5" customHeight="1" s="304"/>
    <row r="835" ht="16.5" customHeight="1" s="304"/>
    <row r="836" ht="16.5" customHeight="1" s="304"/>
    <row r="837" ht="16.5" customHeight="1" s="304"/>
    <row r="838" ht="16.5" customHeight="1" s="304"/>
    <row r="839" ht="16.5" customHeight="1" s="304"/>
    <row r="840" ht="16.5" customHeight="1" s="304"/>
    <row r="841" ht="16.5" customHeight="1" s="304"/>
    <row r="842" ht="16.5" customHeight="1" s="304"/>
    <row r="843" ht="16.5" customHeight="1" s="304"/>
    <row r="844" ht="16.5" customHeight="1" s="304"/>
    <row r="845" ht="16.5" customHeight="1" s="304"/>
    <row r="846" ht="16.5" customHeight="1" s="304"/>
    <row r="847" ht="16.5" customHeight="1" s="304"/>
    <row r="848" ht="16.5" customHeight="1" s="304"/>
    <row r="849" ht="16.5" customHeight="1" s="304"/>
    <row r="850" ht="16.5" customHeight="1" s="304"/>
    <row r="851" ht="16.5" customHeight="1" s="304"/>
    <row r="852" ht="16.5" customHeight="1" s="304"/>
    <row r="853" ht="16.5" customHeight="1" s="304"/>
    <row r="854" ht="16.5" customHeight="1" s="304"/>
    <row r="855" ht="16.5" customHeight="1" s="304"/>
    <row r="856" ht="16.5" customHeight="1" s="304"/>
    <row r="857" ht="16.5" customHeight="1" s="304"/>
    <row r="858" ht="16.5" customHeight="1" s="304"/>
    <row r="859" ht="16.5" customHeight="1" s="304"/>
    <row r="860" ht="16.5" customHeight="1" s="304"/>
    <row r="861" ht="16.5" customHeight="1" s="304"/>
    <row r="862" ht="16.5" customHeight="1" s="304"/>
    <row r="863" ht="16.5" customHeight="1" s="304"/>
    <row r="864" ht="16.5" customHeight="1" s="304"/>
    <row r="865" ht="16.5" customHeight="1" s="304"/>
    <row r="866" ht="16.5" customHeight="1" s="304"/>
    <row r="867" ht="16.5" customHeight="1" s="304"/>
    <row r="868" ht="16.5" customHeight="1" s="304"/>
    <row r="869" ht="16.5" customHeight="1" s="304"/>
    <row r="870" ht="16.5" customHeight="1" s="304"/>
    <row r="871" ht="16.5" customHeight="1" s="304"/>
    <row r="872" ht="16.5" customHeight="1" s="304"/>
    <row r="873" ht="16.5" customHeight="1" s="304"/>
    <row r="874" ht="16.5" customHeight="1" s="304"/>
    <row r="875" ht="16.5" customHeight="1" s="304"/>
    <row r="876" ht="16.5" customHeight="1" s="304"/>
    <row r="877" ht="16.5" customHeight="1" s="304"/>
    <row r="878" ht="16.5" customHeight="1" s="304"/>
    <row r="879" ht="16.5" customHeight="1" s="304"/>
    <row r="880" ht="16.5" customHeight="1" s="304"/>
    <row r="881" ht="16.5" customHeight="1" s="304"/>
    <row r="882" ht="16.5" customHeight="1" s="304"/>
    <row r="883" ht="16.5" customHeight="1" s="304"/>
    <row r="884" ht="16.5" customHeight="1" s="304"/>
    <row r="885" ht="16.5" customHeight="1" s="304"/>
    <row r="886" ht="16.5" customHeight="1" s="304"/>
    <row r="887" ht="16.5" customHeight="1" s="304"/>
    <row r="888" ht="16.5" customHeight="1" s="304"/>
    <row r="889" ht="16.5" customHeight="1" s="304"/>
    <row r="890" ht="16.5" customHeight="1" s="304"/>
    <row r="891" ht="16.5" customHeight="1" s="304"/>
    <row r="892" ht="16.5" customHeight="1" s="304"/>
    <row r="893" ht="16.5" customHeight="1" s="304"/>
    <row r="894" ht="16.5" customHeight="1" s="304"/>
    <row r="895" ht="16.5" customHeight="1" s="304"/>
    <row r="896" ht="16.5" customHeight="1" s="304"/>
    <row r="897" ht="16.5" customHeight="1" s="304"/>
    <row r="898" ht="16.5" customHeight="1" s="304"/>
    <row r="899" ht="16.5" customHeight="1" s="304"/>
    <row r="900" ht="16.5" customHeight="1" s="304"/>
    <row r="901" ht="16.5" customHeight="1" s="304"/>
    <row r="902" ht="16.5" customHeight="1" s="304"/>
    <row r="903" ht="16.5" customHeight="1" s="304"/>
    <row r="904" ht="16.5" customHeight="1" s="304"/>
    <row r="905" ht="16.5" customHeight="1" s="304"/>
    <row r="906" ht="16.5" customHeight="1" s="304"/>
    <row r="907" ht="16.5" customHeight="1" s="304"/>
    <row r="908" ht="16.5" customHeight="1" s="304"/>
    <row r="909" ht="16.5" customHeight="1" s="304"/>
    <row r="910" ht="16.5" customHeight="1" s="304"/>
    <row r="911" ht="16.5" customHeight="1" s="304"/>
    <row r="912" ht="16.5" customHeight="1" s="304"/>
    <row r="913" ht="16.5" customHeight="1" s="304"/>
    <row r="914" ht="16.5" customHeight="1" s="304"/>
    <row r="915" ht="16.5" customHeight="1" s="304"/>
    <row r="916" ht="16.5" customHeight="1" s="304"/>
    <row r="917" ht="16.5" customHeight="1" s="304"/>
    <row r="918" ht="16.5" customHeight="1" s="304"/>
    <row r="919" ht="16.5" customHeight="1" s="304"/>
    <row r="920" ht="16.5" customHeight="1" s="304"/>
    <row r="921" ht="16.5" customHeight="1" s="304"/>
    <row r="922" ht="16.5" customHeight="1" s="304"/>
    <row r="923" ht="16.5" customHeight="1" s="304"/>
    <row r="924" ht="16.5" customHeight="1" s="304"/>
    <row r="925" ht="16.5" customHeight="1" s="304"/>
    <row r="926" ht="16.5" customHeight="1" s="304"/>
    <row r="927" ht="16.5" customHeight="1" s="304"/>
    <row r="928" ht="16.5" customHeight="1" s="304"/>
    <row r="929" ht="16.5" customHeight="1" s="304"/>
    <row r="930" ht="16.5" customHeight="1" s="304"/>
    <row r="931" ht="16.5" customHeight="1" s="304"/>
    <row r="932" ht="16.5" customHeight="1" s="304"/>
    <row r="933" ht="16.5" customHeight="1" s="304"/>
    <row r="934" ht="16.5" customHeight="1" s="304"/>
    <row r="935" ht="16.5" customHeight="1" s="304"/>
    <row r="936" ht="16.5" customHeight="1" s="304"/>
    <row r="937" ht="16.5" customHeight="1" s="304"/>
    <row r="938" ht="16.5" customHeight="1" s="304"/>
    <row r="939" ht="16.5" customHeight="1" s="304"/>
    <row r="940" ht="16.5" customHeight="1" s="304"/>
    <row r="941" ht="16.5" customHeight="1" s="304"/>
    <row r="942" ht="16.5" customHeight="1" s="304"/>
    <row r="943" ht="16.5" customHeight="1" s="304"/>
    <row r="944" ht="16.5" customHeight="1" s="304"/>
    <row r="945" ht="16.5" customHeight="1" s="304"/>
    <row r="946" ht="16.5" customHeight="1" s="304"/>
    <row r="947" ht="16.5" customHeight="1" s="304"/>
    <row r="948" ht="16.5" customHeight="1" s="304"/>
    <row r="949" ht="16.5" customHeight="1" s="304"/>
    <row r="950" ht="16.5" customHeight="1" s="304"/>
    <row r="951" ht="16.5" customHeight="1" s="304"/>
    <row r="952" ht="16.5" customHeight="1" s="304"/>
    <row r="953" ht="16.5" customHeight="1" s="304"/>
    <row r="954" ht="16.5" customHeight="1" s="304"/>
    <row r="955" ht="16.5" customHeight="1" s="304"/>
    <row r="956" ht="16.5" customHeight="1" s="304"/>
    <row r="957" ht="16.5" customHeight="1" s="304"/>
    <row r="958" ht="16.5" customHeight="1" s="304"/>
    <row r="959" ht="16.5" customHeight="1" s="304"/>
    <row r="960" ht="16.5" customHeight="1" s="304"/>
    <row r="961" ht="16.5" customHeight="1" s="304"/>
    <row r="962" ht="16.5" customHeight="1" s="304"/>
    <row r="963" ht="16.5" customHeight="1" s="304"/>
    <row r="964" ht="16.5" customHeight="1" s="304"/>
    <row r="965" ht="16.5" customHeight="1" s="304"/>
    <row r="966" ht="16.5" customHeight="1" s="304"/>
    <row r="967" ht="16.5" customHeight="1" s="304"/>
    <row r="968" ht="16.5" customHeight="1" s="304"/>
    <row r="969" ht="16.5" customHeight="1" s="304"/>
    <row r="970" ht="16.5" customHeight="1" s="304"/>
    <row r="971" ht="16.5" customHeight="1" s="304"/>
    <row r="972" ht="16.5" customHeight="1" s="304"/>
    <row r="973" ht="16.5" customHeight="1" s="304"/>
    <row r="974" ht="16.5" customHeight="1" s="304"/>
    <row r="975" ht="16.5" customHeight="1" s="304"/>
    <row r="976" ht="16.5" customHeight="1" s="304"/>
    <row r="977" ht="16.5" customHeight="1" s="304"/>
    <row r="978" ht="16.5" customHeight="1" s="304"/>
    <row r="979" ht="16.5" customHeight="1" s="304"/>
    <row r="980" ht="16.5" customHeight="1" s="304"/>
    <row r="981" ht="16.5" customHeight="1" s="304"/>
    <row r="982" ht="16.5" customHeight="1" s="304"/>
    <row r="983" ht="16.5" customHeight="1" s="304"/>
    <row r="984" ht="16.5" customHeight="1" s="304"/>
    <row r="985" ht="16.5" customHeight="1" s="304"/>
    <row r="986" ht="16.5" customHeight="1" s="304"/>
    <row r="987" ht="16.5" customHeight="1" s="304"/>
    <row r="988" ht="16.5" customHeight="1" s="304"/>
    <row r="989" ht="16.5" customHeight="1" s="304"/>
    <row r="990" ht="16.5" customHeight="1" s="304"/>
    <row r="991" ht="16.5" customHeight="1" s="304"/>
    <row r="992" ht="16.5" customHeight="1" s="304"/>
    <row r="993" ht="16.5" customHeight="1" s="304"/>
    <row r="994" ht="16.5" customHeight="1" s="304"/>
    <row r="995" ht="16.5" customHeight="1" s="304"/>
    <row r="996" ht="16.5" customHeight="1" s="304"/>
    <row r="997" ht="16.5" customHeight="1" s="304"/>
    <row r="998" ht="16.5" customHeight="1" s="304"/>
    <row r="999" ht="16.5" customHeight="1" s="304"/>
    <row r="1000" ht="16.5" customHeight="1" s="304"/>
    <row r="1001" ht="16.5" customHeight="1" s="304"/>
    <row r="1002" ht="16.5" customHeight="1" s="304"/>
    <row r="1003" ht="16.5" customHeight="1" s="304"/>
    <row r="1004" ht="16.5" customHeight="1" s="304"/>
    <row r="1005" ht="16.5" customHeight="1" s="304"/>
    <row r="1006" ht="16.5" customHeight="1" s="304"/>
    <row r="1007" ht="16.5" customHeight="1" s="304"/>
    <row r="1008" ht="16.5" customHeight="1" s="304"/>
    <row r="1009" ht="16.5" customHeight="1" s="304"/>
    <row r="1010" ht="16.5" customHeight="1" s="304"/>
    <row r="1011" ht="16.5" customHeight="1" s="304"/>
    <row r="1012" ht="16.5" customHeight="1" s="304"/>
    <row r="1013" ht="16.5" customHeight="1" s="304"/>
    <row r="1014" ht="16.5" customHeight="1" s="304"/>
    <row r="1015" ht="16.5" customHeight="1" s="304"/>
    <row r="1016" ht="16.5" customHeight="1" s="304"/>
    <row r="1017" ht="16.5" customHeight="1" s="304"/>
    <row r="1018" ht="16.5" customHeight="1" s="304"/>
    <row r="1019" ht="16.5" customHeight="1" s="304"/>
    <row r="1020" ht="16.5" customHeight="1" s="304"/>
    <row r="1021" ht="16.5" customHeight="1" s="304"/>
    <row r="1022" ht="16.5" customHeight="1" s="304"/>
    <row r="1023" ht="16.5" customHeight="1" s="304"/>
    <row r="1024" ht="16.5" customHeight="1" s="304"/>
    <row r="1025" ht="16.5" customHeight="1" s="304"/>
    <row r="1026" ht="16.5" customHeight="1" s="304"/>
    <row r="1027" ht="16.5" customHeight="1" s="304"/>
    <row r="1028" ht="16.5" customHeight="1" s="304"/>
    <row r="1029" ht="16.5" customHeight="1" s="304"/>
    <row r="1030" ht="16.5" customHeight="1" s="304"/>
    <row r="1031" ht="16.5" customHeight="1" s="304"/>
    <row r="1032" ht="16.5" customHeight="1" s="304"/>
    <row r="1033" ht="16.5" customHeight="1" s="304"/>
    <row r="1034" ht="16.5" customHeight="1" s="304"/>
    <row r="1035" ht="16.5" customHeight="1" s="304"/>
    <row r="1036" ht="16.5" customHeight="1" s="304"/>
    <row r="1037" ht="16.5" customHeight="1" s="304"/>
    <row r="1038" ht="16.5" customHeight="1" s="304"/>
    <row r="1039" ht="16.5" customHeight="1" s="304"/>
    <row r="1040" ht="16.5" customHeight="1" s="304"/>
    <row r="1041" ht="16.5" customHeight="1" s="304"/>
    <row r="1042" ht="16.5" customHeight="1" s="304"/>
    <row r="1043" ht="16.5" customHeight="1" s="304"/>
    <row r="1044" ht="16.5" customHeight="1" s="304"/>
    <row r="1045" ht="16.5" customHeight="1" s="304"/>
    <row r="1046" ht="16.5" customHeight="1" s="304"/>
    <row r="1047" ht="16.5" customHeight="1" s="304"/>
    <row r="1048" ht="16.5" customHeight="1" s="304"/>
    <row r="1049" ht="16.5" customHeight="1" s="304"/>
    <row r="1050" ht="16.5" customHeight="1" s="304"/>
    <row r="1051" ht="16.5" customHeight="1" s="304"/>
    <row r="1052" ht="16.5" customHeight="1" s="304"/>
    <row r="1053" ht="16.5" customHeight="1" s="304"/>
    <row r="1054" ht="16.5" customHeight="1" s="304"/>
    <row r="1055" ht="16.5" customHeight="1" s="304"/>
    <row r="1056" ht="16.5" customHeight="1" s="304"/>
    <row r="1057" ht="16.5" customHeight="1" s="304"/>
    <row r="1058" ht="16.5" customHeight="1" s="304"/>
    <row r="1059" ht="16.5" customHeight="1" s="304"/>
    <row r="1060" ht="16.5" customHeight="1" s="304"/>
    <row r="1061" ht="16.5" customHeight="1" s="304"/>
    <row r="1062" ht="16.5" customHeight="1" s="304"/>
    <row r="1063" ht="16.5" customHeight="1" s="304"/>
    <row r="1064" ht="16.5" customHeight="1" s="304"/>
    <row r="1065" ht="16.5" customHeight="1" s="304"/>
    <row r="1066" ht="16.5" customHeight="1" s="304"/>
    <row r="1067" ht="16.5" customHeight="1" s="304"/>
    <row r="1068" ht="16.5" customHeight="1" s="304"/>
    <row r="1069" ht="16.5" customHeight="1" s="304"/>
    <row r="1070" ht="16.5" customHeight="1" s="304"/>
    <row r="1071" ht="16.5" customHeight="1" s="304"/>
    <row r="1072" ht="16.5" customHeight="1" s="304"/>
    <row r="1073" ht="16.5" customHeight="1" s="304"/>
    <row r="1074" ht="16.5" customHeight="1" s="304"/>
    <row r="1075" ht="16.5" customHeight="1" s="304"/>
    <row r="1076" ht="16.5" customHeight="1" s="304"/>
    <row r="1077" ht="16.5" customHeight="1" s="304"/>
    <row r="1078" ht="16.5" customHeight="1" s="304"/>
    <row r="1079" ht="16.5" customHeight="1" s="304"/>
    <row r="1080" ht="16.5" customHeight="1" s="304"/>
    <row r="1081" ht="16.5" customHeight="1" s="304"/>
    <row r="1082" ht="16.5" customHeight="1" s="304"/>
    <row r="1083" ht="16.5" customHeight="1" s="304"/>
    <row r="1084" ht="16.5" customHeight="1" s="304"/>
    <row r="1085" ht="16.5" customHeight="1" s="304"/>
    <row r="1086" ht="16.5" customHeight="1" s="304"/>
    <row r="1087" ht="16.5" customHeight="1" s="304"/>
    <row r="1088" ht="16.5" customHeight="1" s="304"/>
    <row r="1089" ht="16.5" customHeight="1" s="304"/>
    <row r="1090" ht="16.5" customHeight="1" s="304"/>
    <row r="1091" ht="16.5" customHeight="1" s="304"/>
    <row r="1092" ht="16.5" customHeight="1" s="304"/>
    <row r="1093" ht="16.5" customHeight="1" s="304"/>
    <row r="1094" ht="16.5" customHeight="1" s="304"/>
    <row r="1095" ht="16.5" customHeight="1" s="304"/>
    <row r="1096" ht="16.5" customHeight="1" s="304"/>
    <row r="1097" ht="16.5" customHeight="1" s="304"/>
    <row r="1098" ht="16.5" customHeight="1" s="304"/>
    <row r="1099" ht="16.5" customHeight="1" s="304"/>
    <row r="1100" ht="16.5" customHeight="1" s="304"/>
    <row r="1101" ht="16.5" customHeight="1" s="304"/>
    <row r="1102" ht="16.5" customHeight="1" s="304"/>
    <row r="1103" ht="16.5" customHeight="1" s="304"/>
    <row r="1104" ht="16.5" customHeight="1" s="304"/>
    <row r="1105" ht="16.5" customHeight="1" s="304"/>
    <row r="1106" ht="16.5" customHeight="1" s="304"/>
    <row r="1107" ht="16.5" customHeight="1" s="304"/>
    <row r="1108" ht="16.5" customHeight="1" s="304"/>
    <row r="1109" ht="16.5" customHeight="1" s="304"/>
    <row r="1110" ht="16.5" customHeight="1" s="304"/>
    <row r="1111" ht="16.5" customHeight="1" s="304"/>
    <row r="1112" ht="16.5" customHeight="1" s="304"/>
    <row r="1113" ht="16.5" customHeight="1" s="304"/>
    <row r="1114" ht="16.5" customHeight="1" s="304"/>
    <row r="1115" ht="16.5" customHeight="1" s="304"/>
    <row r="1116" ht="16.5" customHeight="1" s="304"/>
    <row r="1117" ht="16.5" customHeight="1" s="304"/>
    <row r="1118" ht="16.5" customHeight="1" s="304"/>
    <row r="1119" ht="16.5" customHeight="1" s="304"/>
    <row r="1120" ht="16.5" customHeight="1" s="304"/>
    <row r="1121" ht="16.5" customHeight="1" s="304"/>
    <row r="1122" ht="16.5" customHeight="1" s="304"/>
    <row r="1123" ht="16.5" customHeight="1" s="304"/>
    <row r="1124" ht="16.5" customHeight="1" s="304"/>
    <row r="1125" ht="16.5" customHeight="1" s="304"/>
    <row r="1126" ht="16.5" customHeight="1" s="304"/>
    <row r="1127" ht="16.5" customHeight="1" s="304"/>
    <row r="1128" ht="16.5" customHeight="1" s="304"/>
    <row r="1129" ht="16.5" customHeight="1" s="304"/>
    <row r="1130" ht="16.5" customHeight="1" s="304"/>
    <row r="1131" ht="16.5" customHeight="1" s="304"/>
    <row r="1132" ht="16.5" customHeight="1" s="304"/>
    <row r="1133" ht="16.5" customHeight="1" s="304"/>
    <row r="1134" ht="16.5" customHeight="1" s="304"/>
    <row r="1135" ht="16.5" customHeight="1" s="304"/>
    <row r="1136" ht="16.5" customHeight="1" s="304"/>
    <row r="1137" ht="16.5" customHeight="1" s="304"/>
    <row r="1138" ht="16.5" customHeight="1" s="304"/>
    <row r="1139" ht="16.5" customHeight="1" s="304"/>
    <row r="1140" ht="16.5" customHeight="1" s="304"/>
    <row r="1141" ht="16.5" customHeight="1" s="304"/>
    <row r="1142" ht="16.5" customHeight="1" s="304"/>
    <row r="1143" ht="16.5" customHeight="1" s="304"/>
    <row r="1144" ht="16.5" customHeight="1" s="304"/>
    <row r="1145" ht="16.5" customHeight="1" s="304"/>
    <row r="1146" ht="16.5" customHeight="1" s="304"/>
    <row r="1147" ht="16.5" customHeight="1" s="304"/>
    <row r="1148" ht="16.5" customHeight="1" s="304"/>
    <row r="1149" ht="16.5" customHeight="1" s="304"/>
    <row r="1150" ht="16.5" customHeight="1" s="304"/>
    <row r="1151" ht="16.5" customHeight="1" s="304"/>
    <row r="1152" ht="16.5" customHeight="1" s="304"/>
    <row r="1153" ht="16.5" customHeight="1" s="304"/>
    <row r="1154" ht="16.5" customHeight="1" s="304"/>
    <row r="1155" ht="16.5" customHeight="1" s="304"/>
    <row r="1156" ht="16.5" customHeight="1" s="304"/>
    <row r="1157" ht="16.5" customHeight="1" s="304"/>
    <row r="1158" ht="16.5" customHeight="1" s="304"/>
    <row r="1159" ht="16.5" customHeight="1" s="304"/>
    <row r="1160" ht="16.5" customHeight="1" s="304"/>
    <row r="1161" ht="16.5" customHeight="1" s="304"/>
    <row r="1162" ht="16.5" customHeight="1" s="304"/>
    <row r="1163" ht="16.5" customHeight="1" s="304"/>
    <row r="1164" ht="16.5" customHeight="1" s="304"/>
    <row r="1165" ht="16.5" customHeight="1" s="304"/>
    <row r="1166" ht="16.5" customHeight="1" s="304"/>
    <row r="1167" ht="16.5" customHeight="1" s="304"/>
    <row r="1168" ht="16.5" customHeight="1" s="304"/>
    <row r="1169" ht="16.5" customHeight="1" s="304"/>
    <row r="1170" ht="16.5" customHeight="1" s="304"/>
    <row r="1171" ht="16.5" customHeight="1" s="304"/>
    <row r="1172" ht="16.5" customHeight="1" s="304"/>
    <row r="1173" ht="16.5" customHeight="1" s="304"/>
    <row r="1174" ht="16.5" customHeight="1" s="304"/>
    <row r="1175" ht="16.5" customHeight="1" s="304"/>
    <row r="1176" ht="16.5" customHeight="1" s="304"/>
    <row r="1177" ht="16.5" customHeight="1" s="304"/>
    <row r="1178" ht="16.5" customHeight="1" s="304"/>
    <row r="1179" ht="16.5" customHeight="1" s="304"/>
    <row r="1180" ht="16.5" customHeight="1" s="304"/>
    <row r="1181" ht="16.5" customHeight="1" s="304"/>
    <row r="1182" ht="16.5" customHeight="1" s="304"/>
    <row r="1183" ht="16.5" customHeight="1" s="304"/>
    <row r="1184" ht="16.5" customHeight="1" s="304"/>
    <row r="1185" ht="16.5" customHeight="1" s="304"/>
    <row r="1186" ht="16.5" customHeight="1" s="304"/>
    <row r="1187" ht="16.5" customHeight="1" s="304"/>
    <row r="1188" ht="16.5" customHeight="1" s="304"/>
    <row r="1189" ht="16.5" customHeight="1" s="304"/>
    <row r="1190" ht="16.5" customHeight="1" s="304"/>
    <row r="1191" ht="16.5" customHeight="1" s="304"/>
    <row r="1192" ht="16.5" customHeight="1" s="304"/>
    <row r="1193" ht="16.5" customHeight="1" s="304"/>
    <row r="1194" ht="16.5" customHeight="1" s="304"/>
    <row r="1195" ht="16.5" customHeight="1" s="304"/>
    <row r="1196" ht="16.5" customHeight="1" s="304"/>
    <row r="1197" ht="16.5" customHeight="1" s="304"/>
    <row r="1198" ht="16.5" customHeight="1" s="304"/>
    <row r="1199" ht="16.5" customHeight="1" s="304"/>
    <row r="1200" ht="16.5" customHeight="1" s="304"/>
    <row r="1201" ht="16.5" customHeight="1" s="304"/>
    <row r="1202" ht="16.5" customHeight="1" s="304"/>
    <row r="1203" ht="16.5" customHeight="1" s="304"/>
    <row r="1204" ht="16.5" customHeight="1" s="304"/>
    <row r="1205" ht="16.5" customHeight="1" s="304"/>
    <row r="1206" ht="16.5" customHeight="1" s="304"/>
    <row r="1207" ht="16.5" customHeight="1" s="304"/>
    <row r="1208" ht="16.5" customHeight="1" s="304"/>
    <row r="1209" ht="16.5" customHeight="1" s="304"/>
    <row r="1210" ht="16.5" customHeight="1" s="304"/>
    <row r="1211" ht="16.5" customHeight="1" s="304"/>
    <row r="1212" ht="16.5" customHeight="1" s="304"/>
    <row r="1213" ht="16.5" customHeight="1" s="304"/>
    <row r="1214" ht="16.5" customHeight="1" s="304"/>
    <row r="1215" ht="16.5" customHeight="1" s="304"/>
    <row r="1216" ht="16.5" customHeight="1" s="304"/>
    <row r="1217" ht="16.5" customHeight="1" s="304"/>
    <row r="1218" ht="16.5" customHeight="1" s="304"/>
    <row r="1219" ht="16.5" customHeight="1" s="304"/>
    <row r="1220" ht="16.5" customHeight="1" s="304"/>
    <row r="1221" ht="16.5" customHeight="1" s="304"/>
    <row r="1222" ht="16.5" customHeight="1" s="304"/>
    <row r="1223" ht="16.5" customHeight="1" s="304"/>
    <row r="1224" ht="16.5" customHeight="1" s="304"/>
    <row r="1225" ht="16.5" customHeight="1" s="304"/>
    <row r="1226" ht="16.5" customHeight="1" s="304"/>
    <row r="1227" ht="16.5" customHeight="1" s="304"/>
    <row r="1228" ht="16.5" customHeight="1" s="304"/>
    <row r="1229" ht="16.5" customHeight="1" s="304"/>
    <row r="1230" ht="16.5" customHeight="1" s="304"/>
    <row r="1231" ht="16.5" customHeight="1" s="304"/>
    <row r="1232" ht="16.5" customHeight="1" s="304"/>
    <row r="1233" ht="16.5" customHeight="1" s="304"/>
    <row r="1234" ht="16.5" customHeight="1" s="304"/>
    <row r="1235" ht="16.5" customHeight="1" s="304"/>
    <row r="1236" ht="16.5" customHeight="1" s="304"/>
    <row r="1237" ht="16.5" customHeight="1" s="304"/>
    <row r="1238" ht="16.5" customHeight="1" s="304"/>
    <row r="1239" ht="16.5" customHeight="1" s="304"/>
    <row r="1240" ht="16.5" customHeight="1" s="304"/>
    <row r="1241" ht="16.5" customHeight="1" s="304"/>
    <row r="1242" ht="16.5" customHeight="1" s="304"/>
    <row r="1243" ht="16.5" customHeight="1" s="304"/>
    <row r="1244" ht="16.5" customHeight="1" s="304"/>
    <row r="1245" ht="16.5" customHeight="1" s="304"/>
    <row r="1246" ht="16.5" customHeight="1" s="304"/>
    <row r="1247" ht="16.5" customHeight="1" s="304"/>
    <row r="1248" ht="16.5" customHeight="1" s="304"/>
    <row r="1249" ht="16.5" customHeight="1" s="304"/>
    <row r="1250" ht="16.5" customHeight="1" s="304"/>
    <row r="1251" ht="16.5" customHeight="1" s="304"/>
    <row r="1252" ht="16.5" customHeight="1" s="304"/>
    <row r="1253" ht="16.5" customHeight="1" s="304"/>
    <row r="1254" ht="16.5" customHeight="1" s="304"/>
    <row r="1255" ht="16.5" customHeight="1" s="304"/>
    <row r="1256" ht="16.5" customHeight="1" s="304"/>
    <row r="1257" ht="16.5" customHeight="1" s="304"/>
    <row r="1258" ht="16.5" customHeight="1" s="304"/>
    <row r="1259" ht="16.5" customHeight="1" s="304"/>
    <row r="1260" ht="16.5" customHeight="1" s="304"/>
    <row r="1261" ht="16.5" customHeight="1" s="304"/>
    <row r="1262" ht="16.5" customHeight="1" s="304"/>
    <row r="1263" ht="16.5" customHeight="1" s="304"/>
    <row r="1264" ht="16.5" customHeight="1" s="304"/>
    <row r="1265" ht="16.5" customHeight="1" s="304"/>
    <row r="1266" ht="16.5" customHeight="1" s="304"/>
    <row r="1267" ht="16.5" customHeight="1" s="304"/>
    <row r="1268" ht="16.5" customHeight="1" s="304"/>
    <row r="1269" ht="16.5" customHeight="1" s="304"/>
    <row r="1270" ht="16.5" customHeight="1" s="304"/>
    <row r="1271" ht="16.5" customHeight="1" s="304"/>
    <row r="1272" ht="16.5" customHeight="1" s="304"/>
    <row r="1273" ht="16.5" customHeight="1" s="304"/>
    <row r="1274" ht="16.5" customHeight="1" s="304"/>
    <row r="1275" ht="16.5" customHeight="1" s="304"/>
    <row r="1276" ht="16.5" customHeight="1" s="304"/>
    <row r="1277" ht="16.5" customHeight="1" s="304"/>
    <row r="1278" ht="16.5" customHeight="1" s="304"/>
    <row r="1279" ht="16.5" customHeight="1" s="304"/>
    <row r="1280" ht="16.5" customHeight="1" s="304"/>
    <row r="1281" ht="16.5" customHeight="1" s="304"/>
    <row r="1282" ht="16.5" customHeight="1" s="304"/>
    <row r="1283" ht="16.5" customHeight="1" s="304"/>
    <row r="1284" ht="16.5" customHeight="1" s="304"/>
    <row r="1285" ht="16.5" customHeight="1" s="304"/>
    <row r="1286" ht="16.5" customHeight="1" s="304"/>
    <row r="1287" ht="16.5" customHeight="1" s="304"/>
    <row r="1288" ht="16.5" customHeight="1" s="304"/>
    <row r="1289" ht="16.5" customHeight="1" s="304"/>
    <row r="1290" ht="16.5" customHeight="1" s="304"/>
    <row r="1291" ht="16.5" customHeight="1" s="304"/>
    <row r="1292" ht="16.5" customHeight="1" s="304"/>
    <row r="1293" ht="16.5" customHeight="1" s="304"/>
    <row r="1294" ht="16.5" customHeight="1" s="304"/>
    <row r="1295" ht="16.5" customHeight="1" s="304"/>
    <row r="1296" ht="16.5" customHeight="1" s="304"/>
    <row r="1297" ht="16.5" customHeight="1" s="304"/>
    <row r="1298" ht="16.5" customHeight="1" s="304"/>
    <row r="1299" ht="16.5" customHeight="1" s="304"/>
    <row r="1300" ht="16.5" customHeight="1" s="304"/>
    <row r="1301" ht="16.5" customHeight="1" s="304"/>
    <row r="1302" ht="16.5" customHeight="1" s="304"/>
    <row r="1303" ht="16.5" customHeight="1" s="304"/>
    <row r="1304" ht="16.5" customHeight="1" s="304"/>
    <row r="1305" ht="16.5" customHeight="1" s="304"/>
    <row r="1306" ht="16.5" customHeight="1" s="304"/>
    <row r="1307" ht="16.5" customHeight="1" s="304"/>
    <row r="1308" ht="16.5" customHeight="1" s="304"/>
    <row r="1309" ht="16.5" customHeight="1" s="304"/>
    <row r="1310" ht="16.5" customHeight="1" s="304"/>
    <row r="1311" ht="16.5" customHeight="1" s="304"/>
    <row r="1312" ht="16.5" customHeight="1" s="304"/>
    <row r="1313" ht="16.5" customHeight="1" s="304"/>
    <row r="1314" ht="16.5" customHeight="1" s="304"/>
    <row r="1315" ht="16.5" customHeight="1" s="304"/>
    <row r="1316" ht="16.5" customHeight="1" s="304"/>
    <row r="1317" ht="16.5" customHeight="1" s="304"/>
    <row r="1318" ht="16.5" customHeight="1" s="304"/>
    <row r="1319" ht="16.5" customHeight="1" s="304"/>
    <row r="1320" ht="16.5" customHeight="1" s="304"/>
    <row r="1321" ht="16.5" customHeight="1" s="304"/>
    <row r="1322" ht="16.5" customHeight="1" s="304"/>
    <row r="1323" ht="16.5" customHeight="1" s="304"/>
    <row r="1324" ht="16.5" customHeight="1" s="304"/>
    <row r="1325" ht="16.5" customHeight="1" s="304"/>
    <row r="1326" ht="16.5" customHeight="1" s="304"/>
    <row r="1327" ht="16.5" customHeight="1" s="304"/>
    <row r="1328" ht="16.5" customHeight="1" s="304"/>
    <row r="1329" ht="16.5" customHeight="1" s="304"/>
    <row r="1330" ht="16.5" customHeight="1" s="304"/>
    <row r="1331" ht="16.5" customHeight="1" s="304"/>
    <row r="1332" ht="16.5" customHeight="1" s="304"/>
    <row r="1333" ht="16.5" customHeight="1" s="304"/>
    <row r="1334" ht="16.5" customHeight="1" s="304"/>
    <row r="1335" ht="16.5" customHeight="1" s="304"/>
    <row r="1336" ht="16.5" customHeight="1" s="304"/>
    <row r="1337" ht="16.5" customHeight="1" s="304"/>
    <row r="1338" ht="16.5" customHeight="1" s="304"/>
    <row r="1339" ht="16.5" customHeight="1" s="304"/>
    <row r="1340" ht="16.5" customHeight="1" s="304"/>
    <row r="1341" ht="16.5" customHeight="1" s="304"/>
    <row r="1342" ht="16.5" customHeight="1" s="304"/>
    <row r="1343" ht="16.5" customHeight="1" s="304"/>
    <row r="1344" ht="16.5" customHeight="1" s="304"/>
    <row r="1345" ht="16.5" customHeight="1" s="304"/>
    <row r="1346" ht="16.5" customHeight="1" s="304"/>
    <row r="1347" ht="16.5" customHeight="1" s="304"/>
    <row r="1348" ht="16.5" customHeight="1" s="304"/>
    <row r="1349" ht="16.5" customHeight="1" s="304"/>
    <row r="1350" ht="16.5" customHeight="1" s="304"/>
    <row r="1351" ht="16.5" customHeight="1" s="304"/>
    <row r="1352" ht="16.5" customHeight="1" s="304"/>
    <row r="1353" ht="16.5" customHeight="1" s="304"/>
    <row r="1354" ht="16.5" customHeight="1" s="304"/>
    <row r="1355" ht="16.5" customHeight="1" s="304"/>
    <row r="1356" ht="16.5" customHeight="1" s="304"/>
    <row r="1357" ht="16.5" customHeight="1" s="304"/>
    <row r="1358" ht="16.5" customHeight="1" s="304"/>
    <row r="1359" ht="16.5" customHeight="1" s="304"/>
    <row r="1360" ht="16.5" customHeight="1" s="304"/>
    <row r="1361" ht="16.5" customHeight="1" s="304"/>
    <row r="1362" ht="16.5" customHeight="1" s="304"/>
    <row r="1363" ht="16.5" customHeight="1" s="304"/>
    <row r="1364" ht="16.5" customHeight="1" s="304"/>
    <row r="1365" ht="16.5" customHeight="1" s="304"/>
    <row r="1366" ht="16.5" customHeight="1" s="304"/>
    <row r="1367" ht="16.5" customHeight="1" s="304"/>
    <row r="1368" ht="16.5" customHeight="1" s="304"/>
    <row r="1369" ht="16.5" customHeight="1" s="304"/>
    <row r="1370" ht="16.5" customHeight="1" s="304"/>
    <row r="1371" ht="16.5" customHeight="1" s="304"/>
    <row r="1372" ht="16.5" customHeight="1" s="304"/>
    <row r="1373" ht="16.5" customHeight="1" s="304"/>
    <row r="1374" ht="16.5" customHeight="1" s="304"/>
    <row r="1375" ht="16.5" customHeight="1" s="304"/>
    <row r="1376" ht="16.5" customHeight="1" s="304"/>
    <row r="1377" ht="16.5" customHeight="1" s="304"/>
    <row r="1378" ht="16.5" customHeight="1" s="304"/>
    <row r="1379" ht="16.5" customHeight="1" s="304"/>
    <row r="1380" ht="16.5" customHeight="1" s="304"/>
    <row r="1381" ht="16.5" customHeight="1" s="304"/>
    <row r="1382" ht="16.5" customHeight="1" s="304"/>
    <row r="1383" ht="16.5" customHeight="1" s="304"/>
    <row r="1384" ht="16.5" customHeight="1" s="304"/>
    <row r="1385" ht="16.5" customHeight="1" s="304"/>
    <row r="1386" ht="16.5" customHeight="1" s="304"/>
    <row r="1387" ht="16.5" customHeight="1" s="304"/>
    <row r="1388" ht="16.5" customHeight="1" s="304"/>
    <row r="1389" ht="16.5" customHeight="1" s="304"/>
    <row r="1390" ht="16.5" customHeight="1" s="304"/>
    <row r="1391" ht="16.5" customHeight="1" s="304"/>
    <row r="1392" ht="16.5" customHeight="1" s="304"/>
    <row r="1393" ht="16.5" customHeight="1" s="304"/>
    <row r="1394" ht="16.5" customHeight="1" s="304"/>
    <row r="1395" ht="16.5" customHeight="1" s="304"/>
    <row r="1396" ht="16.5" customHeight="1" s="304"/>
    <row r="1397" ht="16.5" customHeight="1" s="304"/>
    <row r="1398" ht="16.5" customHeight="1" s="304"/>
    <row r="1399" ht="16.5" customHeight="1" s="304"/>
    <row r="1400" ht="16.5" customHeight="1" s="304"/>
    <row r="1401" ht="16.5" customHeight="1" s="304"/>
    <row r="1402" ht="16.5" customHeight="1" s="304"/>
    <row r="1403" ht="16.5" customHeight="1" s="304"/>
    <row r="1404" ht="16.5" customHeight="1" s="304"/>
    <row r="1405" ht="16.5" customHeight="1" s="304"/>
    <row r="1406" ht="16.5" customHeight="1" s="304"/>
    <row r="1407" ht="16.5" customHeight="1" s="304"/>
    <row r="1408" ht="16.5" customHeight="1" s="304"/>
    <row r="1409" ht="16.5" customHeight="1" s="304"/>
    <row r="1410" ht="16.5" customHeight="1" s="304"/>
    <row r="1411" ht="16.5" customHeight="1" s="304"/>
    <row r="1412" ht="16.5" customHeight="1" s="304"/>
    <row r="1413" ht="16.5" customHeight="1" s="304"/>
    <row r="1414" ht="16.5" customHeight="1" s="304"/>
    <row r="1415" ht="16.5" customHeight="1" s="304"/>
    <row r="1416" ht="16.5" customHeight="1" s="304"/>
    <row r="1417" ht="16.5" customHeight="1" s="304"/>
    <row r="1418" ht="16.5" customHeight="1" s="304"/>
    <row r="1419" ht="16.5" customHeight="1" s="304"/>
    <row r="1420" ht="16.5" customHeight="1" s="304"/>
    <row r="1421" ht="16.5" customHeight="1" s="304"/>
    <row r="1422" ht="16.5" customHeight="1" s="304"/>
    <row r="1423" ht="16.5" customHeight="1" s="304"/>
    <row r="1424" ht="16.5" customHeight="1" s="304"/>
    <row r="1425" ht="16.5" customHeight="1" s="304"/>
    <row r="1426" ht="16.5" customHeight="1" s="304"/>
    <row r="1427" ht="16.5" customHeight="1" s="304"/>
    <row r="1428" ht="16.5" customHeight="1" s="304"/>
    <row r="1429" ht="16.5" customHeight="1" s="304"/>
    <row r="1430" ht="16.5" customHeight="1" s="304"/>
    <row r="1431" ht="16.5" customHeight="1" s="304"/>
    <row r="1432" ht="16.5" customHeight="1" s="304"/>
    <row r="1433" ht="16.5" customHeight="1" s="304"/>
    <row r="1434" ht="16.5" customHeight="1" s="304"/>
    <row r="1435" ht="16.5" customHeight="1" s="304"/>
    <row r="1436" ht="16.5" customHeight="1" s="304"/>
    <row r="1437" ht="16.5" customHeight="1" s="304"/>
    <row r="1438" ht="16.5" customHeight="1" s="304"/>
    <row r="1439" ht="16.5" customHeight="1" s="304"/>
    <row r="1440" ht="16.5" customHeight="1" s="304"/>
    <row r="1441" ht="16.5" customHeight="1" s="304"/>
    <row r="1442" ht="16.5" customHeight="1" s="304"/>
    <row r="1443" ht="16.5" customHeight="1" s="304"/>
    <row r="1444" ht="16.5" customHeight="1" s="304"/>
    <row r="1445" ht="16.5" customHeight="1" s="304"/>
    <row r="1446" ht="16.5" customHeight="1" s="304"/>
    <row r="1447" ht="16.5" customHeight="1" s="304"/>
    <row r="1448" ht="16.5" customHeight="1" s="304"/>
    <row r="1449" ht="16.5" customHeight="1" s="304"/>
    <row r="1450" ht="16.5" customHeight="1" s="304"/>
    <row r="1451" ht="16.5" customHeight="1" s="304"/>
    <row r="1452" ht="16.5" customHeight="1" s="304"/>
    <row r="1453" ht="16.5" customHeight="1" s="304"/>
    <row r="1454" ht="16.5" customHeight="1" s="304"/>
    <row r="1455" ht="16.5" customHeight="1" s="304"/>
    <row r="1456" ht="16.5" customHeight="1" s="304"/>
    <row r="1457" ht="16.5" customHeight="1" s="304"/>
    <row r="1458" ht="16.5" customHeight="1" s="304"/>
    <row r="1459" ht="16.5" customHeight="1" s="304"/>
    <row r="1460" ht="16.5" customHeight="1" s="304"/>
    <row r="1461" ht="16.5" customHeight="1" s="304"/>
    <row r="1462" ht="16.5" customHeight="1" s="304"/>
    <row r="1463" ht="16.5" customHeight="1" s="304"/>
    <row r="1464" ht="16.5" customHeight="1" s="304"/>
    <row r="1465" ht="16.5" customHeight="1" s="304"/>
    <row r="1466" ht="16.5" customHeight="1" s="304"/>
    <row r="1467" ht="16.5" customHeight="1" s="304"/>
    <row r="1468" ht="16.5" customHeight="1" s="304"/>
    <row r="1469" ht="16.5" customHeight="1" s="304"/>
    <row r="1470" ht="16.5" customHeight="1" s="304"/>
    <row r="1471" ht="16.5" customHeight="1" s="304"/>
    <row r="1472" ht="16.5" customHeight="1" s="304"/>
    <row r="1473" ht="16.5" customHeight="1" s="304"/>
    <row r="1474" ht="16.5" customHeight="1" s="304"/>
    <row r="1475" ht="16.5" customHeight="1" s="304"/>
    <row r="1476" ht="16.5" customHeight="1" s="304"/>
    <row r="1477" ht="16.5" customHeight="1" s="304"/>
    <row r="1478" ht="16.5" customHeight="1" s="304"/>
    <row r="1479" ht="16.5" customHeight="1" s="304"/>
    <row r="1480" ht="16.5" customHeight="1" s="304"/>
    <row r="1481" ht="16.5" customHeight="1" s="304"/>
    <row r="1482" ht="16.5" customHeight="1" s="304"/>
    <row r="1483" ht="16.5" customHeight="1" s="304"/>
    <row r="1484" ht="16.5" customHeight="1" s="304"/>
    <row r="1485" ht="16.5" customHeight="1" s="304"/>
    <row r="1486" ht="16.5" customHeight="1" s="304"/>
    <row r="1487" ht="16.5" customHeight="1" s="304"/>
    <row r="1488" ht="16.5" customHeight="1" s="304"/>
    <row r="1489" ht="16.5" customHeight="1" s="304"/>
    <row r="1490" ht="16.5" customHeight="1" s="304"/>
    <row r="1491" ht="16.5" customHeight="1" s="304"/>
    <row r="1492" ht="16.5" customHeight="1" s="304"/>
    <row r="1493" ht="16.5" customHeight="1" s="304"/>
    <row r="1494" ht="16.5" customHeight="1" s="304"/>
    <row r="1495" ht="16.5" customHeight="1" s="304"/>
    <row r="1496" ht="16.5" customHeight="1" s="304"/>
    <row r="1497" ht="16.5" customHeight="1" s="304"/>
    <row r="1498" ht="16.5" customHeight="1" s="304"/>
    <row r="1499" ht="16.5" customHeight="1" s="304"/>
    <row r="1500" ht="16.5" customHeight="1" s="304"/>
    <row r="1501" ht="16.5" customHeight="1" s="304"/>
    <row r="1502" ht="16.5" customHeight="1" s="304"/>
    <row r="1503" ht="16.5" customHeight="1" s="304"/>
    <row r="1504" ht="16.5" customHeight="1" s="304"/>
    <row r="1505" ht="16.5" customHeight="1" s="304"/>
    <row r="1506" ht="16.5" customHeight="1" s="304"/>
    <row r="1507" ht="16.5" customHeight="1" s="304"/>
    <row r="1508" ht="16.5" customHeight="1" s="304"/>
    <row r="1509" ht="16.5" customHeight="1" s="304"/>
    <row r="1510" ht="16.5" customHeight="1" s="304"/>
    <row r="1511" ht="16.5" customHeight="1" s="304"/>
    <row r="1512" ht="16.5" customHeight="1" s="304"/>
    <row r="1513" ht="16.5" customHeight="1" s="304"/>
    <row r="1514" ht="16.5" customHeight="1" s="304"/>
    <row r="1515" ht="16.5" customHeight="1" s="304"/>
    <row r="1516" ht="16.5" customHeight="1" s="304"/>
    <row r="1517" ht="16.5" customHeight="1" s="304"/>
    <row r="1518" ht="16.5" customHeight="1" s="304"/>
    <row r="1519" ht="16.5" customHeight="1" s="304"/>
    <row r="1520" ht="16.5" customHeight="1" s="304"/>
    <row r="1521" ht="16.5" customHeight="1" s="304"/>
    <row r="1522" ht="16.5" customHeight="1" s="304"/>
    <row r="1523" ht="16.5" customHeight="1" s="304"/>
    <row r="1524" ht="16.5" customHeight="1" s="304"/>
    <row r="1525" ht="16.5" customHeight="1" s="304"/>
    <row r="1526" ht="16.5" customHeight="1" s="304"/>
    <row r="1527" ht="16.5" customHeight="1" s="304"/>
    <row r="1528" ht="16.5" customHeight="1" s="304"/>
    <row r="1529" ht="16.5" customHeight="1" s="304"/>
    <row r="1530" ht="16.5" customHeight="1" s="304"/>
    <row r="1531" ht="16.5" customHeight="1" s="304"/>
    <row r="1532" ht="16.5" customHeight="1" s="304"/>
    <row r="1533" ht="16.5" customHeight="1" s="304"/>
    <row r="1534" ht="16.5" customHeight="1" s="304"/>
    <row r="1535" ht="16.5" customHeight="1" s="304"/>
    <row r="1536" ht="16.5" customHeight="1" s="304"/>
    <row r="1537" ht="16.5" customHeight="1" s="304"/>
    <row r="1538" ht="16.5" customHeight="1" s="304"/>
    <row r="1539" ht="16.5" customHeight="1" s="304"/>
    <row r="1540" ht="16.5" customHeight="1" s="304"/>
    <row r="1541" ht="16.5" customHeight="1" s="304"/>
    <row r="1542" ht="16.5" customHeight="1" s="304"/>
    <row r="1543" ht="16.5" customHeight="1" s="304"/>
    <row r="1544" ht="16.5" customHeight="1" s="304"/>
    <row r="1545" ht="16.5" customHeight="1" s="304"/>
    <row r="1546" ht="16.5" customHeight="1" s="304"/>
    <row r="1547" ht="16.5" customHeight="1" s="304"/>
    <row r="1548" ht="16.5" customHeight="1" s="304"/>
    <row r="1549" ht="16.5" customHeight="1" s="304"/>
    <row r="1550" ht="16.5" customHeight="1" s="304"/>
    <row r="1551" ht="16.5" customHeight="1" s="304"/>
    <row r="1552" ht="16.5" customHeight="1" s="304"/>
    <row r="1553" ht="16.5" customHeight="1" s="304"/>
    <row r="1554" ht="16.5" customHeight="1" s="304"/>
    <row r="1555" ht="16.5" customHeight="1" s="304"/>
    <row r="1556" ht="16.5" customHeight="1" s="304"/>
    <row r="1557" ht="16.5" customHeight="1" s="304"/>
    <row r="1558" ht="16.5" customHeight="1" s="304"/>
    <row r="1559" ht="16.5" customHeight="1" s="304"/>
    <row r="1560" ht="16.5" customHeight="1" s="304"/>
    <row r="1561" ht="16.5" customHeight="1" s="304"/>
    <row r="1562" ht="16.5" customHeight="1" s="304"/>
    <row r="1563" ht="16.5" customHeight="1" s="304"/>
    <row r="1564" ht="16.5" customHeight="1" s="304"/>
    <row r="1565" ht="16.5" customHeight="1" s="304"/>
    <row r="1566" ht="16.5" customHeight="1" s="304"/>
    <row r="1567" ht="16.5" customHeight="1" s="304"/>
    <row r="1568" ht="16.5" customHeight="1" s="304"/>
    <row r="1569" ht="16.5" customHeight="1" s="304"/>
    <row r="1570" ht="16.5" customHeight="1" s="304"/>
    <row r="1571" ht="16.5" customHeight="1" s="304"/>
    <row r="1572" ht="16.5" customHeight="1" s="304"/>
    <row r="1573" ht="16.5" customHeight="1" s="304"/>
    <row r="1574" ht="16.5" customHeight="1" s="304"/>
    <row r="1575" ht="16.5" customHeight="1" s="304"/>
    <row r="1576" ht="16.5" customHeight="1" s="304"/>
    <row r="1577" ht="16.5" customHeight="1" s="304"/>
    <row r="1578" ht="16.5" customHeight="1" s="304"/>
    <row r="1579" ht="16.5" customHeight="1" s="304"/>
    <row r="1580" ht="16.5" customHeight="1" s="304"/>
    <row r="1581" ht="16.5" customHeight="1" s="304"/>
    <row r="1582" ht="16.5" customHeight="1" s="304"/>
    <row r="1583" ht="16.5" customHeight="1" s="304"/>
    <row r="1584" ht="16.5" customHeight="1" s="304"/>
    <row r="1585" ht="16.5" customHeight="1" s="304"/>
    <row r="1586" ht="16.5" customHeight="1" s="304"/>
    <row r="1587" ht="16.5" customHeight="1" s="304"/>
    <row r="1588" ht="16.5" customHeight="1" s="304"/>
    <row r="1589" ht="16.5" customHeight="1" s="304"/>
    <row r="1590" ht="16.5" customHeight="1" s="304"/>
    <row r="1591" ht="16.5" customHeight="1" s="304"/>
    <row r="1592" ht="16.5" customHeight="1" s="304"/>
    <row r="1593" ht="16.5" customHeight="1" s="304"/>
    <row r="1594" ht="16.5" customHeight="1" s="304"/>
    <row r="1595" ht="16.5" customHeight="1" s="304"/>
    <row r="1596" ht="16.5" customHeight="1" s="304"/>
    <row r="1597" ht="16.5" customHeight="1" s="304"/>
    <row r="1598" ht="16.5" customHeight="1" s="304"/>
    <row r="1599" ht="16.5" customHeight="1" s="304"/>
    <row r="1600" ht="16.5" customHeight="1" s="304"/>
    <row r="1601" ht="16.5" customHeight="1" s="304"/>
    <row r="1602" ht="16.5" customHeight="1" s="304"/>
    <row r="1603" ht="16.5" customHeight="1" s="304"/>
    <row r="1604" ht="16.5" customHeight="1" s="304"/>
    <row r="1605" ht="16.5" customHeight="1" s="304"/>
    <row r="1606" ht="16.5" customHeight="1" s="304"/>
    <row r="1607" ht="16.5" customHeight="1" s="304"/>
    <row r="1608" ht="16.5" customHeight="1" s="304"/>
    <row r="1609" ht="16.5" customHeight="1" s="304"/>
    <row r="1610" ht="16.5" customHeight="1" s="304"/>
    <row r="1611" ht="16.5" customHeight="1" s="304"/>
    <row r="1612" ht="16.5" customHeight="1" s="304"/>
    <row r="1613" ht="16.5" customHeight="1" s="304"/>
    <row r="1614" ht="16.5" customHeight="1" s="304"/>
    <row r="1615" ht="16.5" customHeight="1" s="304"/>
    <row r="1616" ht="16.5" customHeight="1" s="304"/>
    <row r="1617" ht="16.5" customHeight="1" s="304"/>
    <row r="1618" ht="16.5" customHeight="1" s="304"/>
    <row r="1619" ht="16.5" customHeight="1" s="304"/>
    <row r="1620" ht="16.5" customHeight="1" s="304"/>
    <row r="1621" ht="16.5" customHeight="1" s="304"/>
    <row r="1622" ht="16.5" customHeight="1" s="304"/>
    <row r="1623" ht="16.5" customHeight="1" s="304"/>
    <row r="1624" ht="16.5" customHeight="1" s="304"/>
    <row r="1625" ht="16.5" customHeight="1" s="304"/>
    <row r="1626" ht="16.5" customHeight="1" s="304"/>
    <row r="1627" ht="16.5" customHeight="1" s="304"/>
    <row r="1628" ht="16.5" customHeight="1" s="304"/>
    <row r="1629" ht="16.5" customHeight="1" s="304"/>
    <row r="1630" ht="16.5" customHeight="1" s="304"/>
    <row r="1631" ht="16.5" customHeight="1" s="304"/>
    <row r="1632" ht="16.5" customHeight="1" s="304"/>
    <row r="1633" ht="16.5" customHeight="1" s="304"/>
    <row r="1634" ht="16.5" customHeight="1" s="304"/>
    <row r="1635" ht="16.5" customHeight="1" s="304"/>
    <row r="1636" ht="16.5" customHeight="1" s="304"/>
    <row r="1637" ht="16.5" customHeight="1" s="304"/>
    <row r="1638" ht="16.5" customHeight="1" s="304"/>
    <row r="1639" ht="16.5" customHeight="1" s="304"/>
    <row r="1640" ht="16.5" customHeight="1" s="304"/>
    <row r="1641" ht="16.5" customHeight="1" s="304"/>
    <row r="1642" ht="16.5" customHeight="1" s="304"/>
    <row r="1643" ht="16.5" customHeight="1" s="304"/>
    <row r="1644" ht="16.5" customHeight="1" s="304"/>
    <row r="1645" ht="16.5" customHeight="1" s="304"/>
    <row r="1646" ht="16.5" customHeight="1" s="304"/>
    <row r="1647" ht="16.5" customHeight="1" s="304"/>
    <row r="1648" ht="16.5" customHeight="1" s="304"/>
    <row r="1649" ht="16.5" customHeight="1" s="304"/>
    <row r="1650" ht="16.5" customHeight="1" s="304"/>
    <row r="1651" ht="16.5" customHeight="1" s="304"/>
    <row r="1652" ht="16.5" customHeight="1" s="304"/>
    <row r="1653" ht="16.5" customHeight="1" s="304"/>
    <row r="1654" ht="16.5" customHeight="1" s="304"/>
    <row r="1655" ht="16.5" customHeight="1" s="304"/>
    <row r="1656" ht="16.5" customHeight="1" s="304"/>
    <row r="1657" ht="16.5" customHeight="1" s="304"/>
    <row r="1658" ht="16.5" customHeight="1" s="304"/>
    <row r="1659" ht="16.5" customHeight="1" s="304"/>
    <row r="1660" ht="16.5" customHeight="1" s="304"/>
    <row r="1661" ht="16.5" customHeight="1" s="304"/>
    <row r="1662" ht="16.5" customHeight="1" s="304"/>
    <row r="1663" ht="16.5" customHeight="1" s="304"/>
    <row r="1664" ht="16.5" customHeight="1" s="304"/>
    <row r="1665" ht="16.5" customHeight="1" s="304"/>
    <row r="1666" ht="16.5" customHeight="1" s="304"/>
    <row r="1667" ht="16.5" customHeight="1" s="304"/>
    <row r="1668" ht="16.5" customHeight="1" s="304"/>
    <row r="1669" ht="16.5" customHeight="1" s="304"/>
    <row r="1670" ht="16.5" customHeight="1" s="304"/>
    <row r="1671" ht="16.5" customHeight="1" s="304"/>
    <row r="1672" ht="16.5" customHeight="1" s="304"/>
    <row r="1673" ht="16.5" customHeight="1" s="304"/>
    <row r="1674" ht="16.5" customHeight="1" s="304"/>
    <row r="1675" ht="16.5" customHeight="1" s="304"/>
    <row r="1676" ht="16.5" customHeight="1" s="304"/>
    <row r="1677" ht="16.5" customHeight="1" s="304"/>
    <row r="1678" ht="16.5" customHeight="1" s="304"/>
    <row r="1679" ht="16.5" customHeight="1" s="304"/>
    <row r="1680" ht="16.5" customHeight="1" s="304"/>
    <row r="1681" ht="16.5" customHeight="1" s="304"/>
    <row r="1682" ht="16.5" customHeight="1" s="304"/>
    <row r="1683" ht="16.5" customHeight="1" s="304"/>
    <row r="1684" ht="16.5" customHeight="1" s="304"/>
    <row r="1685" ht="16.5" customHeight="1" s="304"/>
    <row r="1686" ht="16.5" customHeight="1" s="304"/>
    <row r="1687" ht="16.5" customHeight="1" s="304"/>
    <row r="1688" ht="16.5" customHeight="1" s="304"/>
    <row r="1689" ht="16.5" customHeight="1" s="304"/>
    <row r="1690" ht="16.5" customHeight="1" s="304"/>
    <row r="1691" ht="16.5" customHeight="1" s="304"/>
    <row r="1692" ht="16.5" customHeight="1" s="304"/>
    <row r="1693" ht="16.5" customHeight="1" s="304"/>
    <row r="1694" ht="16.5" customHeight="1" s="304"/>
    <row r="1695" ht="16.5" customHeight="1" s="304"/>
    <row r="1696" ht="16.5" customHeight="1" s="304"/>
    <row r="1697" ht="16.5" customHeight="1" s="304"/>
    <row r="1698" ht="16.5" customHeight="1" s="304"/>
    <row r="1699" ht="16.5" customHeight="1" s="304"/>
    <row r="1700" ht="16.5" customHeight="1" s="304"/>
    <row r="1701" ht="16.5" customHeight="1" s="304"/>
    <row r="1702" ht="16.5" customHeight="1" s="304"/>
    <row r="1703" ht="16.5" customHeight="1" s="304"/>
    <row r="1704" ht="16.5" customHeight="1" s="304"/>
    <row r="1705" ht="16.5" customHeight="1" s="304"/>
    <row r="1706" ht="16.5" customHeight="1" s="304"/>
    <row r="1707" ht="16.5" customHeight="1" s="304"/>
    <row r="1708" ht="16.5" customHeight="1" s="304"/>
    <row r="1709" ht="16.5" customHeight="1" s="304"/>
    <row r="1710" ht="16.5" customHeight="1" s="304"/>
    <row r="1711" ht="16.5" customHeight="1" s="304"/>
    <row r="1712" ht="16.5" customHeight="1" s="304"/>
    <row r="1713" ht="16.5" customHeight="1" s="304"/>
    <row r="1714" ht="16.5" customHeight="1" s="304"/>
    <row r="1715" ht="16.5" customHeight="1" s="304"/>
    <row r="1716" ht="16.5" customHeight="1" s="304"/>
    <row r="1717" ht="16.5" customHeight="1" s="304"/>
    <row r="1718" ht="16.5" customHeight="1" s="304"/>
    <row r="1719" ht="16.5" customHeight="1" s="304"/>
    <row r="1720" ht="16.5" customHeight="1" s="304"/>
    <row r="1721" ht="16.5" customHeight="1" s="304"/>
    <row r="1722" ht="16.5" customHeight="1" s="304"/>
    <row r="1723" ht="16.5" customHeight="1" s="304"/>
    <row r="1724" ht="16.5" customHeight="1" s="304"/>
    <row r="1725" ht="16.5" customHeight="1" s="304"/>
    <row r="1726" ht="16.5" customHeight="1" s="304"/>
    <row r="1727" ht="16.5" customHeight="1" s="304"/>
    <row r="1728" ht="16.5" customHeight="1" s="304"/>
    <row r="1729" ht="16.5" customHeight="1" s="304"/>
    <row r="1730" ht="16.5" customHeight="1" s="304"/>
    <row r="1731" ht="16.5" customHeight="1" s="304"/>
    <row r="1732" ht="16.5" customHeight="1" s="304"/>
    <row r="1733" ht="16.5" customHeight="1" s="304"/>
    <row r="1734" ht="16.5" customHeight="1" s="304"/>
    <row r="1735" ht="16.5" customHeight="1" s="304"/>
    <row r="1736" ht="16.5" customHeight="1" s="304"/>
    <row r="1737" ht="16.5" customHeight="1" s="304"/>
    <row r="1738" ht="16.5" customHeight="1" s="304"/>
    <row r="1739" ht="16.5" customHeight="1" s="304"/>
    <row r="1740" ht="16.5" customHeight="1" s="304"/>
    <row r="1741" ht="16.5" customHeight="1" s="304"/>
    <row r="1742" ht="16.5" customHeight="1" s="304"/>
    <row r="1743" ht="16.5" customHeight="1" s="304"/>
    <row r="1744" ht="16.5" customHeight="1" s="304"/>
    <row r="1745" ht="16.5" customHeight="1" s="304"/>
    <row r="1746" ht="16.5" customHeight="1" s="304"/>
    <row r="1747" ht="16.5" customHeight="1" s="304"/>
    <row r="1748" ht="16.5" customHeight="1" s="304"/>
    <row r="1749" ht="16.5" customHeight="1" s="304"/>
    <row r="1750" ht="16.5" customHeight="1" s="304"/>
    <row r="1751" ht="16.5" customHeight="1" s="304"/>
    <row r="1752" ht="16.5" customHeight="1" s="304"/>
    <row r="1753" ht="16.5" customHeight="1" s="304"/>
    <row r="1754" ht="16.5" customHeight="1" s="304"/>
    <row r="1755" ht="16.5" customHeight="1" s="304"/>
    <row r="1756" ht="16.5" customHeight="1" s="304"/>
    <row r="1757" ht="16.5" customHeight="1" s="304"/>
    <row r="1758" ht="16.5" customHeight="1" s="304"/>
    <row r="1759" ht="16.5" customHeight="1" s="304"/>
    <row r="1760" ht="16.5" customHeight="1" s="304"/>
    <row r="1761" ht="16.5" customHeight="1" s="304"/>
    <row r="1762" ht="16.5" customHeight="1" s="304"/>
    <row r="1763" ht="16.5" customHeight="1" s="304"/>
    <row r="1764" ht="16.5" customHeight="1" s="304"/>
    <row r="1765" ht="16.5" customHeight="1" s="304"/>
    <row r="1766" ht="16.5" customHeight="1" s="304"/>
    <row r="1767" ht="16.5" customHeight="1" s="304"/>
    <row r="1768" ht="16.5" customHeight="1" s="304"/>
    <row r="1769" ht="16.5" customHeight="1" s="304"/>
    <row r="1770" ht="16.5" customHeight="1" s="304"/>
    <row r="1771" ht="16.5" customHeight="1" s="304"/>
    <row r="1772" ht="16.5" customHeight="1" s="304"/>
    <row r="1773" ht="16.5" customHeight="1" s="304"/>
    <row r="1774" ht="16.5" customHeight="1" s="304"/>
    <row r="1775" ht="16.5" customHeight="1" s="304"/>
    <row r="1776" ht="16.5" customHeight="1" s="304"/>
    <row r="1777" ht="16.5" customHeight="1" s="304"/>
    <row r="1778" ht="16.5" customHeight="1" s="304"/>
    <row r="1779" ht="16.5" customHeight="1" s="304"/>
    <row r="1780" ht="16.5" customHeight="1" s="304"/>
    <row r="1781" ht="16.5" customHeight="1" s="304"/>
    <row r="1782" ht="16.5" customHeight="1" s="304"/>
    <row r="1783" ht="16.5" customHeight="1" s="304"/>
    <row r="1784" ht="16.5" customHeight="1" s="304"/>
    <row r="1785" ht="16.5" customHeight="1" s="304"/>
    <row r="1786" ht="16.5" customHeight="1" s="304"/>
    <row r="1787" ht="16.5" customHeight="1" s="304"/>
    <row r="1788" ht="16.5" customHeight="1" s="304"/>
    <row r="1789" ht="16.5" customHeight="1" s="304"/>
    <row r="1790" ht="16.5" customHeight="1" s="304"/>
    <row r="1791" ht="16.5" customHeight="1" s="304"/>
    <row r="1792" ht="16.5" customHeight="1" s="304"/>
    <row r="1793" ht="16.5" customHeight="1" s="304"/>
    <row r="1794" ht="16.5" customHeight="1" s="304"/>
    <row r="1795" ht="16.5" customHeight="1" s="304"/>
    <row r="1796" ht="16.5" customHeight="1" s="304"/>
    <row r="1797" ht="16.5" customHeight="1" s="304"/>
    <row r="1798" ht="16.5" customHeight="1" s="304"/>
    <row r="1799" ht="16.5" customHeight="1" s="304"/>
    <row r="1800" ht="16.5" customHeight="1" s="304"/>
    <row r="1801" ht="16.5" customHeight="1" s="304"/>
    <row r="1802" ht="16.5" customHeight="1" s="304"/>
    <row r="1803" ht="16.5" customHeight="1" s="304"/>
    <row r="1804" ht="16.5" customHeight="1" s="304"/>
    <row r="1805" ht="16.5" customHeight="1" s="304"/>
    <row r="1806" ht="16.5" customHeight="1" s="304"/>
    <row r="1807" ht="16.5" customHeight="1" s="304"/>
    <row r="1808" ht="16.5" customHeight="1" s="304"/>
    <row r="1809" ht="16.5" customHeight="1" s="304"/>
    <row r="1810" ht="16.5" customHeight="1" s="304"/>
    <row r="1811" ht="16.5" customHeight="1" s="304"/>
    <row r="1812" ht="16.5" customHeight="1" s="304"/>
    <row r="1813" ht="16.5" customHeight="1" s="304"/>
    <row r="1814" ht="16.5" customHeight="1" s="304"/>
    <row r="1815" ht="16.5" customHeight="1" s="304"/>
    <row r="1816" ht="16.5" customHeight="1" s="304"/>
    <row r="1817" ht="16.5" customHeight="1" s="304"/>
    <row r="1818" ht="16.5" customHeight="1" s="304"/>
    <row r="1819" ht="16.5" customHeight="1" s="304"/>
    <row r="1820" ht="16.5" customHeight="1" s="304"/>
    <row r="1821" ht="16.5" customHeight="1" s="304"/>
    <row r="1822" ht="16.5" customHeight="1" s="304"/>
    <row r="1823" ht="16.5" customHeight="1" s="304"/>
    <row r="1824" ht="16.5" customHeight="1" s="304"/>
    <row r="1825" ht="16.5" customHeight="1" s="304"/>
    <row r="1826" ht="16.5" customHeight="1" s="304"/>
    <row r="1827" ht="16.5" customHeight="1" s="304"/>
    <row r="1828" ht="16.5" customHeight="1" s="304"/>
    <row r="1829" ht="16.5" customHeight="1" s="304"/>
    <row r="1830" ht="16.5" customHeight="1" s="304"/>
    <row r="1831" ht="16.5" customHeight="1" s="304"/>
    <row r="1832" ht="16.5" customHeight="1" s="304"/>
    <row r="1833" ht="16.5" customHeight="1" s="304"/>
    <row r="1834" ht="16.5" customHeight="1" s="304"/>
    <row r="1835" ht="16.5" customHeight="1" s="304"/>
    <row r="1836" ht="16.5" customHeight="1" s="304"/>
    <row r="1837" ht="16.5" customHeight="1" s="304"/>
    <row r="1838" ht="16.5" customHeight="1" s="304"/>
    <row r="1839" ht="16.5" customHeight="1" s="304"/>
    <row r="1840" ht="16.5" customHeight="1" s="304"/>
    <row r="1841" ht="16.5" customHeight="1" s="304"/>
    <row r="1842" ht="16.5" customHeight="1" s="304"/>
    <row r="1843" ht="16.5" customHeight="1" s="304"/>
    <row r="1844" ht="16.5" customHeight="1" s="304"/>
    <row r="1845" ht="16.5" customHeight="1" s="304"/>
    <row r="1846" ht="16.5" customHeight="1" s="304"/>
    <row r="1847" ht="16.5" customHeight="1" s="304"/>
    <row r="1848" ht="16.5" customHeight="1" s="304"/>
    <row r="1849" ht="16.5" customHeight="1" s="304"/>
    <row r="1850" ht="16.5" customHeight="1" s="304"/>
    <row r="1851" ht="16.5" customHeight="1" s="304"/>
    <row r="1852" ht="16.5" customHeight="1" s="304"/>
    <row r="1853" ht="16.5" customHeight="1" s="304"/>
    <row r="1854" ht="16.5" customHeight="1" s="304"/>
    <row r="1855" ht="16.5" customHeight="1" s="304"/>
    <row r="1856" ht="16.5" customHeight="1" s="304"/>
    <row r="1857" ht="16.5" customHeight="1" s="304"/>
    <row r="1858" ht="16.5" customHeight="1" s="304"/>
    <row r="1859" ht="16.5" customHeight="1" s="304"/>
    <row r="1860" ht="16.5" customHeight="1" s="304"/>
    <row r="1861" ht="16.5" customHeight="1" s="304"/>
    <row r="1862" ht="16.5" customHeight="1" s="304"/>
    <row r="1863" ht="16.5" customHeight="1" s="304"/>
    <row r="1864" ht="16.5" customHeight="1" s="304"/>
    <row r="1865" ht="16.5" customHeight="1" s="304"/>
    <row r="1866" ht="16.5" customHeight="1" s="304"/>
    <row r="1867" ht="16.5" customHeight="1" s="304"/>
    <row r="1868" ht="16.5" customHeight="1" s="304"/>
    <row r="1869" ht="16.5" customHeight="1" s="304"/>
    <row r="1870" ht="16.5" customHeight="1" s="304"/>
    <row r="1871" ht="16.5" customHeight="1" s="304"/>
    <row r="1872" ht="16.5" customHeight="1" s="304"/>
    <row r="1873" ht="16.5" customHeight="1" s="304"/>
    <row r="1874" ht="16.5" customHeight="1" s="304"/>
    <row r="1875" ht="16.5" customHeight="1" s="304"/>
    <row r="1876" ht="16.5" customHeight="1" s="304"/>
    <row r="1877" ht="16.5" customHeight="1" s="304"/>
    <row r="1878" ht="16.5" customHeight="1" s="304"/>
    <row r="1879" ht="16.5" customHeight="1" s="304"/>
    <row r="1880" ht="16.5" customHeight="1" s="304"/>
    <row r="1881" ht="16.5" customHeight="1" s="304"/>
    <row r="1882" ht="16.5" customHeight="1" s="304"/>
    <row r="1883" ht="16.5" customHeight="1" s="304"/>
    <row r="1884" ht="16.5" customHeight="1" s="304"/>
    <row r="1885" ht="16.5" customHeight="1" s="304"/>
    <row r="1886" ht="16.5" customHeight="1" s="304"/>
    <row r="1887" ht="16.5" customHeight="1" s="304"/>
    <row r="1888" ht="16.5" customHeight="1" s="304"/>
    <row r="1889" ht="16.5" customHeight="1" s="304"/>
    <row r="1890" ht="16.5" customHeight="1" s="304"/>
    <row r="1891" ht="16.5" customHeight="1" s="304"/>
    <row r="1892" ht="16.5" customHeight="1" s="304"/>
    <row r="1893" ht="16.5" customHeight="1" s="304"/>
    <row r="1894" ht="16.5" customHeight="1" s="304"/>
    <row r="1895" ht="16.5" customHeight="1" s="304"/>
    <row r="1896" ht="16.5" customHeight="1" s="304"/>
    <row r="1897" ht="16.5" customHeight="1" s="304"/>
    <row r="1898" ht="16.5" customHeight="1" s="304"/>
    <row r="1899" ht="16.5" customHeight="1" s="304"/>
    <row r="1900" ht="16.5" customHeight="1" s="304"/>
    <row r="1901" ht="16.5" customHeight="1" s="304"/>
    <row r="1902" ht="16.5" customHeight="1" s="304"/>
    <row r="1903" ht="16.5" customHeight="1" s="304"/>
    <row r="1904" ht="16.5" customHeight="1" s="304"/>
    <row r="1905" ht="16.5" customHeight="1" s="304"/>
    <row r="1906" ht="16.5" customHeight="1" s="304"/>
    <row r="1907" ht="16.5" customHeight="1" s="304"/>
    <row r="1908" ht="16.5" customHeight="1" s="304"/>
    <row r="1909" ht="16.5" customHeight="1" s="304"/>
    <row r="1910" ht="16.5" customHeight="1" s="304"/>
    <row r="1911" ht="16.5" customHeight="1" s="304"/>
    <row r="1912" ht="16.5" customHeight="1" s="304"/>
    <row r="1913" ht="16.5" customHeight="1" s="304"/>
    <row r="1914" ht="16.5" customHeight="1" s="304"/>
    <row r="1915" ht="16.5" customHeight="1" s="304"/>
    <row r="1916" ht="16.5" customHeight="1" s="304"/>
    <row r="1917" ht="16.5" customHeight="1" s="304"/>
    <row r="1918" ht="16.5" customHeight="1" s="304"/>
    <row r="1919" ht="16.5" customHeight="1" s="304"/>
    <row r="1920" ht="16.5" customHeight="1" s="304"/>
    <row r="1921" ht="16.5" customHeight="1" s="304"/>
    <row r="1922" ht="16.5" customHeight="1" s="304"/>
    <row r="1923" ht="16.5" customHeight="1" s="304"/>
    <row r="1924" ht="16.5" customHeight="1" s="304"/>
    <row r="1925" ht="16.5" customHeight="1" s="304"/>
    <row r="1926" ht="16.5" customHeight="1" s="304"/>
    <row r="1927" ht="16.5" customHeight="1" s="304"/>
    <row r="1928" ht="16.5" customHeight="1" s="304"/>
    <row r="1929" ht="16.5" customHeight="1" s="304"/>
    <row r="1930" ht="16.5" customHeight="1" s="304"/>
    <row r="1931" ht="16.5" customHeight="1" s="304"/>
    <row r="1932" ht="16.5" customHeight="1" s="304"/>
    <row r="1933" ht="16.5" customHeight="1" s="304"/>
    <row r="1934" ht="16.5" customHeight="1" s="304"/>
    <row r="1935" ht="16.5" customHeight="1" s="304"/>
    <row r="1936" ht="16.5" customHeight="1" s="304"/>
    <row r="1937" ht="16.5" customHeight="1" s="304"/>
    <row r="1938" ht="16.5" customHeight="1" s="304"/>
    <row r="1939" ht="16.5" customHeight="1" s="304"/>
    <row r="1940" ht="16.5" customHeight="1" s="304"/>
    <row r="1941" ht="16.5" customHeight="1" s="304"/>
    <row r="1942" ht="16.5" customHeight="1" s="304"/>
    <row r="1943" ht="16.5" customHeight="1" s="304"/>
    <row r="1944" ht="16.5" customHeight="1" s="304"/>
    <row r="1945" ht="16.5" customHeight="1" s="304"/>
    <row r="1946" ht="16.5" customHeight="1" s="304"/>
    <row r="1947" ht="16.5" customHeight="1" s="304"/>
    <row r="1948" ht="16.5" customHeight="1" s="304"/>
    <row r="1949" ht="16.5" customHeight="1" s="304"/>
    <row r="1950" ht="16.5" customHeight="1" s="304"/>
    <row r="1951" ht="16.5" customHeight="1" s="304"/>
    <row r="1952" ht="16.5" customHeight="1" s="304"/>
    <row r="1953" ht="16.5" customHeight="1" s="304"/>
    <row r="1954" ht="16.5" customHeight="1" s="304"/>
    <row r="1955" ht="16.5" customHeight="1" s="304"/>
    <row r="1956" ht="16.5" customHeight="1" s="304"/>
    <row r="1957" ht="16.5" customHeight="1" s="304"/>
    <row r="1958" ht="16.5" customHeight="1" s="304"/>
    <row r="1959" ht="16.5" customHeight="1" s="304"/>
    <row r="1960" ht="16.5" customHeight="1" s="304"/>
    <row r="1961" ht="16.5" customHeight="1" s="304"/>
    <row r="1962" ht="16.5" customHeight="1" s="304"/>
    <row r="1963" ht="16.5" customHeight="1" s="304"/>
    <row r="1964" ht="16.5" customHeight="1" s="304"/>
    <row r="1965" ht="16.5" customHeight="1" s="304"/>
    <row r="1966" ht="16.5" customHeight="1" s="304"/>
    <row r="1967" ht="16.5" customHeight="1" s="304"/>
    <row r="1968" ht="16.5" customHeight="1" s="304"/>
    <row r="1969" ht="16.5" customHeight="1" s="304"/>
    <row r="1970" ht="16.5" customHeight="1" s="304"/>
    <row r="1971" ht="16.5" customHeight="1" s="304"/>
    <row r="1972" ht="16.5" customHeight="1" s="304"/>
    <row r="1973" ht="16.5" customHeight="1" s="304"/>
    <row r="1974" ht="16.5" customHeight="1" s="304"/>
    <row r="1975" ht="16.5" customHeight="1" s="304"/>
    <row r="1976" ht="16.5" customHeight="1" s="304"/>
    <row r="1977" ht="16.5" customHeight="1" s="304"/>
    <row r="1978" ht="16.5" customHeight="1" s="304"/>
    <row r="1979" ht="16.5" customHeight="1" s="304"/>
    <row r="1980" ht="16.5" customHeight="1" s="304"/>
    <row r="1981" ht="16.5" customHeight="1" s="304"/>
    <row r="1982" ht="16.5" customHeight="1" s="304"/>
    <row r="1983" ht="16.5" customHeight="1" s="304"/>
    <row r="1984" ht="16.5" customHeight="1" s="304"/>
    <row r="1985" ht="16.5" customHeight="1" s="304"/>
    <row r="1986" ht="16.5" customHeight="1" s="304"/>
    <row r="1987" ht="16.5" customHeight="1" s="304"/>
    <row r="1988" ht="16.5" customHeight="1" s="304"/>
    <row r="1989" ht="16.5" customHeight="1" s="304"/>
    <row r="1990" ht="16.5" customHeight="1" s="304"/>
    <row r="1991" ht="16.5" customHeight="1" s="304"/>
    <row r="1992" ht="16.5" customHeight="1" s="304"/>
    <row r="1993" ht="16.5" customHeight="1" s="304"/>
    <row r="1994" ht="16.5" customHeight="1" s="304"/>
    <row r="1995" ht="16.5" customHeight="1" s="304"/>
    <row r="1996" ht="16.5" customHeight="1" s="304"/>
    <row r="1997" ht="16.5" customHeight="1" s="304"/>
    <row r="1998" ht="16.5" customHeight="1" s="304"/>
    <row r="1999" ht="16.5" customHeight="1" s="304"/>
    <row r="2000" ht="16.5" customHeight="1" s="304"/>
    <row r="2001" ht="16.5" customHeight="1" s="304"/>
    <row r="2002" ht="16.5" customHeight="1" s="304"/>
    <row r="2003" ht="16.5" customHeight="1" s="304"/>
    <row r="2004" ht="16.5" customHeight="1" s="304"/>
    <row r="2005" ht="16.5" customHeight="1" s="304"/>
    <row r="2006" ht="16.5" customHeight="1" s="304"/>
    <row r="2007" ht="16.5" customHeight="1" s="304"/>
    <row r="2008" ht="16.5" customHeight="1" s="304"/>
    <row r="2009" ht="16.5" customHeight="1" s="304"/>
    <row r="2010" ht="16.5" customHeight="1" s="304"/>
    <row r="2011" ht="16.5" customHeight="1" s="304"/>
    <row r="2012" ht="16.5" customHeight="1" s="304"/>
    <row r="2013" ht="16.5" customHeight="1" s="304"/>
    <row r="2014" ht="16.5" customHeight="1" s="304"/>
    <row r="2015" ht="16.5" customHeight="1" s="304"/>
    <row r="2016" ht="16.5" customHeight="1" s="304"/>
    <row r="2017" ht="16.5" customHeight="1" s="304"/>
    <row r="2018" ht="16.5" customHeight="1" s="304"/>
    <row r="2019" ht="16.5" customHeight="1" s="304"/>
    <row r="2020" ht="16.5" customHeight="1" s="304"/>
    <row r="2021" ht="16.5" customHeight="1" s="304"/>
    <row r="2022" ht="16.5" customHeight="1" s="304"/>
    <row r="2023" ht="16.5" customHeight="1" s="304"/>
    <row r="2024" ht="16.5" customHeight="1" s="304"/>
    <row r="2025" ht="16.5" customHeight="1" s="304"/>
    <row r="2026" ht="16.5" customHeight="1" s="304"/>
    <row r="2027" ht="16.5" customHeight="1" s="304"/>
    <row r="2028" ht="16.5" customHeight="1" s="304"/>
    <row r="2029" ht="16.5" customHeight="1" s="304"/>
    <row r="2030" ht="16.5" customHeight="1" s="304"/>
    <row r="2031" ht="16.5" customHeight="1" s="304"/>
    <row r="2032" ht="16.5" customHeight="1" s="304"/>
    <row r="2033" ht="16.5" customHeight="1" s="304"/>
    <row r="2034" ht="16.5" customHeight="1" s="304"/>
    <row r="2035" ht="16.5" customHeight="1" s="304"/>
    <row r="2036" ht="16.5" customHeight="1" s="304"/>
    <row r="2037" ht="16.5" customHeight="1" s="304"/>
    <row r="2038" ht="16.5" customHeight="1" s="304"/>
    <row r="2039" ht="16.5" customHeight="1" s="304"/>
    <row r="2040" ht="16.5" customHeight="1" s="304"/>
    <row r="2041" ht="16.5" customHeight="1" s="304"/>
    <row r="2042" ht="16.5" customHeight="1" s="304"/>
    <row r="2043" ht="16.5" customHeight="1" s="304"/>
    <row r="2044" ht="16.5" customHeight="1" s="304"/>
    <row r="2045" ht="16.5" customHeight="1" s="304"/>
    <row r="2046" ht="16.5" customHeight="1" s="304"/>
    <row r="2047" ht="16.5" customHeight="1" s="304"/>
    <row r="2048" ht="16.5" customHeight="1" s="304"/>
    <row r="2049" ht="16.5" customHeight="1" s="304"/>
    <row r="2050" ht="16.5" customHeight="1" s="304"/>
    <row r="2051" ht="16.5" customHeight="1" s="304"/>
    <row r="2052" ht="16.5" customHeight="1" s="304"/>
    <row r="2053" ht="16.5" customHeight="1" s="304"/>
    <row r="2054" ht="16.5" customHeight="1" s="304"/>
    <row r="2055" ht="16.5" customHeight="1" s="304"/>
    <row r="2056" ht="16.5" customHeight="1" s="304"/>
    <row r="2057" ht="16.5" customHeight="1" s="304"/>
    <row r="2058" ht="16.5" customHeight="1" s="304"/>
    <row r="2059" ht="16.5" customHeight="1" s="304"/>
    <row r="2060" ht="16.5" customHeight="1" s="304"/>
    <row r="2061" ht="16.5" customHeight="1" s="304"/>
    <row r="2062" ht="16.5" customHeight="1" s="304"/>
    <row r="2063" ht="16.5" customHeight="1" s="304"/>
    <row r="2064" ht="16.5" customHeight="1" s="304"/>
    <row r="2065" ht="16.5" customHeight="1" s="304"/>
    <row r="2066" ht="16.5" customHeight="1" s="304"/>
    <row r="2067" ht="16.5" customHeight="1" s="304"/>
    <row r="2068" ht="16.5" customHeight="1" s="304"/>
    <row r="2069" ht="16.5" customHeight="1" s="304"/>
    <row r="2070" ht="16.5" customHeight="1" s="304"/>
    <row r="2071" ht="16.5" customHeight="1" s="304"/>
    <row r="2072" ht="16.5" customHeight="1" s="304"/>
    <row r="2073" ht="16.5" customHeight="1" s="304"/>
    <row r="2074" ht="16.5" customHeight="1" s="304"/>
    <row r="2075" ht="16.5" customHeight="1" s="304"/>
    <row r="2076" ht="16.5" customHeight="1" s="304"/>
    <row r="2077" ht="16.5" customHeight="1" s="304"/>
    <row r="2078" ht="16.5" customHeight="1" s="304"/>
    <row r="2079" ht="16.5" customHeight="1" s="304"/>
    <row r="2080" ht="16.5" customHeight="1" s="304"/>
    <row r="2081" ht="16.5" customHeight="1" s="304"/>
    <row r="2082" ht="16.5" customHeight="1" s="304"/>
    <row r="2083" ht="16.5" customHeight="1" s="304"/>
    <row r="2084" ht="16.5" customHeight="1" s="304"/>
    <row r="2085" ht="16.5" customHeight="1" s="304"/>
    <row r="2086" ht="16.5" customHeight="1" s="304"/>
    <row r="2087" ht="16.5" customHeight="1" s="304"/>
    <row r="2088" ht="16.5" customHeight="1" s="304"/>
    <row r="2089" ht="16.5" customHeight="1" s="304"/>
    <row r="2090" ht="16.5" customHeight="1" s="304"/>
    <row r="2091" ht="16.5" customHeight="1" s="304"/>
    <row r="2092" ht="16.5" customHeight="1" s="304"/>
    <row r="2093" ht="16.5" customHeight="1" s="304"/>
    <row r="2094" ht="16.5" customHeight="1" s="304"/>
    <row r="2095" ht="16.5" customHeight="1" s="304"/>
    <row r="2096" ht="16.5" customHeight="1" s="304"/>
    <row r="2097" ht="16.5" customHeight="1" s="304"/>
    <row r="2098" ht="16.5" customHeight="1" s="304"/>
    <row r="2099" ht="16.5" customHeight="1" s="304"/>
    <row r="2100" ht="16.5" customHeight="1" s="304"/>
    <row r="2101" ht="16.5" customHeight="1" s="304"/>
    <row r="2102" ht="16.5" customHeight="1" s="304"/>
    <row r="2103" ht="16.5" customHeight="1" s="304"/>
    <row r="2104" ht="16.5" customHeight="1" s="304"/>
    <row r="2105" ht="16.5" customHeight="1" s="304"/>
    <row r="2106" ht="16.5" customHeight="1" s="304"/>
    <row r="2107" ht="16.5" customHeight="1" s="304"/>
    <row r="2108" ht="16.5" customHeight="1" s="304"/>
    <row r="2109" ht="16.5" customHeight="1" s="304"/>
    <row r="2110" ht="16.5" customHeight="1" s="304"/>
    <row r="2111" ht="16.5" customHeight="1" s="304"/>
    <row r="2112" ht="16.5" customHeight="1" s="304"/>
    <row r="2113" ht="16.5" customHeight="1" s="304"/>
    <row r="2114" ht="16.5" customHeight="1" s="304"/>
    <row r="2115" ht="16.5" customHeight="1" s="304"/>
    <row r="2116" ht="16.5" customHeight="1" s="304"/>
    <row r="2117" ht="16.5" customHeight="1" s="304"/>
    <row r="2118" ht="16.5" customHeight="1" s="304"/>
    <row r="2119" ht="16.5" customHeight="1" s="304"/>
    <row r="2120" ht="16.5" customHeight="1" s="304"/>
    <row r="2121" ht="16.5" customHeight="1" s="304"/>
    <row r="2122" ht="16.5" customHeight="1" s="304"/>
    <row r="2123" ht="16.5" customHeight="1" s="304"/>
    <row r="2124" ht="16.5" customHeight="1" s="304"/>
    <row r="2125" ht="16.5" customHeight="1" s="304"/>
    <row r="2126" ht="16.5" customHeight="1" s="304"/>
    <row r="2127" ht="16.5" customHeight="1" s="304"/>
    <row r="2128" ht="16.5" customHeight="1" s="304"/>
    <row r="2129" ht="16.5" customHeight="1" s="304"/>
    <row r="2130" ht="16.5" customHeight="1" s="304"/>
    <row r="2131" ht="16.5" customHeight="1" s="304"/>
    <row r="2132" ht="16.5" customHeight="1" s="304"/>
    <row r="2133" ht="16.5" customHeight="1" s="304"/>
    <row r="2134" ht="16.5" customHeight="1" s="304"/>
    <row r="2135" ht="16.5" customHeight="1" s="304"/>
    <row r="2136" ht="16.5" customHeight="1" s="304"/>
    <row r="2137" ht="16.5" customHeight="1" s="304"/>
    <row r="2138" ht="16.5" customHeight="1" s="304"/>
    <row r="2139" ht="16.5" customHeight="1" s="304"/>
    <row r="2140" ht="16.5" customHeight="1" s="304"/>
    <row r="2141" ht="16.5" customHeight="1" s="304"/>
    <row r="2142" ht="16.5" customHeight="1" s="304"/>
    <row r="2143" ht="16.5" customHeight="1" s="304"/>
    <row r="2144" ht="16.5" customHeight="1" s="304"/>
    <row r="2145" ht="16.5" customHeight="1" s="304"/>
    <row r="2146" ht="16.5" customHeight="1" s="304"/>
    <row r="2147" ht="16.5" customHeight="1" s="304"/>
    <row r="2148" ht="16.5" customHeight="1" s="304"/>
    <row r="2149" ht="16.5" customHeight="1" s="304"/>
    <row r="2150" ht="16.5" customHeight="1" s="304"/>
    <row r="2151" ht="16.5" customHeight="1" s="304"/>
    <row r="2152" ht="16.5" customHeight="1" s="304"/>
    <row r="2153" ht="16.5" customHeight="1" s="304"/>
    <row r="2154" ht="16.5" customHeight="1" s="304"/>
    <row r="2155" ht="16.5" customHeight="1" s="304"/>
    <row r="2156" ht="16.5" customHeight="1" s="304"/>
    <row r="2157" ht="16.5" customHeight="1" s="304"/>
    <row r="2158" ht="16.5" customHeight="1" s="304"/>
    <row r="2159" ht="16.5" customHeight="1" s="304"/>
    <row r="2160" ht="16.5" customHeight="1" s="304"/>
    <row r="2161" ht="16.5" customHeight="1" s="304"/>
    <row r="2162" ht="16.5" customHeight="1" s="304"/>
    <row r="2163" ht="16.5" customHeight="1" s="304"/>
    <row r="2164" ht="16.5" customHeight="1" s="304"/>
    <row r="2165" ht="16.5" customHeight="1" s="304"/>
    <row r="2166" ht="16.5" customHeight="1" s="304"/>
    <row r="2167" ht="16.5" customHeight="1" s="304"/>
    <row r="2168" ht="16.5" customHeight="1" s="304"/>
    <row r="2169" ht="16.5" customHeight="1" s="304"/>
    <row r="2170" ht="16.5" customHeight="1" s="304"/>
    <row r="2171" ht="16.5" customHeight="1" s="304"/>
    <row r="2172" ht="16.5" customHeight="1" s="304"/>
    <row r="2173" ht="16.5" customHeight="1" s="304"/>
    <row r="2174" ht="16.5" customHeight="1" s="304"/>
    <row r="2175" ht="16.5" customHeight="1" s="304"/>
    <row r="2176" ht="16.5" customHeight="1" s="304"/>
    <row r="2177" ht="16.5" customHeight="1" s="304"/>
    <row r="2178" ht="16.5" customHeight="1" s="304"/>
    <row r="2179" ht="16.5" customHeight="1" s="304"/>
    <row r="2180" ht="16.5" customHeight="1" s="304"/>
    <row r="2181" ht="16.5" customHeight="1" s="304"/>
    <row r="2182" ht="16.5" customHeight="1" s="304"/>
    <row r="2183" ht="16.5" customHeight="1" s="304"/>
    <row r="2184" ht="16.5" customHeight="1" s="304"/>
    <row r="2185" ht="16.5" customHeight="1" s="304"/>
    <row r="2186" ht="16.5" customHeight="1" s="304"/>
    <row r="2187" ht="16.5" customHeight="1" s="304"/>
    <row r="2188" ht="16.5" customHeight="1" s="304"/>
    <row r="2189" ht="16.5" customHeight="1" s="304"/>
    <row r="2190" ht="16.5" customHeight="1" s="304"/>
    <row r="2191" ht="16.5" customHeight="1" s="304"/>
    <row r="2192" ht="16.5" customHeight="1" s="304"/>
    <row r="2193" ht="16.5" customHeight="1" s="304"/>
    <row r="2194" ht="16.5" customHeight="1" s="304"/>
    <row r="2195" ht="16.5" customHeight="1" s="304"/>
    <row r="2196" ht="16.5" customHeight="1" s="304"/>
    <row r="2197" ht="16.5" customHeight="1" s="304"/>
    <row r="2198" ht="16.5" customHeight="1" s="304"/>
    <row r="2199" ht="16.5" customHeight="1" s="304"/>
    <row r="2200" ht="16.5" customHeight="1" s="304"/>
    <row r="2201" ht="16.5" customHeight="1" s="304"/>
    <row r="2202" ht="16.5" customHeight="1" s="304"/>
    <row r="2203" ht="16.5" customHeight="1" s="304"/>
    <row r="2204" ht="16.5" customHeight="1" s="304"/>
    <row r="2205" ht="16.5" customHeight="1" s="304"/>
    <row r="2206" ht="16.5" customHeight="1" s="304"/>
    <row r="2207" ht="16.5" customHeight="1" s="304"/>
    <row r="2208" ht="16.5" customHeight="1" s="304"/>
    <row r="2209" ht="16.5" customHeight="1" s="304"/>
    <row r="2210" ht="16.5" customHeight="1" s="304"/>
    <row r="2211" ht="16.5" customHeight="1" s="304"/>
    <row r="2212" ht="16.5" customHeight="1" s="304"/>
    <row r="2213" ht="16.5" customHeight="1" s="304"/>
    <row r="2214" ht="16.5" customHeight="1" s="304"/>
    <row r="2215" ht="16.5" customHeight="1" s="304"/>
    <row r="2216" ht="16.5" customHeight="1" s="304"/>
    <row r="2217" ht="16.5" customHeight="1" s="304"/>
    <row r="2218" ht="16.5" customHeight="1" s="304"/>
    <row r="2219" ht="16.5" customHeight="1" s="304"/>
    <row r="2220" ht="16.5" customHeight="1" s="304"/>
    <row r="2221" ht="16.5" customHeight="1" s="304"/>
    <row r="2222" ht="16.5" customHeight="1" s="304"/>
    <row r="2223" ht="16.5" customHeight="1" s="304"/>
    <row r="2224" ht="16.5" customHeight="1" s="304"/>
    <row r="2225" ht="16.5" customHeight="1" s="304"/>
    <row r="2226" ht="16.5" customHeight="1" s="304"/>
    <row r="2227" ht="16.5" customHeight="1" s="304"/>
    <row r="2228" ht="16.5" customHeight="1" s="304"/>
    <row r="2229" ht="16.5" customHeight="1" s="304"/>
    <row r="2230" ht="16.5" customHeight="1" s="304"/>
    <row r="2231" ht="16.5" customHeight="1" s="304"/>
    <row r="2232" ht="16.5" customHeight="1" s="304"/>
    <row r="2233" ht="16.5" customHeight="1" s="304"/>
    <row r="2234" ht="16.5" customHeight="1" s="304"/>
    <row r="2235" ht="16.5" customHeight="1" s="304"/>
    <row r="2236" ht="16.5" customHeight="1" s="304"/>
    <row r="2237" ht="16.5" customHeight="1" s="304"/>
    <row r="2238" ht="16.5" customHeight="1" s="304"/>
    <row r="2239" ht="16.5" customHeight="1" s="304"/>
    <row r="2240" ht="16.5" customHeight="1" s="304"/>
    <row r="2241" ht="16.5" customHeight="1" s="304"/>
    <row r="2242" ht="16.5" customHeight="1" s="304"/>
    <row r="2243" ht="16.5" customHeight="1" s="304"/>
    <row r="2244" ht="16.5" customHeight="1" s="304"/>
    <row r="2245" ht="16.5" customHeight="1" s="304"/>
    <row r="2246" ht="16.5" customHeight="1" s="304"/>
    <row r="2247" ht="16.5" customHeight="1" s="304"/>
    <row r="2248" ht="16.5" customHeight="1" s="304"/>
    <row r="2249" ht="16.5" customHeight="1" s="304"/>
    <row r="2250" ht="16.5" customHeight="1" s="304"/>
    <row r="2251" ht="16.5" customHeight="1" s="304"/>
    <row r="2252" ht="16.5" customHeight="1" s="304"/>
    <row r="2253" ht="16.5" customHeight="1" s="304"/>
    <row r="2254" ht="16.5" customHeight="1" s="304"/>
    <row r="2255" ht="16.5" customHeight="1" s="304"/>
    <row r="2256" ht="16.5" customHeight="1" s="304"/>
    <row r="2257" ht="16.5" customHeight="1" s="304"/>
    <row r="2258" ht="16.5" customHeight="1" s="304"/>
    <row r="2259" ht="16.5" customHeight="1" s="304"/>
    <row r="2260" ht="16.5" customHeight="1" s="304"/>
    <row r="2261" ht="16.5" customHeight="1" s="304"/>
    <row r="2262" ht="16.5" customHeight="1" s="304"/>
    <row r="2263" ht="16.5" customHeight="1" s="304"/>
    <row r="2264" ht="16.5" customHeight="1" s="304"/>
    <row r="2265" ht="16.5" customHeight="1" s="304"/>
    <row r="2266" ht="16.5" customHeight="1" s="304"/>
    <row r="2267" ht="16.5" customHeight="1" s="304"/>
    <row r="2268" ht="16.5" customHeight="1" s="304"/>
    <row r="2269" ht="16.5" customHeight="1" s="304"/>
    <row r="2270" ht="16.5" customHeight="1" s="304"/>
    <row r="2271" ht="16.5" customHeight="1" s="304"/>
    <row r="2272" ht="16.5" customHeight="1" s="304"/>
    <row r="2273" ht="16.5" customHeight="1" s="304"/>
    <row r="2274" ht="16.5" customHeight="1" s="304"/>
    <row r="2275" ht="16.5" customHeight="1" s="304"/>
    <row r="2276" ht="16.5" customHeight="1" s="304"/>
    <row r="2277" ht="16.5" customHeight="1" s="304"/>
    <row r="2278" ht="16.5" customHeight="1" s="304"/>
    <row r="2279" ht="16.5" customHeight="1" s="304"/>
    <row r="2280" ht="16.5" customHeight="1" s="304"/>
    <row r="2281" ht="16.5" customHeight="1" s="304"/>
    <row r="2282" ht="16.5" customHeight="1" s="304"/>
    <row r="2283" ht="16.5" customHeight="1" s="304"/>
    <row r="2284" ht="16.5" customHeight="1" s="304"/>
    <row r="2285" ht="16.5" customHeight="1" s="304"/>
    <row r="2286" ht="16.5" customHeight="1" s="304"/>
    <row r="2287" ht="16.5" customHeight="1" s="304"/>
    <row r="2288" ht="16.5" customHeight="1" s="304"/>
    <row r="2289" ht="16.5" customHeight="1" s="304"/>
    <row r="2290" ht="16.5" customHeight="1" s="304"/>
    <row r="2291" ht="16.5" customHeight="1" s="304"/>
    <row r="2292" ht="16.5" customHeight="1" s="304"/>
    <row r="2293" ht="16.5" customHeight="1" s="304"/>
    <row r="2294" ht="16.5" customHeight="1" s="304"/>
    <row r="2295" ht="16.5" customHeight="1" s="304"/>
    <row r="2296" ht="16.5" customHeight="1" s="304"/>
    <row r="2297" ht="16.5" customHeight="1" s="304"/>
    <row r="2298" ht="16.5" customHeight="1" s="304"/>
    <row r="2299" ht="16.5" customHeight="1" s="304"/>
    <row r="2300" ht="16.5" customHeight="1" s="304"/>
    <row r="2301" ht="16.5" customHeight="1" s="304"/>
    <row r="2302" ht="16.5" customHeight="1" s="304"/>
    <row r="2303" ht="16.5" customHeight="1" s="304"/>
    <row r="2304" ht="16.5" customHeight="1" s="304"/>
    <row r="2305" ht="16.5" customHeight="1" s="304"/>
    <row r="2306" ht="16.5" customHeight="1" s="304"/>
    <row r="2307" ht="16.5" customHeight="1" s="304"/>
    <row r="2308" ht="16.5" customHeight="1" s="304"/>
    <row r="2309" ht="16.5" customHeight="1" s="304"/>
    <row r="2310" ht="16.5" customHeight="1" s="304"/>
    <row r="2311" ht="16.5" customHeight="1" s="304"/>
    <row r="2312" ht="16.5" customHeight="1" s="304"/>
    <row r="2313" ht="16.5" customHeight="1" s="304"/>
    <row r="2314" ht="16.5" customHeight="1" s="304"/>
    <row r="2315" ht="16.5" customHeight="1" s="304"/>
    <row r="2316" ht="16.5" customHeight="1" s="304"/>
    <row r="2317" ht="16.5" customHeight="1" s="304"/>
    <row r="2318" ht="16.5" customHeight="1" s="304"/>
    <row r="2319" ht="16.5" customHeight="1" s="304"/>
    <row r="2320" ht="16.5" customHeight="1" s="304"/>
    <row r="2321" ht="16.5" customHeight="1" s="304"/>
    <row r="2322" ht="16.5" customHeight="1" s="304"/>
    <row r="2323" ht="16.5" customHeight="1" s="304"/>
    <row r="2324" ht="16.5" customHeight="1" s="304"/>
    <row r="2325" ht="16.5" customHeight="1" s="304"/>
    <row r="2326" ht="16.5" customHeight="1" s="304"/>
    <row r="2327" ht="16.5" customHeight="1" s="304"/>
    <row r="2328" ht="16.5" customHeight="1" s="304"/>
    <row r="2329" ht="16.5" customHeight="1" s="304"/>
    <row r="2330" ht="16.5" customHeight="1" s="304"/>
    <row r="2331" ht="16.5" customHeight="1" s="304"/>
    <row r="2332" ht="16.5" customHeight="1" s="304"/>
    <row r="2333" ht="16.5" customHeight="1" s="304"/>
    <row r="2334" ht="16.5" customHeight="1" s="304"/>
    <row r="2335" ht="16.5" customHeight="1" s="304"/>
    <row r="2336" ht="16.5" customHeight="1" s="304"/>
    <row r="2337" ht="16.5" customHeight="1" s="304"/>
    <row r="2338" ht="16.5" customHeight="1" s="304"/>
    <row r="2339" ht="16.5" customHeight="1" s="304"/>
    <row r="2340" ht="16.5" customHeight="1" s="304"/>
    <row r="2341" ht="16.5" customHeight="1" s="304"/>
    <row r="2342" ht="16.5" customHeight="1" s="304"/>
    <row r="2343" ht="16.5" customHeight="1" s="304"/>
    <row r="2344" ht="16.5" customHeight="1" s="304"/>
    <row r="2345" ht="16.5" customHeight="1" s="304"/>
    <row r="2346" ht="16.5" customHeight="1" s="304"/>
    <row r="2347" ht="16.5" customHeight="1" s="304"/>
    <row r="2348" ht="16.5" customHeight="1" s="304"/>
    <row r="2349" ht="16.5" customHeight="1" s="304"/>
    <row r="2350" ht="16.5" customHeight="1" s="304"/>
    <row r="2351" ht="16.5" customHeight="1" s="304"/>
    <row r="2352" ht="16.5" customHeight="1" s="304"/>
    <row r="2353" ht="16.5" customHeight="1" s="304"/>
    <row r="2354" ht="16.5" customHeight="1" s="304"/>
    <row r="2355" ht="16.5" customHeight="1" s="304"/>
    <row r="2356" ht="16.5" customHeight="1" s="304"/>
    <row r="2357" ht="16.5" customHeight="1" s="304"/>
    <row r="2358" ht="16.5" customHeight="1" s="304"/>
    <row r="2359" ht="16.5" customHeight="1" s="304"/>
    <row r="2360" ht="16.5" customHeight="1" s="304"/>
    <row r="2361" ht="16.5" customHeight="1" s="304"/>
    <row r="2362" ht="16.5" customHeight="1" s="304"/>
    <row r="2363" ht="16.5" customHeight="1" s="304"/>
    <row r="2364" ht="16.5" customHeight="1" s="304"/>
    <row r="2365" ht="16.5" customHeight="1" s="304"/>
    <row r="2366" ht="16.5" customHeight="1" s="304"/>
    <row r="2367" ht="16.5" customHeight="1" s="304"/>
    <row r="2368" ht="16.5" customHeight="1" s="304"/>
    <row r="2369" ht="16.5" customHeight="1" s="304"/>
    <row r="2370" ht="16.5" customHeight="1" s="304"/>
    <row r="2371" ht="16.5" customHeight="1" s="304"/>
    <row r="2372" ht="16.5" customHeight="1" s="304"/>
    <row r="2373" ht="16.5" customHeight="1" s="304"/>
    <row r="2374" ht="16.5" customHeight="1" s="304"/>
    <row r="2375" ht="16.5" customHeight="1" s="304"/>
    <row r="2376" ht="16.5" customHeight="1" s="304"/>
    <row r="2377" ht="16.5" customHeight="1" s="304"/>
    <row r="2378" ht="16.5" customHeight="1" s="304"/>
    <row r="2379" ht="16.5" customHeight="1" s="304"/>
    <row r="2380" ht="16.5" customHeight="1" s="304"/>
    <row r="2381" ht="16.5" customHeight="1" s="304"/>
    <row r="2382" ht="16.5" customHeight="1" s="304"/>
    <row r="2383" ht="16.5" customHeight="1" s="304"/>
    <row r="2384" ht="16.5" customHeight="1" s="304"/>
    <row r="2385" ht="16.5" customHeight="1" s="304"/>
    <row r="2386" ht="16.5" customHeight="1" s="304"/>
    <row r="2387" ht="16.5" customHeight="1" s="304"/>
    <row r="2388" ht="16.5" customHeight="1" s="304"/>
    <row r="2389" ht="16.5" customHeight="1" s="304"/>
    <row r="2390" ht="16.5" customHeight="1" s="304"/>
    <row r="2391" ht="16.5" customHeight="1" s="304"/>
    <row r="2392" ht="16.5" customHeight="1" s="304"/>
    <row r="2393" ht="16.5" customHeight="1" s="304"/>
    <row r="2394" ht="16.5" customHeight="1" s="304"/>
    <row r="2395" ht="16.5" customHeight="1" s="304"/>
    <row r="2396" ht="16.5" customHeight="1" s="304"/>
    <row r="2397" ht="16.5" customHeight="1" s="304"/>
    <row r="2398" ht="16.5" customHeight="1" s="304"/>
    <row r="2399" ht="16.5" customHeight="1" s="304"/>
    <row r="2400" ht="16.5" customHeight="1" s="304"/>
    <row r="2401" ht="16.5" customHeight="1" s="304"/>
    <row r="2402" ht="16.5" customHeight="1" s="304"/>
    <row r="2403" ht="16.5" customHeight="1" s="304"/>
    <row r="2404" ht="16.5" customHeight="1" s="304"/>
    <row r="2405" ht="16.5" customHeight="1" s="304"/>
    <row r="2406" ht="16.5" customHeight="1" s="304"/>
    <row r="2407" ht="16.5" customHeight="1" s="304"/>
    <row r="2408" ht="16.5" customHeight="1" s="304"/>
    <row r="2409" ht="16.5" customHeight="1" s="304"/>
    <row r="2410" ht="16.5" customHeight="1" s="304"/>
    <row r="2411" ht="16.5" customHeight="1" s="304"/>
    <row r="2412" ht="16.5" customHeight="1" s="304"/>
    <row r="2413" ht="16.5" customHeight="1" s="304"/>
    <row r="2414" ht="16.5" customHeight="1" s="304"/>
    <row r="2415" ht="16.5" customHeight="1" s="304"/>
    <row r="2416" ht="16.5" customHeight="1" s="304"/>
    <row r="2417" ht="16.5" customHeight="1" s="304"/>
    <row r="2418" ht="16.5" customHeight="1" s="304"/>
    <row r="2419" ht="16.5" customHeight="1" s="304"/>
    <row r="2420" ht="16.5" customHeight="1" s="304"/>
    <row r="2421" ht="16.5" customHeight="1" s="304"/>
    <row r="2422" ht="16.5" customHeight="1" s="304"/>
    <row r="2423" ht="16.5" customHeight="1" s="304"/>
    <row r="2424" ht="16.5" customHeight="1" s="304"/>
    <row r="2425" ht="16.5" customHeight="1" s="304"/>
    <row r="2426" ht="16.5" customHeight="1" s="304"/>
    <row r="2427" ht="16.5" customHeight="1" s="304"/>
    <row r="2428" ht="16.5" customHeight="1" s="304"/>
    <row r="2429" ht="16.5" customHeight="1" s="304"/>
    <row r="2430" ht="16.5" customHeight="1" s="304"/>
    <row r="2431" ht="16.5" customHeight="1" s="304"/>
    <row r="2432" ht="16.5" customHeight="1" s="304"/>
    <row r="2433" ht="16.5" customHeight="1" s="304"/>
    <row r="2434" ht="16.5" customHeight="1" s="304"/>
    <row r="2435" ht="16.5" customHeight="1" s="304"/>
    <row r="2436" ht="16.5" customHeight="1" s="304"/>
    <row r="2437" ht="16.5" customHeight="1" s="304"/>
    <row r="2438" ht="16.5" customHeight="1" s="304"/>
    <row r="2439" ht="16.5" customHeight="1" s="304"/>
    <row r="2440" ht="16.5" customHeight="1" s="304"/>
    <row r="2441" ht="16.5" customHeight="1" s="304"/>
    <row r="2442" ht="16.5" customHeight="1" s="304"/>
    <row r="2443" ht="16.5" customHeight="1" s="304"/>
    <row r="2444" ht="16.5" customHeight="1" s="304"/>
    <row r="2445" ht="16.5" customHeight="1" s="304"/>
    <row r="2446" ht="16.5" customHeight="1" s="304"/>
    <row r="2447" ht="16.5" customHeight="1" s="304"/>
    <row r="2448" ht="16.5" customHeight="1" s="304"/>
    <row r="2449" ht="16.5" customHeight="1" s="304"/>
    <row r="2450" ht="16.5" customHeight="1" s="304"/>
    <row r="2451" ht="16.5" customHeight="1" s="304"/>
    <row r="2452" ht="16.5" customHeight="1" s="304"/>
    <row r="2453" ht="16.5" customHeight="1" s="304"/>
    <row r="2454" ht="16.5" customHeight="1" s="304"/>
    <row r="2455" ht="16.5" customHeight="1" s="304"/>
    <row r="2456" ht="16.5" customHeight="1" s="304"/>
    <row r="2457" ht="16.5" customHeight="1" s="304"/>
    <row r="2458" ht="16.5" customHeight="1" s="304"/>
    <row r="2459" ht="16.5" customHeight="1" s="304"/>
    <row r="2460" ht="16.5" customHeight="1" s="304"/>
    <row r="2461" ht="16.5" customHeight="1" s="304"/>
    <row r="2462" ht="16.5" customHeight="1" s="304"/>
    <row r="2463" ht="16.5" customHeight="1" s="304"/>
    <row r="2464" ht="16.5" customHeight="1" s="304"/>
    <row r="2465" ht="16.5" customHeight="1" s="304"/>
    <row r="2466" ht="16.5" customHeight="1" s="304"/>
    <row r="2467" ht="16.5" customHeight="1" s="304"/>
    <row r="2468" ht="16.5" customHeight="1" s="304"/>
    <row r="2469" ht="16.5" customHeight="1" s="304"/>
    <row r="2470" ht="16.5" customHeight="1" s="304"/>
    <row r="2471" ht="16.5" customHeight="1" s="304"/>
    <row r="2472" ht="16.5" customHeight="1" s="304"/>
    <row r="2473" ht="16.5" customHeight="1" s="304"/>
    <row r="2474" ht="16.5" customHeight="1" s="304"/>
    <row r="2475" ht="16.5" customHeight="1" s="304"/>
    <row r="2476" ht="16.5" customHeight="1" s="304"/>
    <row r="2477" ht="16.5" customHeight="1" s="304"/>
    <row r="2478" ht="16.5" customHeight="1" s="304"/>
    <row r="2479" ht="16.5" customHeight="1" s="304"/>
    <row r="2480" ht="16.5" customHeight="1" s="304"/>
    <row r="2481" ht="16.5" customHeight="1" s="304"/>
    <row r="2482" ht="16.5" customHeight="1" s="304"/>
    <row r="2483" ht="16.5" customHeight="1" s="304"/>
    <row r="2484" ht="16.5" customHeight="1" s="304"/>
    <row r="2485" ht="16.5" customHeight="1" s="304"/>
    <row r="2486" ht="16.5" customHeight="1" s="304"/>
    <row r="2487" ht="16.5" customHeight="1" s="304"/>
    <row r="2488" ht="16.5" customHeight="1" s="304"/>
    <row r="2489" ht="16.5" customHeight="1" s="304"/>
    <row r="2490" ht="16.5" customHeight="1" s="304"/>
    <row r="2491" ht="16.5" customHeight="1" s="304"/>
    <row r="2492" ht="16.5" customHeight="1" s="304"/>
    <row r="2493" ht="16.5" customHeight="1" s="304"/>
    <row r="2494" ht="16.5" customHeight="1" s="304"/>
    <row r="2495" ht="16.5" customHeight="1" s="304"/>
    <row r="2496" ht="16.5" customHeight="1" s="304"/>
    <row r="2497" ht="16.5" customHeight="1" s="304"/>
    <row r="2498" ht="16.5" customHeight="1" s="304"/>
    <row r="2499" ht="16.5" customHeight="1" s="304"/>
    <row r="2500" ht="16.5" customHeight="1" s="304"/>
    <row r="2501" ht="16.5" customHeight="1" s="304"/>
    <row r="2502" ht="16.5" customHeight="1" s="304"/>
    <row r="2503" ht="16.5" customHeight="1" s="304"/>
    <row r="2504" ht="16.5" customHeight="1" s="304"/>
    <row r="2505" ht="16.5" customHeight="1" s="304"/>
    <row r="2506" ht="16.5" customHeight="1" s="304"/>
    <row r="2507" ht="16.5" customHeight="1" s="304"/>
    <row r="2508" ht="16.5" customHeight="1" s="304"/>
    <row r="2509" ht="16.5" customHeight="1" s="304"/>
    <row r="2510" ht="16.5" customHeight="1" s="304"/>
    <row r="2511" ht="16.5" customHeight="1" s="304"/>
    <row r="2512" ht="16.5" customHeight="1" s="304"/>
    <row r="2513" ht="16.5" customHeight="1" s="304"/>
    <row r="2514" ht="16.5" customHeight="1" s="304"/>
    <row r="2515" ht="16.5" customHeight="1" s="304"/>
    <row r="2516" ht="16.5" customHeight="1" s="304"/>
    <row r="2517" ht="16.5" customHeight="1" s="304"/>
    <row r="2518" ht="16.5" customHeight="1" s="304"/>
    <row r="2519" ht="16.5" customHeight="1" s="304"/>
    <row r="2520" ht="16.5" customHeight="1" s="304"/>
    <row r="2521" ht="16.5" customHeight="1" s="304"/>
    <row r="2522" ht="16.5" customHeight="1" s="304"/>
    <row r="2523" ht="16.5" customHeight="1" s="304"/>
    <row r="2524" ht="16.5" customHeight="1" s="304"/>
    <row r="2525" ht="16.5" customHeight="1" s="304"/>
    <row r="2526" ht="16.5" customHeight="1" s="304"/>
    <row r="2527" ht="16.5" customHeight="1" s="304"/>
    <row r="2528" ht="16.5" customHeight="1" s="304"/>
    <row r="2529" ht="16.5" customHeight="1" s="304"/>
    <row r="2530" ht="16.5" customHeight="1" s="304"/>
    <row r="2531" ht="16.5" customHeight="1" s="304"/>
    <row r="2532" ht="16.5" customHeight="1" s="304"/>
    <row r="2533" ht="16.5" customHeight="1" s="304"/>
    <row r="2534" ht="16.5" customHeight="1" s="304"/>
    <row r="2535" ht="16.5" customHeight="1" s="304"/>
    <row r="2536" ht="16.5" customHeight="1" s="304"/>
    <row r="2537" ht="16.5" customHeight="1" s="304"/>
    <row r="2538" ht="16.5" customHeight="1" s="304"/>
    <row r="2539" ht="16.5" customHeight="1" s="304"/>
    <row r="2540" ht="16.5" customHeight="1" s="304"/>
    <row r="2541" ht="16.5" customHeight="1" s="304"/>
    <row r="2542" ht="16.5" customHeight="1" s="304"/>
    <row r="2543" ht="16.5" customHeight="1" s="304"/>
    <row r="2544" ht="16.5" customHeight="1" s="304"/>
    <row r="2545" ht="16.5" customHeight="1" s="304"/>
    <row r="2546" ht="16.5" customHeight="1" s="304"/>
    <row r="2547" ht="16.5" customHeight="1" s="304"/>
    <row r="2548" ht="16.5" customHeight="1" s="304"/>
    <row r="2549" ht="16.5" customHeight="1" s="304"/>
    <row r="2550" ht="16.5" customHeight="1" s="304"/>
    <row r="2551" ht="16.5" customHeight="1" s="304"/>
    <row r="2552" ht="16.5" customHeight="1" s="304"/>
    <row r="2553" ht="16.5" customHeight="1" s="304"/>
    <row r="2554" ht="16.5" customHeight="1" s="304"/>
    <row r="2555" ht="16.5" customHeight="1" s="304"/>
    <row r="2556" ht="16.5" customHeight="1" s="304"/>
    <row r="2557" ht="16.5" customHeight="1" s="304"/>
    <row r="2558" ht="16.5" customHeight="1" s="304"/>
    <row r="2559" ht="16.5" customHeight="1" s="304"/>
    <row r="2560" ht="16.5" customHeight="1" s="304"/>
    <row r="2561" ht="16.5" customHeight="1" s="304"/>
    <row r="2562" ht="16.5" customHeight="1" s="304"/>
    <row r="2563" ht="16.5" customHeight="1" s="304"/>
    <row r="2564" ht="16.5" customHeight="1" s="304"/>
    <row r="2565" ht="16.5" customHeight="1" s="304"/>
    <row r="2566" ht="16.5" customHeight="1" s="304"/>
    <row r="2567" ht="16.5" customHeight="1" s="304"/>
    <row r="2568" ht="16.5" customHeight="1" s="304"/>
    <row r="2569" ht="16.5" customHeight="1" s="304"/>
    <row r="2570" ht="16.5" customHeight="1" s="304"/>
    <row r="2571" ht="16.5" customHeight="1" s="304"/>
    <row r="2572" ht="16.5" customHeight="1" s="304"/>
    <row r="2573" ht="16.5" customHeight="1" s="304"/>
    <row r="2574" ht="16.5" customHeight="1" s="304"/>
    <row r="2575" ht="16.5" customHeight="1" s="304"/>
    <row r="2576" ht="16.5" customHeight="1" s="304"/>
    <row r="2577" ht="16.5" customHeight="1" s="304"/>
    <row r="2578" ht="16.5" customHeight="1" s="304"/>
    <row r="2579" ht="16.5" customHeight="1" s="304"/>
    <row r="2580" ht="16.5" customHeight="1" s="304"/>
    <row r="2581" ht="16.5" customHeight="1" s="304"/>
    <row r="2582" ht="16.5" customHeight="1" s="304"/>
    <row r="2583" ht="16.5" customHeight="1" s="304"/>
    <row r="2584" ht="16.5" customHeight="1" s="304"/>
    <row r="2585" ht="16.5" customHeight="1" s="304"/>
    <row r="2586" ht="16.5" customHeight="1" s="304"/>
    <row r="2587" ht="16.5" customHeight="1" s="304"/>
    <row r="2588" ht="16.5" customHeight="1" s="304"/>
    <row r="2589" ht="16.5" customHeight="1" s="304"/>
    <row r="2590" ht="16.5" customHeight="1" s="304"/>
    <row r="2591" ht="16.5" customHeight="1" s="304"/>
    <row r="2592" ht="16.5" customHeight="1" s="304"/>
    <row r="2593" ht="16.5" customHeight="1" s="304"/>
    <row r="2594" ht="16.5" customHeight="1" s="304"/>
    <row r="2595" ht="16.5" customHeight="1" s="304"/>
    <row r="2596" ht="16.5" customHeight="1" s="304"/>
    <row r="2597" ht="16.5" customHeight="1" s="304"/>
    <row r="2598" ht="16.5" customHeight="1" s="304"/>
    <row r="2599" ht="16.5" customHeight="1" s="304"/>
    <row r="2600" ht="16.5" customHeight="1" s="304"/>
    <row r="2601" ht="16.5" customHeight="1" s="304"/>
    <row r="2602" ht="16.5" customHeight="1" s="304"/>
    <row r="2603" ht="16.5" customHeight="1" s="304"/>
    <row r="2604" ht="16.5" customHeight="1" s="304"/>
    <row r="2605" ht="16.5" customHeight="1" s="304"/>
    <row r="2606" ht="16.5" customHeight="1" s="304"/>
    <row r="2607" ht="16.5" customHeight="1" s="304"/>
    <row r="2608" ht="16.5" customHeight="1" s="304"/>
    <row r="2609" ht="16.5" customHeight="1" s="304"/>
    <row r="2610" ht="16.5" customHeight="1" s="304"/>
    <row r="2611" ht="16.5" customHeight="1" s="304"/>
    <row r="2612" ht="16.5" customHeight="1" s="304"/>
    <row r="2613" ht="16.5" customHeight="1" s="304"/>
    <row r="2614" ht="16.5" customHeight="1" s="304"/>
    <row r="2615" ht="16.5" customHeight="1" s="304"/>
    <row r="2616" ht="16.5" customHeight="1" s="304"/>
    <row r="2617" ht="16.5" customHeight="1" s="304"/>
    <row r="2618" ht="16.5" customHeight="1" s="304"/>
    <row r="2619" ht="16.5" customHeight="1" s="304"/>
    <row r="2620" ht="16.5" customHeight="1" s="304"/>
    <row r="2621" ht="16.5" customHeight="1" s="304"/>
    <row r="2622" ht="16.5" customHeight="1" s="304"/>
    <row r="2623" ht="16.5" customHeight="1" s="304"/>
    <row r="2624" ht="16.5" customHeight="1" s="304"/>
    <row r="2625" ht="16.5" customHeight="1" s="304"/>
    <row r="2626" ht="16.5" customHeight="1" s="304"/>
    <row r="2627" ht="16.5" customHeight="1" s="304"/>
    <row r="2628" ht="16.5" customHeight="1" s="304"/>
    <row r="2629" ht="16.5" customHeight="1" s="304"/>
    <row r="2630" ht="16.5" customHeight="1" s="304"/>
    <row r="2631" ht="16.5" customHeight="1" s="304"/>
    <row r="2632" ht="16.5" customHeight="1" s="304"/>
    <row r="2633" ht="16.5" customHeight="1" s="304"/>
    <row r="2634" ht="16.5" customHeight="1" s="304"/>
    <row r="2635" ht="16.5" customHeight="1" s="304"/>
    <row r="2636" ht="16.5" customHeight="1" s="304"/>
    <row r="2637" ht="16.5" customHeight="1" s="304"/>
    <row r="2638" ht="16.5" customHeight="1" s="304"/>
    <row r="2639" ht="16.5" customHeight="1" s="304"/>
    <row r="2640" ht="16.5" customHeight="1" s="304"/>
    <row r="2641" ht="16.5" customHeight="1" s="304"/>
    <row r="2642" ht="16.5" customHeight="1" s="304"/>
    <row r="2643" ht="16.5" customHeight="1" s="304"/>
    <row r="2644" ht="16.5" customHeight="1" s="304"/>
    <row r="2645" ht="16.5" customHeight="1" s="304"/>
    <row r="2646" ht="16.5" customHeight="1" s="304"/>
    <row r="2647" ht="16.5" customHeight="1" s="304"/>
    <row r="2648" ht="16.5" customHeight="1" s="304"/>
    <row r="2649" ht="16.5" customHeight="1" s="304"/>
    <row r="2650" ht="16.5" customHeight="1" s="304"/>
    <row r="2651" ht="16.5" customHeight="1" s="304"/>
    <row r="2652" ht="16.5" customHeight="1" s="304"/>
    <row r="2653" ht="16.5" customHeight="1" s="304"/>
    <row r="2654" ht="16.5" customHeight="1" s="304"/>
    <row r="2655" ht="16.5" customHeight="1" s="304"/>
    <row r="2656" ht="16.5" customHeight="1" s="304"/>
    <row r="2657" ht="16.5" customHeight="1" s="304"/>
    <row r="2658" ht="16.5" customHeight="1" s="304"/>
    <row r="2659" ht="16.5" customHeight="1" s="304"/>
    <row r="2660" ht="16.5" customHeight="1" s="304"/>
    <row r="2661" ht="16.5" customHeight="1" s="304"/>
    <row r="2662" ht="16.5" customHeight="1" s="304"/>
    <row r="2663" ht="16.5" customHeight="1" s="304"/>
    <row r="2664" ht="16.5" customHeight="1" s="304"/>
    <row r="2665" ht="16.5" customHeight="1" s="304"/>
    <row r="2666" ht="16.5" customHeight="1" s="304"/>
    <row r="2667" ht="16.5" customHeight="1" s="304"/>
    <row r="2668" ht="16.5" customHeight="1" s="304"/>
    <row r="2669" ht="16.5" customHeight="1" s="304"/>
    <row r="2670" ht="16.5" customHeight="1" s="304"/>
    <row r="2671" ht="16.5" customHeight="1" s="304"/>
    <row r="2672" ht="16.5" customHeight="1" s="304"/>
    <row r="2673" ht="16.5" customHeight="1" s="304"/>
    <row r="2674" ht="16.5" customHeight="1" s="304"/>
    <row r="2675" ht="16.5" customHeight="1" s="304"/>
    <row r="2676" ht="16.5" customHeight="1" s="304"/>
    <row r="2677" ht="16.5" customHeight="1" s="304"/>
    <row r="2678" ht="16.5" customHeight="1" s="304"/>
    <row r="2679" ht="16.5" customHeight="1" s="304"/>
    <row r="2680" ht="16.5" customHeight="1" s="304"/>
    <row r="2681" ht="16.5" customHeight="1" s="304"/>
    <row r="2682" ht="16.5" customHeight="1" s="304"/>
    <row r="2683" ht="16.5" customHeight="1" s="304"/>
    <row r="2684" ht="16.5" customHeight="1" s="304"/>
    <row r="2685" ht="16.5" customHeight="1" s="304"/>
    <row r="2686" ht="16.5" customHeight="1" s="304"/>
    <row r="2687" ht="16.5" customHeight="1" s="304"/>
    <row r="2688" ht="16.5" customHeight="1" s="304"/>
    <row r="2689" ht="16.5" customHeight="1" s="304"/>
    <row r="2690" ht="16.5" customHeight="1" s="304"/>
    <row r="2691" ht="16.5" customHeight="1" s="304"/>
    <row r="2692" ht="16.5" customHeight="1" s="304"/>
    <row r="2693" ht="16.5" customHeight="1" s="304"/>
    <row r="2694" ht="16.5" customHeight="1" s="304"/>
    <row r="2695" ht="16.5" customHeight="1" s="304"/>
    <row r="2696" ht="16.5" customHeight="1" s="304"/>
    <row r="2697" ht="16.5" customHeight="1" s="304"/>
    <row r="2698" ht="16.5" customHeight="1" s="304"/>
    <row r="2699" ht="16.5" customHeight="1" s="304"/>
    <row r="2700" ht="16.5" customHeight="1" s="304"/>
    <row r="2701" ht="16.5" customHeight="1" s="304"/>
    <row r="2702" ht="16.5" customHeight="1" s="304"/>
    <row r="2703" ht="16.5" customHeight="1" s="304"/>
    <row r="2704" ht="16.5" customHeight="1" s="304"/>
    <row r="2705" ht="16.5" customHeight="1" s="304"/>
    <row r="2706" ht="16.5" customHeight="1" s="304"/>
    <row r="2707" ht="16.5" customHeight="1" s="304"/>
    <row r="2708" ht="16.5" customHeight="1" s="304"/>
    <row r="2709" ht="16.5" customHeight="1" s="304"/>
    <row r="2710" ht="16.5" customHeight="1" s="304"/>
    <row r="2711" ht="16.5" customHeight="1" s="304"/>
    <row r="2712" ht="16.5" customHeight="1" s="304"/>
    <row r="2713" ht="16.5" customHeight="1" s="304"/>
    <row r="2714" ht="16.5" customHeight="1" s="304"/>
    <row r="2715" ht="16.5" customHeight="1" s="304"/>
    <row r="2716" ht="16.5" customHeight="1" s="304"/>
    <row r="2717" ht="16.5" customHeight="1" s="304"/>
    <row r="2718" ht="16.5" customHeight="1" s="304"/>
    <row r="2719" ht="16.5" customHeight="1" s="304"/>
    <row r="2720" ht="16.5" customHeight="1" s="304"/>
    <row r="2721" ht="16.5" customHeight="1" s="304"/>
    <row r="2722" ht="16.5" customHeight="1" s="304"/>
    <row r="2723" ht="16.5" customHeight="1" s="304"/>
    <row r="2724" ht="16.5" customHeight="1" s="304"/>
    <row r="2725" ht="16.5" customHeight="1" s="304"/>
    <row r="2726" ht="16.5" customHeight="1" s="304"/>
    <row r="2727" ht="16.5" customHeight="1" s="304"/>
    <row r="2728" ht="16.5" customHeight="1" s="304"/>
    <row r="2729" ht="16.5" customHeight="1" s="304"/>
    <row r="2730" ht="16.5" customHeight="1" s="304"/>
    <row r="2731" ht="16.5" customHeight="1" s="304"/>
    <row r="2732" ht="16.5" customHeight="1" s="304"/>
    <row r="2733" ht="16.5" customHeight="1" s="304"/>
    <row r="2734" ht="16.5" customHeight="1" s="304"/>
    <row r="2735" ht="16.5" customHeight="1" s="304"/>
    <row r="2736" ht="16.5" customHeight="1" s="304"/>
    <row r="2737" ht="16.5" customHeight="1" s="304"/>
    <row r="2738" ht="16.5" customHeight="1" s="304"/>
    <row r="2739" ht="16.5" customHeight="1" s="304"/>
    <row r="2740" ht="16.5" customHeight="1" s="304"/>
    <row r="2741" ht="16.5" customHeight="1" s="304"/>
    <row r="2742" ht="16.5" customHeight="1" s="304"/>
    <row r="2743" ht="16.5" customHeight="1" s="304"/>
    <row r="2744" ht="16.5" customHeight="1" s="304"/>
    <row r="2745" ht="16.5" customHeight="1" s="304"/>
    <row r="2746" ht="16.5" customHeight="1" s="304"/>
    <row r="2747" ht="16.5" customHeight="1" s="304"/>
    <row r="2748" ht="16.5" customHeight="1" s="304"/>
    <row r="2749" ht="16.5" customHeight="1" s="304"/>
    <row r="2750" ht="16.5" customHeight="1" s="304"/>
    <row r="2751" ht="16.5" customHeight="1" s="304"/>
    <row r="2752" ht="16.5" customHeight="1" s="304"/>
    <row r="2753" ht="16.5" customHeight="1" s="304"/>
    <row r="2754" ht="16.5" customHeight="1" s="304"/>
    <row r="2755" ht="16.5" customHeight="1" s="304"/>
    <row r="2756" ht="16.5" customHeight="1" s="304"/>
    <row r="2757" ht="16.5" customHeight="1" s="304"/>
    <row r="2758" ht="16.5" customHeight="1" s="304"/>
    <row r="2759" ht="16.5" customHeight="1" s="304"/>
    <row r="2760" ht="16.5" customHeight="1" s="304"/>
    <row r="2761" ht="16.5" customHeight="1" s="304"/>
    <row r="2762" ht="16.5" customHeight="1" s="304"/>
    <row r="2763" ht="16.5" customHeight="1" s="304"/>
    <row r="2764" ht="16.5" customHeight="1" s="304"/>
    <row r="2765" ht="16.5" customHeight="1" s="304"/>
    <row r="2766" ht="16.5" customHeight="1" s="304"/>
    <row r="2767" ht="16.5" customHeight="1" s="304"/>
    <row r="2768" ht="16.5" customHeight="1" s="304"/>
    <row r="2769" ht="16.5" customHeight="1" s="304"/>
    <row r="2770" ht="16.5" customHeight="1" s="304"/>
    <row r="2771" ht="16.5" customHeight="1" s="304"/>
    <row r="2772" ht="16.5" customHeight="1" s="304"/>
    <row r="2773" ht="16.5" customHeight="1" s="304"/>
    <row r="2774" ht="16.5" customHeight="1" s="304"/>
    <row r="2775" ht="16.5" customHeight="1" s="304"/>
    <row r="2776" ht="16.5" customHeight="1" s="304"/>
    <row r="2777" ht="16.5" customHeight="1" s="304"/>
    <row r="2778" ht="16.5" customHeight="1" s="304"/>
    <row r="2779" ht="16.5" customHeight="1" s="304"/>
    <row r="2780" ht="16.5" customHeight="1" s="304"/>
    <row r="2781" ht="16.5" customHeight="1" s="304"/>
    <row r="2782" ht="16.5" customHeight="1" s="304"/>
    <row r="2783" ht="16.5" customHeight="1" s="304"/>
    <row r="2784" ht="16.5" customHeight="1" s="304"/>
    <row r="2785" ht="16.5" customHeight="1" s="304"/>
    <row r="2786" ht="16.5" customHeight="1" s="304"/>
    <row r="2787" ht="16.5" customHeight="1" s="304"/>
    <row r="2788" ht="16.5" customHeight="1" s="304"/>
    <row r="2789" ht="16.5" customHeight="1" s="304"/>
    <row r="2790" ht="16.5" customHeight="1" s="304"/>
    <row r="2791" ht="16.5" customHeight="1" s="304"/>
    <row r="2792" ht="16.5" customHeight="1" s="304"/>
    <row r="2793" ht="16.5" customHeight="1" s="304"/>
    <row r="2794" ht="16.5" customHeight="1" s="304"/>
    <row r="2795" ht="16.5" customHeight="1" s="304"/>
    <row r="2796" ht="16.5" customHeight="1" s="304"/>
    <row r="2797" ht="16.5" customHeight="1" s="304"/>
    <row r="2798" ht="16.5" customHeight="1" s="304"/>
    <row r="2799" ht="16.5" customHeight="1" s="304"/>
    <row r="2800" ht="16.5" customHeight="1" s="304"/>
    <row r="2801" ht="16.5" customHeight="1" s="304"/>
    <row r="2802" ht="16.5" customHeight="1" s="304"/>
    <row r="2803" ht="16.5" customHeight="1" s="304"/>
    <row r="2804" ht="16.5" customHeight="1" s="304"/>
    <row r="2805" ht="16.5" customHeight="1" s="304"/>
    <row r="2806" ht="16.5" customHeight="1" s="304"/>
    <row r="2807" ht="16.5" customHeight="1" s="304"/>
    <row r="2808" ht="16.5" customHeight="1" s="304"/>
    <row r="2809" ht="16.5" customHeight="1" s="304"/>
    <row r="2810" ht="16.5" customHeight="1" s="304"/>
    <row r="2811" ht="16.5" customHeight="1" s="304"/>
    <row r="2812" ht="16.5" customHeight="1" s="304"/>
    <row r="2813" ht="16.5" customHeight="1" s="304"/>
    <row r="2814" ht="16.5" customHeight="1" s="304"/>
    <row r="2815" ht="16.5" customHeight="1" s="304"/>
    <row r="2816" ht="16.5" customHeight="1" s="304"/>
    <row r="2817" ht="16.5" customHeight="1" s="304"/>
    <row r="2818" ht="16.5" customHeight="1" s="304"/>
    <row r="2819" ht="16.5" customHeight="1" s="304"/>
    <row r="2820" ht="16.5" customHeight="1" s="304"/>
    <row r="2821" ht="16.5" customHeight="1" s="304"/>
    <row r="2822" ht="16.5" customHeight="1" s="304"/>
    <row r="2823" ht="16.5" customHeight="1" s="304"/>
    <row r="2824" ht="16.5" customHeight="1" s="304"/>
    <row r="2825" ht="16.5" customHeight="1" s="304"/>
    <row r="2826" ht="16.5" customHeight="1" s="304"/>
    <row r="2827" ht="16.5" customHeight="1" s="304"/>
    <row r="2828" ht="16.5" customHeight="1" s="304"/>
    <row r="2829" ht="16.5" customHeight="1" s="304"/>
    <row r="2830" ht="16.5" customHeight="1" s="304"/>
    <row r="2831" ht="16.5" customHeight="1" s="304"/>
    <row r="2832" ht="16.5" customHeight="1" s="304"/>
    <row r="2833" ht="16.5" customHeight="1" s="304"/>
    <row r="2834" ht="16.5" customHeight="1" s="304"/>
    <row r="2835" ht="16.5" customHeight="1" s="304"/>
    <row r="2836" ht="16.5" customHeight="1" s="304"/>
    <row r="2837" ht="16.5" customHeight="1" s="304"/>
    <row r="2838" ht="16.5" customHeight="1" s="304"/>
    <row r="2839" ht="16.5" customHeight="1" s="304"/>
    <row r="2840" ht="16.5" customHeight="1" s="304"/>
    <row r="2841" ht="16.5" customHeight="1" s="304"/>
    <row r="2842" ht="16.5" customHeight="1" s="304"/>
    <row r="2843" ht="16.5" customHeight="1" s="304"/>
    <row r="2844" ht="16.5" customHeight="1" s="304"/>
    <row r="2845" ht="16.5" customHeight="1" s="304"/>
    <row r="2846" ht="16.5" customHeight="1" s="304"/>
    <row r="2847" ht="16.5" customHeight="1" s="304"/>
    <row r="2848" ht="16.5" customHeight="1" s="304"/>
    <row r="2849" ht="16.5" customHeight="1" s="304"/>
    <row r="2850" ht="16.5" customHeight="1" s="304"/>
    <row r="2851" ht="16.5" customHeight="1" s="304"/>
    <row r="2852" ht="16.5" customHeight="1" s="304"/>
    <row r="2853" ht="16.5" customHeight="1" s="304"/>
    <row r="2854" ht="16.5" customHeight="1" s="304"/>
    <row r="2855" ht="16.5" customHeight="1" s="304"/>
    <row r="2856" ht="16.5" customHeight="1" s="304"/>
    <row r="2857" ht="16.5" customHeight="1" s="304"/>
    <row r="2858" ht="16.5" customHeight="1" s="304"/>
    <row r="2859" ht="16.5" customHeight="1" s="304"/>
    <row r="2860" ht="16.5" customHeight="1" s="304"/>
    <row r="2861" ht="16.5" customHeight="1" s="304"/>
    <row r="2862" ht="16.5" customHeight="1" s="304"/>
    <row r="2863" ht="16.5" customHeight="1" s="304"/>
    <row r="2864" ht="16.5" customHeight="1" s="304"/>
    <row r="2865" ht="16.5" customHeight="1" s="304"/>
    <row r="2866" ht="16.5" customHeight="1" s="304"/>
    <row r="2867" ht="16.5" customHeight="1" s="304"/>
    <row r="2868" ht="16.5" customHeight="1" s="304"/>
    <row r="2869" ht="16.5" customHeight="1" s="304"/>
    <row r="2870" ht="16.5" customHeight="1" s="304"/>
    <row r="2871" ht="16.5" customHeight="1" s="304"/>
    <row r="2872" ht="16.5" customHeight="1" s="304"/>
    <row r="2873" ht="16.5" customHeight="1" s="304"/>
    <row r="2874" ht="16.5" customHeight="1" s="304"/>
    <row r="2875" ht="16.5" customHeight="1" s="304"/>
    <row r="2876" ht="16.5" customHeight="1" s="304"/>
    <row r="2877" ht="16.5" customHeight="1" s="304"/>
    <row r="2878" ht="16.5" customHeight="1" s="304"/>
    <row r="2879" ht="16.5" customHeight="1" s="304"/>
    <row r="2880" ht="16.5" customHeight="1" s="304"/>
    <row r="2881" ht="16.5" customHeight="1" s="304"/>
    <row r="2882" ht="16.5" customHeight="1" s="304"/>
    <row r="2883" ht="16.5" customHeight="1" s="304"/>
    <row r="2884" ht="16.5" customHeight="1" s="304"/>
    <row r="2885" ht="16.5" customHeight="1" s="304"/>
    <row r="2886" ht="16.5" customHeight="1" s="304"/>
    <row r="2887" ht="16.5" customHeight="1" s="304"/>
    <row r="2888" ht="16.5" customHeight="1" s="304"/>
    <row r="2889" ht="16.5" customHeight="1" s="304"/>
    <row r="2890" ht="16.5" customHeight="1" s="304"/>
    <row r="2891" ht="16.5" customHeight="1" s="304"/>
    <row r="2892" ht="16.5" customHeight="1" s="304"/>
    <row r="2893" ht="16.5" customHeight="1" s="304"/>
    <row r="2894" ht="16.5" customHeight="1" s="304"/>
    <row r="2895" ht="16.5" customHeight="1" s="304"/>
    <row r="2896" ht="16.5" customHeight="1" s="304"/>
    <row r="2897" ht="16.5" customHeight="1" s="304"/>
    <row r="2898" ht="16.5" customHeight="1" s="304"/>
    <row r="2899" ht="16.5" customHeight="1" s="304"/>
    <row r="2900" ht="16.5" customHeight="1" s="304"/>
    <row r="2901" ht="16.5" customHeight="1" s="304"/>
    <row r="2902" ht="16.5" customHeight="1" s="304"/>
    <row r="2903" ht="16.5" customHeight="1" s="304"/>
    <row r="2904" ht="16.5" customHeight="1" s="304"/>
    <row r="2905" ht="16.5" customHeight="1" s="304"/>
    <row r="2906" ht="16.5" customHeight="1" s="304"/>
    <row r="2907" ht="16.5" customHeight="1" s="304"/>
    <row r="2908" ht="16.5" customHeight="1" s="304"/>
    <row r="2909" ht="16.5" customHeight="1" s="304"/>
    <row r="2910" ht="16.5" customHeight="1" s="304"/>
    <row r="2911" ht="16.5" customHeight="1" s="304"/>
    <row r="2912" ht="16.5" customHeight="1" s="304"/>
    <row r="2913" ht="16.5" customHeight="1" s="304"/>
    <row r="2914" ht="16.5" customHeight="1" s="304"/>
    <row r="2915" ht="16.5" customHeight="1" s="304"/>
    <row r="2916" ht="16.5" customHeight="1" s="304"/>
    <row r="2917" ht="16.5" customHeight="1" s="304"/>
    <row r="2918" ht="16.5" customHeight="1" s="304"/>
    <row r="2919" ht="16.5" customHeight="1" s="304"/>
    <row r="2920" ht="16.5" customHeight="1" s="304"/>
    <row r="2921" ht="16.5" customHeight="1" s="304"/>
    <row r="2922" ht="16.5" customHeight="1" s="304"/>
    <row r="2923" ht="16.5" customHeight="1" s="304"/>
    <row r="2924" ht="16.5" customHeight="1" s="304"/>
    <row r="2925" ht="16.5" customHeight="1" s="304"/>
    <row r="2926" ht="16.5" customHeight="1" s="304"/>
    <row r="2927" ht="16.5" customHeight="1" s="304"/>
    <row r="2928" ht="16.5" customHeight="1" s="304"/>
    <row r="2929" ht="16.5" customHeight="1" s="304"/>
    <row r="2930" ht="16.5" customHeight="1" s="304"/>
    <row r="2931" ht="16.5" customHeight="1" s="304"/>
    <row r="2932" ht="16.5" customHeight="1" s="304"/>
    <row r="2933" ht="16.5" customHeight="1" s="304"/>
    <row r="2934" ht="16.5" customHeight="1" s="304"/>
    <row r="2935" ht="16.5" customHeight="1" s="304"/>
    <row r="2936" ht="16.5" customHeight="1" s="304"/>
    <row r="2937" ht="16.5" customHeight="1" s="304"/>
    <row r="2938" ht="16.5" customHeight="1" s="304"/>
    <row r="2939" ht="16.5" customHeight="1" s="304"/>
    <row r="2940" ht="16.5" customHeight="1" s="304"/>
    <row r="2941" ht="16.5" customHeight="1" s="304"/>
    <row r="2942" ht="16.5" customHeight="1" s="304"/>
    <row r="2943" ht="16.5" customHeight="1" s="304"/>
    <row r="2944" ht="16.5" customHeight="1" s="304"/>
    <row r="2945" ht="16.5" customHeight="1" s="304"/>
    <row r="2946" ht="16.5" customHeight="1" s="304"/>
    <row r="2947" ht="16.5" customHeight="1" s="304"/>
    <row r="2948" ht="16.5" customHeight="1" s="304"/>
    <row r="2949" ht="16.5" customHeight="1" s="304"/>
    <row r="2950" ht="16.5" customHeight="1" s="304"/>
    <row r="2951" ht="16.5" customHeight="1" s="304"/>
    <row r="2952" ht="16.5" customHeight="1" s="304"/>
    <row r="2953" ht="16.5" customHeight="1" s="304"/>
    <row r="2954" ht="16.5" customHeight="1" s="304"/>
    <row r="2955" ht="16.5" customHeight="1" s="304"/>
    <row r="2956" ht="16.5" customHeight="1" s="304"/>
    <row r="2957" ht="16.5" customHeight="1" s="304"/>
    <row r="2958" ht="16.5" customHeight="1" s="304"/>
    <row r="2959" ht="16.5" customHeight="1" s="304"/>
    <row r="2960" ht="16.5" customHeight="1" s="304"/>
    <row r="2961" ht="16.5" customHeight="1" s="304"/>
    <row r="2962" ht="16.5" customHeight="1" s="304"/>
    <row r="2963" ht="16.5" customHeight="1" s="304"/>
    <row r="2964" ht="16.5" customHeight="1" s="304"/>
    <row r="2965" ht="16.5" customHeight="1" s="304"/>
    <row r="2966" ht="16.5" customHeight="1" s="304"/>
    <row r="2967" ht="16.5" customHeight="1" s="304"/>
    <row r="2968" ht="16.5" customHeight="1" s="304"/>
    <row r="2969" ht="16.5" customHeight="1" s="304"/>
    <row r="2970" ht="16.5" customHeight="1" s="304"/>
    <row r="2971" ht="16.5" customHeight="1" s="304"/>
    <row r="2972" ht="16.5" customHeight="1" s="304"/>
    <row r="2973" ht="16.5" customHeight="1" s="304"/>
    <row r="2974" ht="16.5" customHeight="1" s="304"/>
    <row r="2975" ht="16.5" customHeight="1" s="304"/>
    <row r="2976" ht="16.5" customHeight="1" s="304"/>
    <row r="2977" ht="16.5" customHeight="1" s="304"/>
    <row r="2978" ht="16.5" customHeight="1" s="304"/>
    <row r="2979" ht="16.5" customHeight="1" s="304"/>
    <row r="2980" ht="16.5" customHeight="1" s="304"/>
    <row r="2981" ht="16.5" customHeight="1" s="304"/>
    <row r="2982" ht="16.5" customHeight="1" s="304"/>
    <row r="2983" ht="16.5" customHeight="1" s="304"/>
    <row r="2984" ht="16.5" customHeight="1" s="304"/>
    <row r="2985" ht="16.5" customHeight="1" s="304"/>
    <row r="2986" ht="16.5" customHeight="1" s="304"/>
    <row r="2987" ht="16.5" customHeight="1" s="304"/>
    <row r="2988" ht="16.5" customHeight="1" s="304"/>
    <row r="2989" ht="16.5" customHeight="1" s="304"/>
    <row r="2990" ht="16.5" customHeight="1" s="304"/>
    <row r="2991" ht="16.5" customHeight="1" s="304"/>
    <row r="2992" ht="16.5" customHeight="1" s="304"/>
    <row r="2993" ht="16.5" customHeight="1" s="304"/>
    <row r="2994" ht="16.5" customHeight="1" s="304"/>
    <row r="2995" ht="16.5" customHeight="1" s="304"/>
    <row r="2996" ht="16.5" customHeight="1" s="304"/>
    <row r="2997" ht="16.5" customHeight="1" s="304"/>
    <row r="2998" ht="16.5" customHeight="1" s="304"/>
    <row r="2999" ht="16.5" customHeight="1" s="304"/>
    <row r="3000" ht="16.5" customHeight="1" s="304"/>
    <row r="3001" ht="16.5" customHeight="1" s="304"/>
    <row r="3002" ht="16.5" customHeight="1" s="304"/>
    <row r="3003" ht="16.5" customHeight="1" s="304"/>
    <row r="3004" ht="16.5" customHeight="1" s="304"/>
    <row r="3005" ht="16.5" customHeight="1" s="304"/>
    <row r="3006" ht="16.5" customHeight="1" s="304"/>
    <row r="3007" ht="16.5" customHeight="1" s="304"/>
    <row r="3008" ht="16.5" customHeight="1" s="304"/>
    <row r="3009" ht="16.5" customHeight="1" s="304"/>
    <row r="3010" ht="16.5" customHeight="1" s="304"/>
    <row r="3011" ht="16.5" customHeight="1" s="304"/>
    <row r="3012" ht="16.5" customHeight="1" s="304"/>
    <row r="3013" ht="16.5" customHeight="1" s="304"/>
    <row r="3014" ht="16.5" customHeight="1" s="304"/>
    <row r="3015" ht="16.5" customHeight="1" s="304"/>
    <row r="3016" ht="16.5" customHeight="1" s="304"/>
    <row r="3017" ht="16.5" customHeight="1" s="304"/>
    <row r="3018" ht="16.5" customHeight="1" s="304"/>
    <row r="3019" ht="16.5" customHeight="1" s="304"/>
    <row r="3020" ht="16.5" customHeight="1" s="304"/>
    <row r="3021" ht="16.5" customHeight="1" s="304"/>
    <row r="3022" ht="16.5" customHeight="1" s="304"/>
    <row r="3023" ht="16.5" customHeight="1" s="304"/>
    <row r="3024" ht="16.5" customHeight="1" s="304"/>
    <row r="3025" ht="16.5" customHeight="1" s="304"/>
    <row r="3026" ht="16.5" customHeight="1" s="304"/>
    <row r="3027" ht="16.5" customHeight="1" s="304"/>
    <row r="3028" ht="16.5" customHeight="1" s="304"/>
    <row r="3029" ht="16.5" customHeight="1" s="304"/>
    <row r="3030" ht="16.5" customHeight="1" s="304"/>
    <row r="3031" ht="16.5" customHeight="1" s="304"/>
    <row r="3032" ht="16.5" customHeight="1" s="304"/>
    <row r="3033" ht="16.5" customHeight="1" s="304"/>
    <row r="3034" ht="16.5" customHeight="1" s="304"/>
    <row r="3035" ht="16.5" customHeight="1" s="304"/>
    <row r="3036" ht="16.5" customHeight="1" s="304"/>
    <row r="3037" ht="16.5" customHeight="1" s="304"/>
    <row r="3038" ht="16.5" customHeight="1" s="304"/>
    <row r="3039" ht="16.5" customHeight="1" s="304"/>
    <row r="3040" ht="16.5" customHeight="1" s="304"/>
    <row r="3041" ht="16.5" customHeight="1" s="304"/>
    <row r="3042" ht="16.5" customHeight="1" s="304"/>
    <row r="3043" ht="16.5" customHeight="1" s="304"/>
    <row r="3044" ht="16.5" customHeight="1" s="304"/>
    <row r="3045" ht="16.5" customHeight="1" s="304"/>
    <row r="3046" ht="16.5" customHeight="1" s="304"/>
    <row r="3047" ht="16.5" customHeight="1" s="304"/>
    <row r="3048" ht="16.5" customHeight="1" s="304"/>
    <row r="3049" ht="16.5" customHeight="1" s="304"/>
    <row r="3050" ht="16.5" customHeight="1" s="304"/>
    <row r="3051" ht="16.5" customHeight="1" s="304"/>
    <row r="3052" ht="16.5" customHeight="1" s="304"/>
    <row r="3053" ht="16.5" customHeight="1" s="304"/>
    <row r="3054" ht="16.5" customHeight="1" s="304"/>
    <row r="3055" ht="16.5" customHeight="1" s="304"/>
    <row r="3056" ht="16.5" customHeight="1" s="304"/>
    <row r="3057" ht="16.5" customHeight="1" s="304"/>
    <row r="3058" ht="16.5" customHeight="1" s="304"/>
    <row r="3059" ht="16.5" customHeight="1" s="304"/>
    <row r="3060" ht="16.5" customHeight="1" s="304"/>
    <row r="3061" ht="16.5" customHeight="1" s="304"/>
    <row r="3062" ht="16.5" customHeight="1" s="304"/>
    <row r="3063" ht="16.5" customHeight="1" s="304"/>
    <row r="3064" ht="16.5" customHeight="1" s="304"/>
    <row r="3065" ht="16.5" customHeight="1" s="304"/>
    <row r="3066" ht="16.5" customHeight="1" s="304"/>
    <row r="3067" ht="16.5" customHeight="1" s="304"/>
    <row r="3068" ht="16.5" customHeight="1" s="304"/>
    <row r="3069" ht="16.5" customHeight="1" s="304"/>
    <row r="3070" ht="16.5" customHeight="1" s="304"/>
    <row r="3071" ht="16.5" customHeight="1" s="304"/>
    <row r="3072" ht="16.5" customHeight="1" s="304"/>
    <row r="3073" ht="16.5" customHeight="1" s="304"/>
    <row r="3074" ht="16.5" customHeight="1" s="304"/>
    <row r="3075" ht="16.5" customHeight="1" s="304"/>
    <row r="3076" ht="16.5" customHeight="1" s="304"/>
    <row r="3077" ht="16.5" customHeight="1" s="304"/>
    <row r="3078" ht="16.5" customHeight="1" s="304"/>
    <row r="3079" ht="16.5" customHeight="1" s="304"/>
    <row r="3080" ht="16.5" customHeight="1" s="304"/>
    <row r="3081" ht="16.5" customHeight="1" s="304"/>
    <row r="3082" ht="16.5" customHeight="1" s="304"/>
    <row r="3083" ht="16.5" customHeight="1" s="304"/>
    <row r="3084" ht="16.5" customHeight="1" s="304"/>
    <row r="3085" ht="16.5" customHeight="1" s="304"/>
    <row r="3086" ht="16.5" customHeight="1" s="304"/>
    <row r="3087" ht="16.5" customHeight="1" s="304"/>
    <row r="3088" ht="16.5" customHeight="1" s="304"/>
    <row r="3089" ht="16.5" customHeight="1" s="304"/>
    <row r="3090" ht="16.5" customHeight="1" s="304"/>
    <row r="3091" ht="16.5" customHeight="1" s="304"/>
    <row r="3092" ht="16.5" customHeight="1" s="304"/>
    <row r="3093" ht="16.5" customHeight="1" s="304"/>
    <row r="3094" ht="16.5" customHeight="1" s="304"/>
    <row r="3095" ht="16.5" customHeight="1" s="304"/>
    <row r="3096" ht="16.5" customHeight="1" s="304"/>
    <row r="3097" ht="16.5" customHeight="1" s="304"/>
    <row r="3098" ht="16.5" customHeight="1" s="304"/>
    <row r="3099" ht="16.5" customHeight="1" s="304"/>
    <row r="3100" ht="16.5" customHeight="1" s="304"/>
    <row r="3101" ht="16.5" customHeight="1" s="304"/>
    <row r="3102" ht="16.5" customHeight="1" s="304"/>
    <row r="3103" ht="16.5" customHeight="1" s="304"/>
    <row r="3104" ht="16.5" customHeight="1" s="304"/>
    <row r="3105" ht="16.5" customHeight="1" s="304"/>
    <row r="3106" ht="16.5" customHeight="1" s="304"/>
    <row r="3107" ht="16.5" customHeight="1" s="304"/>
    <row r="3108" ht="16.5" customHeight="1" s="304"/>
    <row r="3109" ht="16.5" customHeight="1" s="304"/>
    <row r="3110" ht="16.5" customHeight="1" s="304"/>
    <row r="3111" ht="16.5" customHeight="1" s="304"/>
    <row r="3112" ht="16.5" customHeight="1" s="304"/>
    <row r="3113" ht="16.5" customHeight="1" s="304"/>
    <row r="3114" ht="16.5" customHeight="1" s="304"/>
    <row r="3115" ht="16.5" customHeight="1" s="304"/>
    <row r="3116" ht="16.5" customHeight="1" s="304"/>
    <row r="3117" ht="16.5" customHeight="1" s="304"/>
    <row r="3118" ht="16.5" customHeight="1" s="304"/>
    <row r="3119" ht="16.5" customHeight="1" s="304"/>
    <row r="3120" ht="16.5" customHeight="1" s="304"/>
    <row r="3121" ht="16.5" customHeight="1" s="304"/>
    <row r="3122" ht="16.5" customHeight="1" s="304"/>
    <row r="3123" ht="16.5" customHeight="1" s="304"/>
    <row r="3124" ht="16.5" customHeight="1" s="304"/>
    <row r="3125" ht="16.5" customHeight="1" s="304"/>
    <row r="3126" ht="16.5" customHeight="1" s="304"/>
    <row r="3127" ht="16.5" customHeight="1" s="304"/>
    <row r="3128" ht="16.5" customHeight="1" s="304"/>
    <row r="3129" ht="16.5" customHeight="1" s="304"/>
    <row r="3130" ht="16.5" customHeight="1" s="304"/>
    <row r="3131" ht="16.5" customHeight="1" s="304"/>
    <row r="3132" ht="16.5" customHeight="1" s="304"/>
    <row r="3133" ht="16.5" customHeight="1" s="304"/>
    <row r="3134" ht="16.5" customHeight="1" s="304"/>
    <row r="3135" ht="16.5" customHeight="1" s="304"/>
    <row r="3136" ht="16.5" customHeight="1" s="304"/>
    <row r="3137" ht="16.5" customHeight="1" s="304"/>
    <row r="3138" ht="16.5" customHeight="1" s="304"/>
    <row r="3139" ht="16.5" customHeight="1" s="304"/>
    <row r="3140" ht="16.5" customHeight="1" s="304"/>
    <row r="3141" ht="16.5" customHeight="1" s="304"/>
    <row r="3142" ht="16.5" customHeight="1" s="304"/>
    <row r="3143" ht="16.5" customHeight="1" s="304"/>
    <row r="3144" ht="16.5" customHeight="1" s="304"/>
    <row r="3145" ht="16.5" customHeight="1" s="304"/>
    <row r="3146" ht="16.5" customHeight="1" s="304"/>
    <row r="3147" ht="16.5" customHeight="1" s="304"/>
    <row r="3148" ht="16.5" customHeight="1" s="304"/>
    <row r="3149" ht="16.5" customHeight="1" s="304"/>
    <row r="3150" ht="16.5" customHeight="1" s="304"/>
    <row r="3151" ht="16.5" customHeight="1" s="304"/>
    <row r="3152" ht="16.5" customHeight="1" s="304"/>
    <row r="3153" ht="16.5" customHeight="1" s="304"/>
    <row r="3154" ht="16.5" customHeight="1" s="304"/>
    <row r="3155" ht="16.5" customHeight="1" s="304"/>
    <row r="3156" ht="16.5" customHeight="1" s="304"/>
    <row r="3157" ht="16.5" customHeight="1" s="304"/>
    <row r="3158" ht="16.5" customHeight="1" s="304"/>
    <row r="3159" ht="16.5" customHeight="1" s="304"/>
    <row r="3160" ht="16.5" customHeight="1" s="304"/>
    <row r="3161" ht="16.5" customHeight="1" s="304"/>
    <row r="3162" ht="16.5" customHeight="1" s="304"/>
    <row r="3163" ht="16.5" customHeight="1" s="304"/>
    <row r="3164" ht="16.5" customHeight="1" s="304"/>
    <row r="3165" ht="16.5" customHeight="1" s="304"/>
    <row r="3166" ht="16.5" customHeight="1" s="304"/>
    <row r="3167" ht="16.5" customHeight="1" s="304"/>
    <row r="3168" ht="16.5" customHeight="1" s="304"/>
    <row r="3169" ht="16.5" customHeight="1" s="304"/>
    <row r="3170" ht="16.5" customHeight="1" s="304"/>
    <row r="3171" ht="16.5" customHeight="1" s="304"/>
    <row r="3172" ht="16.5" customHeight="1" s="304"/>
    <row r="3173" ht="16.5" customHeight="1" s="304"/>
    <row r="3174" ht="16.5" customHeight="1" s="304"/>
    <row r="3175" ht="16.5" customHeight="1" s="304"/>
    <row r="3176" ht="16.5" customHeight="1" s="304"/>
    <row r="3177" ht="16.5" customHeight="1" s="304"/>
    <row r="3178" ht="16.5" customHeight="1" s="304"/>
    <row r="3179" ht="16.5" customHeight="1" s="304"/>
    <row r="3180" ht="16.5" customHeight="1" s="304"/>
    <row r="3181" ht="16.5" customHeight="1" s="304"/>
    <row r="3182" ht="16.5" customHeight="1" s="304"/>
    <row r="3183" ht="16.5" customHeight="1" s="304"/>
    <row r="3184" ht="16.5" customHeight="1" s="304"/>
    <row r="3185" ht="16.5" customHeight="1" s="304"/>
    <row r="3186" ht="16.5" customHeight="1" s="304"/>
    <row r="3187" ht="16.5" customHeight="1" s="304"/>
    <row r="3188" ht="16.5" customHeight="1" s="304"/>
    <row r="3189" ht="16.5" customHeight="1" s="304"/>
    <row r="3190" ht="16.5" customHeight="1" s="304"/>
    <row r="3191" ht="16.5" customHeight="1" s="304"/>
    <row r="3192" ht="16.5" customHeight="1" s="304"/>
    <row r="3193" ht="16.5" customHeight="1" s="304"/>
    <row r="3194" ht="16.5" customHeight="1" s="304"/>
    <row r="3195" ht="16.5" customHeight="1" s="304"/>
    <row r="3196" ht="16.5" customHeight="1" s="304"/>
    <row r="3197" ht="16.5" customHeight="1" s="304"/>
    <row r="3198" ht="16.5" customHeight="1" s="304"/>
    <row r="3199" ht="16.5" customHeight="1" s="304"/>
    <row r="3200" ht="16.5" customHeight="1" s="304"/>
    <row r="3201" ht="16.5" customHeight="1" s="304"/>
    <row r="3202" ht="16.5" customHeight="1" s="304"/>
    <row r="3203" ht="16.5" customHeight="1" s="304"/>
    <row r="3204" ht="16.5" customHeight="1" s="304"/>
    <row r="3205" ht="16.5" customHeight="1" s="304"/>
    <row r="3206" ht="16.5" customHeight="1" s="304"/>
    <row r="3207" ht="16.5" customHeight="1" s="304"/>
    <row r="3208" ht="16.5" customHeight="1" s="304"/>
    <row r="3209" ht="16.5" customHeight="1" s="304"/>
    <row r="3210" ht="16.5" customHeight="1" s="304"/>
    <row r="3211" ht="16.5" customHeight="1" s="304"/>
    <row r="3212" ht="16.5" customHeight="1" s="304"/>
    <row r="3213" ht="16.5" customHeight="1" s="304"/>
    <row r="3214" ht="16.5" customHeight="1" s="304"/>
    <row r="3215" ht="16.5" customHeight="1" s="304"/>
    <row r="3216" ht="16.5" customHeight="1" s="304"/>
    <row r="3217" ht="16.5" customHeight="1" s="304"/>
    <row r="3218" ht="16.5" customHeight="1" s="304"/>
    <row r="3219" ht="16.5" customHeight="1" s="304"/>
    <row r="3220" ht="16.5" customHeight="1" s="304"/>
    <row r="3221" ht="16.5" customHeight="1" s="304"/>
    <row r="3222" ht="16.5" customHeight="1" s="304"/>
    <row r="3223" ht="16.5" customHeight="1" s="304"/>
    <row r="3224" ht="16.5" customHeight="1" s="304"/>
    <row r="3225" ht="16.5" customHeight="1" s="304"/>
    <row r="3226" ht="16.5" customHeight="1" s="304"/>
    <row r="3227" ht="16.5" customHeight="1" s="304"/>
    <row r="3228" ht="16.5" customHeight="1" s="304"/>
    <row r="3229" ht="16.5" customHeight="1" s="304"/>
    <row r="3230" ht="16.5" customHeight="1" s="304"/>
    <row r="3231" ht="16.5" customHeight="1" s="304"/>
    <row r="3232" ht="16.5" customHeight="1" s="304"/>
    <row r="3233" ht="16.5" customHeight="1" s="304"/>
    <row r="3234" ht="16.5" customHeight="1" s="304"/>
    <row r="3235" ht="16.5" customHeight="1" s="304"/>
    <row r="3236" ht="16.5" customHeight="1" s="304"/>
    <row r="3237" ht="16.5" customHeight="1" s="304"/>
    <row r="3238" ht="16.5" customHeight="1" s="304"/>
    <row r="3239" ht="16.5" customHeight="1" s="304"/>
    <row r="3240" ht="16.5" customHeight="1" s="304"/>
    <row r="3241" ht="16.5" customHeight="1" s="304"/>
    <row r="3242" ht="16.5" customHeight="1" s="304"/>
    <row r="3243" ht="16.5" customHeight="1" s="304"/>
    <row r="3244" ht="16.5" customHeight="1" s="304"/>
    <row r="3245" ht="16.5" customHeight="1" s="304"/>
    <row r="3246" ht="16.5" customHeight="1" s="304"/>
    <row r="3247" ht="16.5" customHeight="1" s="304"/>
    <row r="3248" ht="16.5" customHeight="1" s="304"/>
    <row r="3249" ht="16.5" customHeight="1" s="304"/>
    <row r="3250" ht="16.5" customHeight="1" s="304"/>
    <row r="3251" ht="16.5" customHeight="1" s="304"/>
    <row r="3252" ht="16.5" customHeight="1" s="304"/>
    <row r="3253" ht="16.5" customHeight="1" s="304"/>
    <row r="3254" ht="16.5" customHeight="1" s="304"/>
    <row r="3255" ht="16.5" customHeight="1" s="304"/>
    <row r="3256" ht="16.5" customHeight="1" s="304"/>
    <row r="3257" ht="16.5" customHeight="1" s="304"/>
    <row r="3258" ht="16.5" customHeight="1" s="304"/>
    <row r="3259" ht="16.5" customHeight="1" s="304"/>
    <row r="3260" ht="16.5" customHeight="1" s="304"/>
    <row r="3261" ht="16.5" customHeight="1" s="304"/>
    <row r="3262" ht="16.5" customHeight="1" s="304"/>
    <row r="3263" ht="16.5" customHeight="1" s="304"/>
    <row r="3264" ht="16.5" customHeight="1" s="304"/>
    <row r="3265" ht="16.5" customHeight="1" s="304"/>
    <row r="3266" ht="16.5" customHeight="1" s="304"/>
    <row r="3267" ht="16.5" customHeight="1" s="304"/>
    <row r="3268" ht="16.5" customHeight="1" s="304"/>
    <row r="3269" ht="16.5" customHeight="1" s="304"/>
    <row r="3270" ht="16.5" customHeight="1" s="304"/>
    <row r="3271" ht="16.5" customHeight="1" s="304"/>
    <row r="3272" ht="16.5" customHeight="1" s="304"/>
    <row r="3273" ht="16.5" customHeight="1" s="304"/>
    <row r="3274" ht="16.5" customHeight="1" s="304"/>
    <row r="3275" ht="16.5" customHeight="1" s="304"/>
    <row r="3276" ht="16.5" customHeight="1" s="304"/>
    <row r="3277" ht="16.5" customHeight="1" s="304"/>
    <row r="3278" ht="16.5" customHeight="1" s="304"/>
    <row r="3279" ht="16.5" customHeight="1" s="304"/>
    <row r="3280" ht="16.5" customHeight="1" s="304"/>
    <row r="3281" ht="16.5" customHeight="1" s="304"/>
    <row r="3282" ht="16.5" customHeight="1" s="304"/>
    <row r="3283" ht="16.5" customHeight="1" s="304"/>
    <row r="3284" ht="16.5" customHeight="1" s="304"/>
    <row r="3285" ht="16.5" customHeight="1" s="304"/>
    <row r="3286" ht="16.5" customHeight="1" s="304"/>
    <row r="3287" ht="16.5" customHeight="1" s="304"/>
    <row r="3288" ht="16.5" customHeight="1" s="304"/>
    <row r="3289" ht="16.5" customHeight="1" s="304"/>
    <row r="3290" ht="16.5" customHeight="1" s="304"/>
    <row r="3291" ht="16.5" customHeight="1" s="304"/>
    <row r="3292" ht="16.5" customHeight="1" s="304"/>
    <row r="3293" ht="16.5" customHeight="1" s="304"/>
    <row r="3294" ht="16.5" customHeight="1" s="304"/>
    <row r="3295" ht="16.5" customHeight="1" s="304"/>
    <row r="3296" ht="16.5" customHeight="1" s="304"/>
    <row r="3297" ht="16.5" customHeight="1" s="304"/>
    <row r="3298" ht="16.5" customHeight="1" s="304"/>
    <row r="3299" ht="16.5" customHeight="1" s="304"/>
    <row r="3300" ht="16.5" customHeight="1" s="304"/>
    <row r="3301" ht="16.5" customHeight="1" s="304"/>
    <row r="3302" ht="16.5" customHeight="1" s="304"/>
    <row r="3303" ht="16.5" customHeight="1" s="304"/>
    <row r="3304" ht="16.5" customHeight="1" s="304"/>
    <row r="3305" ht="16.5" customHeight="1" s="304"/>
    <row r="3306" ht="16.5" customHeight="1" s="304"/>
    <row r="3307" ht="16.5" customHeight="1" s="304"/>
    <row r="3308" ht="16.5" customHeight="1" s="304"/>
    <row r="3309" ht="16.5" customHeight="1" s="304"/>
    <row r="3310" ht="16.5" customHeight="1" s="304"/>
    <row r="3311" ht="16.5" customHeight="1" s="304"/>
    <row r="3312" ht="16.5" customHeight="1" s="304"/>
    <row r="3313" ht="16.5" customHeight="1" s="304"/>
    <row r="3314" ht="16.5" customHeight="1" s="304"/>
    <row r="3315" ht="16.5" customHeight="1" s="304"/>
    <row r="3316" ht="16.5" customHeight="1" s="304"/>
    <row r="3317" ht="16.5" customHeight="1" s="304"/>
    <row r="3318" ht="16.5" customHeight="1" s="304"/>
    <row r="3319" ht="16.5" customHeight="1" s="304"/>
    <row r="3320" ht="16.5" customHeight="1" s="304"/>
    <row r="3321" ht="16.5" customHeight="1" s="304"/>
    <row r="3322" ht="16.5" customHeight="1" s="304"/>
    <row r="3323" ht="16.5" customHeight="1" s="304"/>
    <row r="3324" ht="16.5" customHeight="1" s="304"/>
    <row r="3325" ht="16.5" customHeight="1" s="304"/>
    <row r="3326" ht="16.5" customHeight="1" s="304"/>
    <row r="3327" ht="16.5" customHeight="1" s="304"/>
    <row r="3328" ht="16.5" customHeight="1" s="304"/>
    <row r="3329" ht="16.5" customHeight="1" s="304"/>
    <row r="3330" ht="16.5" customHeight="1" s="304"/>
    <row r="3331" ht="16.5" customHeight="1" s="304"/>
    <row r="3332" ht="16.5" customHeight="1" s="304"/>
    <row r="3333" ht="16.5" customHeight="1" s="304"/>
    <row r="3334" ht="16.5" customHeight="1" s="304"/>
    <row r="3335" ht="16.5" customHeight="1" s="304"/>
    <row r="3336" ht="16.5" customHeight="1" s="304"/>
    <row r="3337" ht="16.5" customHeight="1" s="304"/>
    <row r="3338" ht="16.5" customHeight="1" s="304"/>
    <row r="3339" ht="16.5" customHeight="1" s="304"/>
    <row r="3340" ht="16.5" customHeight="1" s="304"/>
    <row r="3341" ht="16.5" customHeight="1" s="304"/>
    <row r="3342" ht="16.5" customHeight="1" s="304"/>
    <row r="3343" ht="16.5" customHeight="1" s="304"/>
    <row r="3344" ht="16.5" customHeight="1" s="304"/>
    <row r="3345" ht="16.5" customHeight="1" s="304"/>
    <row r="3346" ht="16.5" customHeight="1" s="304"/>
    <row r="3347" ht="16.5" customHeight="1" s="304"/>
    <row r="3348" ht="16.5" customHeight="1" s="304"/>
    <row r="3349" ht="16.5" customHeight="1" s="304"/>
    <row r="3350" ht="16.5" customHeight="1" s="304"/>
    <row r="3351" ht="16.5" customHeight="1" s="304"/>
    <row r="3352" ht="16.5" customHeight="1" s="304"/>
    <row r="3353" ht="16.5" customHeight="1" s="304"/>
    <row r="3354" ht="16.5" customHeight="1" s="304"/>
    <row r="3355" ht="16.5" customHeight="1" s="304"/>
    <row r="3356" ht="16.5" customHeight="1" s="304"/>
    <row r="3357" ht="16.5" customHeight="1" s="304"/>
    <row r="3358" ht="16.5" customHeight="1" s="304"/>
    <row r="3359" ht="16.5" customHeight="1" s="304"/>
    <row r="3360" ht="16.5" customHeight="1" s="304"/>
    <row r="3361" ht="16.5" customHeight="1" s="304"/>
    <row r="3362" ht="16.5" customHeight="1" s="304"/>
    <row r="3363" ht="16.5" customHeight="1" s="304"/>
    <row r="3364" ht="16.5" customHeight="1" s="304"/>
    <row r="3365" ht="16.5" customHeight="1" s="304"/>
    <row r="3366" ht="16.5" customHeight="1" s="304"/>
    <row r="3367" ht="16.5" customHeight="1" s="304"/>
    <row r="3368" ht="16.5" customHeight="1" s="304"/>
    <row r="3369" ht="16.5" customHeight="1" s="304"/>
    <row r="3370" ht="16.5" customHeight="1" s="304"/>
    <row r="3371" ht="16.5" customHeight="1" s="304"/>
    <row r="3372" ht="16.5" customHeight="1" s="304"/>
    <row r="3373" ht="16.5" customHeight="1" s="304"/>
    <row r="3374" ht="16.5" customHeight="1" s="304"/>
    <row r="3375" ht="16.5" customHeight="1" s="304"/>
    <row r="3376" ht="16.5" customHeight="1" s="304"/>
    <row r="3377" ht="16.5" customHeight="1" s="304"/>
    <row r="3378" ht="16.5" customHeight="1" s="304"/>
    <row r="3379" ht="16.5" customHeight="1" s="304"/>
    <row r="3380" ht="16.5" customHeight="1" s="304"/>
    <row r="3381" ht="16.5" customHeight="1" s="304"/>
    <row r="3382" ht="16.5" customHeight="1" s="304"/>
    <row r="3383" ht="16.5" customHeight="1" s="304"/>
    <row r="3384" ht="16.5" customHeight="1" s="304"/>
    <row r="3385" ht="16.5" customHeight="1" s="304"/>
    <row r="3386" ht="16.5" customHeight="1" s="304"/>
    <row r="3387" ht="16.5" customHeight="1" s="304"/>
    <row r="3388" ht="16.5" customHeight="1" s="304"/>
    <row r="3389" ht="16.5" customHeight="1" s="304"/>
    <row r="3390" ht="16.5" customHeight="1" s="304"/>
    <row r="3391" ht="16.5" customHeight="1" s="304"/>
    <row r="3392" ht="16.5" customHeight="1" s="304"/>
    <row r="3393" ht="16.5" customHeight="1" s="304"/>
    <row r="3394" ht="16.5" customHeight="1" s="304"/>
    <row r="3395" ht="16.5" customHeight="1" s="304"/>
    <row r="3396" ht="16.5" customHeight="1" s="304"/>
    <row r="3397" ht="16.5" customHeight="1" s="304"/>
    <row r="3398" ht="16.5" customHeight="1" s="304"/>
    <row r="3399" ht="16.5" customHeight="1" s="304"/>
    <row r="3400" ht="16.5" customHeight="1" s="304"/>
    <row r="3401" ht="16.5" customHeight="1" s="304"/>
    <row r="3402" ht="16.5" customHeight="1" s="304"/>
    <row r="3403" ht="16.5" customHeight="1" s="304"/>
    <row r="3404" ht="16.5" customHeight="1" s="304"/>
    <row r="3405" ht="16.5" customHeight="1" s="304"/>
    <row r="3406" ht="16.5" customHeight="1" s="304"/>
    <row r="3407" ht="16.5" customHeight="1" s="304"/>
    <row r="3408" ht="16.5" customHeight="1" s="304"/>
    <row r="3409" ht="16.5" customHeight="1" s="304"/>
    <row r="3410" ht="16.5" customHeight="1" s="304"/>
    <row r="3411" ht="16.5" customHeight="1" s="304"/>
    <row r="3412" ht="16.5" customHeight="1" s="304"/>
    <row r="3413" ht="16.5" customHeight="1" s="304"/>
    <row r="3414" ht="16.5" customHeight="1" s="304"/>
    <row r="3415" ht="16.5" customHeight="1" s="304"/>
    <row r="3416" ht="16.5" customHeight="1" s="304"/>
    <row r="3417" ht="16.5" customHeight="1" s="304"/>
    <row r="3418" ht="16.5" customHeight="1" s="304"/>
    <row r="3419" ht="16.5" customHeight="1" s="304"/>
    <row r="3420" ht="16.5" customHeight="1" s="304"/>
    <row r="3421" ht="16.5" customHeight="1" s="304"/>
    <row r="3422" ht="16.5" customHeight="1" s="304"/>
    <row r="3423" ht="16.5" customHeight="1" s="304"/>
    <row r="3424" ht="16.5" customHeight="1" s="304"/>
    <row r="3425" ht="16.5" customHeight="1" s="304"/>
    <row r="3426" ht="16.5" customHeight="1" s="304"/>
    <row r="3427" ht="16.5" customHeight="1" s="304"/>
    <row r="3428" ht="16.5" customHeight="1" s="304"/>
    <row r="3429" ht="16.5" customHeight="1" s="304"/>
    <row r="3430" ht="16.5" customHeight="1" s="304"/>
    <row r="3431" ht="16.5" customHeight="1" s="304"/>
    <row r="3432" ht="16.5" customHeight="1" s="304"/>
    <row r="3433" ht="16.5" customHeight="1" s="304"/>
    <row r="3434" ht="16.5" customHeight="1" s="304"/>
    <row r="3435" ht="16.5" customHeight="1" s="304"/>
    <row r="3436" ht="16.5" customHeight="1" s="304"/>
    <row r="3437" ht="16.5" customHeight="1" s="304"/>
    <row r="3438" ht="16.5" customHeight="1" s="304"/>
    <row r="3439" ht="16.5" customHeight="1" s="304"/>
    <row r="3440" ht="16.5" customHeight="1" s="304"/>
    <row r="3441" ht="16.5" customHeight="1" s="304"/>
    <row r="3442" ht="16.5" customHeight="1" s="304"/>
    <row r="3443" ht="16.5" customHeight="1" s="304"/>
    <row r="3444" ht="16.5" customHeight="1" s="304"/>
    <row r="3445" ht="16.5" customHeight="1" s="304"/>
    <row r="3446" ht="16.5" customHeight="1" s="304"/>
    <row r="3447" ht="16.5" customHeight="1" s="304"/>
    <row r="3448" ht="16.5" customHeight="1" s="304"/>
    <row r="3449" ht="16.5" customHeight="1" s="304"/>
    <row r="3450" ht="16.5" customHeight="1" s="304"/>
    <row r="3451" ht="16.5" customHeight="1" s="304"/>
    <row r="3452" ht="16.5" customHeight="1" s="304"/>
    <row r="3453" ht="16.5" customHeight="1" s="304"/>
    <row r="3454" ht="16.5" customHeight="1" s="304"/>
    <row r="3455" ht="16.5" customHeight="1" s="304"/>
    <row r="3456" ht="16.5" customHeight="1" s="304"/>
    <row r="3457" ht="16.5" customHeight="1" s="304"/>
    <row r="3458" ht="16.5" customHeight="1" s="304"/>
    <row r="3459" ht="16.5" customHeight="1" s="304"/>
    <row r="3460" ht="16.5" customHeight="1" s="304"/>
    <row r="3461" ht="16.5" customHeight="1" s="304"/>
    <row r="3462" ht="16.5" customHeight="1" s="304"/>
    <row r="3463" ht="16.5" customHeight="1" s="304"/>
    <row r="3464" ht="16.5" customHeight="1" s="304"/>
    <row r="3465" ht="16.5" customHeight="1" s="304"/>
    <row r="3466" ht="16.5" customHeight="1" s="304"/>
    <row r="3467" ht="16.5" customHeight="1" s="304"/>
    <row r="3468" ht="16.5" customHeight="1" s="304"/>
    <row r="3469" ht="16.5" customHeight="1" s="304"/>
    <row r="3470" ht="16.5" customHeight="1" s="304"/>
    <row r="3471" ht="16.5" customHeight="1" s="304"/>
    <row r="3472" ht="16.5" customHeight="1" s="304"/>
    <row r="3473" ht="16.5" customHeight="1" s="304"/>
    <row r="3474" ht="16.5" customHeight="1" s="304"/>
    <row r="3475" ht="16.5" customHeight="1" s="304"/>
    <row r="3476" ht="16.5" customHeight="1" s="304"/>
    <row r="3477" ht="16.5" customHeight="1" s="304"/>
    <row r="3478" ht="16.5" customHeight="1" s="304"/>
    <row r="3479" ht="16.5" customHeight="1" s="304"/>
    <row r="3480" ht="16.5" customHeight="1" s="304"/>
    <row r="3481" ht="16.5" customHeight="1" s="304"/>
    <row r="3482" ht="16.5" customHeight="1" s="304"/>
    <row r="3483" ht="16.5" customHeight="1" s="304"/>
    <row r="3484" ht="16.5" customHeight="1" s="304"/>
    <row r="3485" ht="16.5" customHeight="1" s="304"/>
    <row r="3486" ht="16.5" customHeight="1" s="304"/>
    <row r="3487" ht="16.5" customHeight="1" s="304"/>
    <row r="3488" ht="16.5" customHeight="1" s="304"/>
    <row r="3489" ht="16.5" customHeight="1" s="304"/>
    <row r="3490" ht="16.5" customHeight="1" s="304"/>
    <row r="3491" ht="16.5" customHeight="1" s="304"/>
    <row r="3492" ht="16.5" customHeight="1" s="304"/>
    <row r="3493" ht="16.5" customHeight="1" s="304"/>
    <row r="3494" ht="16.5" customHeight="1" s="304"/>
    <row r="3495" ht="16.5" customHeight="1" s="304"/>
    <row r="3496" ht="16.5" customHeight="1" s="304"/>
    <row r="3497" ht="16.5" customHeight="1" s="304"/>
    <row r="3498" ht="16.5" customHeight="1" s="304"/>
    <row r="3499" ht="16.5" customHeight="1" s="304"/>
    <row r="3500" ht="16.5" customHeight="1" s="304"/>
    <row r="3501" ht="16.5" customHeight="1" s="304"/>
    <row r="3502" ht="16.5" customHeight="1" s="304"/>
    <row r="3503" ht="16.5" customHeight="1" s="304"/>
    <row r="3504" ht="16.5" customHeight="1" s="304"/>
    <row r="3505" ht="16.5" customHeight="1" s="304"/>
    <row r="3506" ht="16.5" customHeight="1" s="304"/>
    <row r="3507" ht="16.5" customHeight="1" s="304"/>
    <row r="3508" ht="16.5" customHeight="1" s="304"/>
    <row r="3509" ht="16.5" customHeight="1" s="304"/>
    <row r="3510" ht="16.5" customHeight="1" s="304"/>
    <row r="3511" ht="16.5" customHeight="1" s="304"/>
    <row r="3512" ht="16.5" customHeight="1" s="304"/>
    <row r="3513" ht="16.5" customHeight="1" s="304"/>
    <row r="3514" ht="16.5" customHeight="1" s="304"/>
    <row r="3515" ht="16.5" customHeight="1" s="304"/>
    <row r="3516" ht="16.5" customHeight="1" s="304"/>
    <row r="3517" ht="16.5" customHeight="1" s="304"/>
    <row r="3518" ht="16.5" customHeight="1" s="304"/>
    <row r="3519" ht="16.5" customHeight="1" s="304"/>
    <row r="3520" ht="16.5" customHeight="1" s="304"/>
    <row r="3521" ht="16.5" customHeight="1" s="304"/>
    <row r="3522" ht="16.5" customHeight="1" s="304"/>
    <row r="3523" ht="16.5" customHeight="1" s="304"/>
    <row r="3524" ht="16.5" customHeight="1" s="304"/>
    <row r="3525" ht="16.5" customHeight="1" s="304"/>
    <row r="3526" ht="16.5" customHeight="1" s="304"/>
    <row r="3527" ht="16.5" customHeight="1" s="304"/>
    <row r="3528" ht="16.5" customHeight="1" s="304"/>
    <row r="3529" ht="16.5" customHeight="1" s="304"/>
    <row r="3530" ht="16.5" customHeight="1" s="304"/>
    <row r="3531" ht="16.5" customHeight="1" s="304"/>
    <row r="3532" ht="16.5" customHeight="1" s="304"/>
    <row r="3533" ht="16.5" customHeight="1" s="304"/>
    <row r="3534" ht="16.5" customHeight="1" s="304"/>
    <row r="3535" ht="16.5" customHeight="1" s="304"/>
    <row r="3536" ht="16.5" customHeight="1" s="304"/>
    <row r="3537" ht="16.5" customHeight="1" s="304"/>
    <row r="3538" ht="16.5" customHeight="1" s="304"/>
    <row r="3539" ht="16.5" customHeight="1" s="304"/>
    <row r="3540" ht="16.5" customHeight="1" s="304"/>
    <row r="3541" ht="16.5" customHeight="1" s="304"/>
    <row r="3542" ht="16.5" customHeight="1" s="304"/>
    <row r="3543" ht="16.5" customHeight="1" s="304"/>
    <row r="3544" ht="16.5" customHeight="1" s="304"/>
    <row r="3545" ht="16.5" customHeight="1" s="304"/>
    <row r="3546" ht="16.5" customHeight="1" s="304"/>
    <row r="3547" ht="16.5" customHeight="1" s="304"/>
    <row r="3548" ht="16.5" customHeight="1" s="304"/>
    <row r="3549" ht="16.5" customHeight="1" s="304"/>
    <row r="3550" ht="16.5" customHeight="1" s="304"/>
    <row r="3551" ht="16.5" customHeight="1" s="304"/>
    <row r="3552" ht="16.5" customHeight="1" s="304"/>
    <row r="3553" ht="16.5" customHeight="1" s="304"/>
    <row r="3554" ht="16.5" customHeight="1" s="304"/>
    <row r="3555" ht="16.5" customHeight="1" s="304"/>
    <row r="3556" ht="16.5" customHeight="1" s="304"/>
    <row r="3557" ht="16.5" customHeight="1" s="304"/>
    <row r="3558" ht="16.5" customHeight="1" s="304"/>
    <row r="3559" ht="16.5" customHeight="1" s="304"/>
    <row r="3560" ht="16.5" customHeight="1" s="304"/>
    <row r="3561" ht="16.5" customHeight="1" s="304"/>
    <row r="3562" ht="16.5" customHeight="1" s="304"/>
    <row r="3563" ht="16.5" customHeight="1" s="304"/>
    <row r="3564" ht="16.5" customHeight="1" s="304"/>
    <row r="3565" ht="16.5" customHeight="1" s="304"/>
    <row r="3566" ht="16.5" customHeight="1" s="304"/>
    <row r="3567" ht="16.5" customHeight="1" s="304"/>
    <row r="3568" ht="16.5" customHeight="1" s="304"/>
    <row r="3569" ht="16.5" customHeight="1" s="304"/>
    <row r="3570" ht="16.5" customHeight="1" s="304"/>
    <row r="3571" ht="16.5" customHeight="1" s="304"/>
    <row r="3572" ht="16.5" customHeight="1" s="304"/>
    <row r="3573" ht="16.5" customHeight="1" s="304"/>
    <row r="3574" ht="16.5" customHeight="1" s="304"/>
    <row r="3575" ht="16.5" customHeight="1" s="304"/>
    <row r="3576" ht="16.5" customHeight="1" s="304"/>
    <row r="3577" ht="16.5" customHeight="1" s="304"/>
    <row r="3578" ht="16.5" customHeight="1" s="304"/>
    <row r="3579" ht="16.5" customHeight="1" s="304"/>
    <row r="3580" ht="16.5" customHeight="1" s="304"/>
    <row r="3581" ht="16.5" customHeight="1" s="304"/>
    <row r="3582" ht="16.5" customHeight="1" s="304"/>
    <row r="3583" ht="16.5" customHeight="1" s="304"/>
    <row r="3584" ht="16.5" customHeight="1" s="304"/>
    <row r="3585" ht="16.5" customHeight="1" s="304"/>
    <row r="3586" ht="16.5" customHeight="1" s="304"/>
    <row r="3587" ht="16.5" customHeight="1" s="304"/>
    <row r="3588" ht="16.5" customHeight="1" s="304"/>
    <row r="3589" ht="16.5" customHeight="1" s="304"/>
    <row r="3590" ht="16.5" customHeight="1" s="304"/>
    <row r="3591" ht="16.5" customHeight="1" s="304"/>
    <row r="3592" ht="16.5" customHeight="1" s="304"/>
    <row r="3593" ht="16.5" customHeight="1" s="304"/>
    <row r="3594" ht="16.5" customHeight="1" s="304"/>
    <row r="3595" ht="16.5" customHeight="1" s="304"/>
    <row r="3596" ht="16.5" customHeight="1" s="304"/>
    <row r="3597" ht="16.5" customHeight="1" s="304"/>
    <row r="3598" ht="16.5" customHeight="1" s="304"/>
    <row r="3599" ht="16.5" customHeight="1" s="304"/>
    <row r="3600" ht="16.5" customHeight="1" s="304"/>
    <row r="3601" ht="16.5" customHeight="1" s="304"/>
    <row r="3602" ht="16.5" customHeight="1" s="304"/>
    <row r="3603" ht="16.5" customHeight="1" s="304"/>
    <row r="3604" ht="16.5" customHeight="1" s="304"/>
    <row r="3605" ht="16.5" customHeight="1" s="304"/>
    <row r="3606" ht="16.5" customHeight="1" s="304"/>
    <row r="3607" ht="16.5" customHeight="1" s="304"/>
    <row r="3608" ht="16.5" customHeight="1" s="304"/>
    <row r="3609" ht="16.5" customHeight="1" s="304"/>
    <row r="3610" ht="16.5" customHeight="1" s="304"/>
    <row r="3611" ht="16.5" customHeight="1" s="304"/>
    <row r="3612" ht="16.5" customHeight="1" s="304"/>
    <row r="3613" ht="16.5" customHeight="1" s="304"/>
    <row r="3614" ht="16.5" customHeight="1" s="304"/>
    <row r="3615" ht="16.5" customHeight="1" s="304"/>
    <row r="3616" ht="16.5" customHeight="1" s="304"/>
    <row r="3617" ht="16.5" customHeight="1" s="304"/>
    <row r="3618" ht="16.5" customHeight="1" s="304"/>
    <row r="3619" ht="16.5" customHeight="1" s="304"/>
    <row r="3620" ht="16.5" customHeight="1" s="304"/>
    <row r="3621" ht="16.5" customHeight="1" s="304"/>
    <row r="3622" ht="16.5" customHeight="1" s="304"/>
    <row r="3623" ht="16.5" customHeight="1" s="304"/>
    <row r="3624" ht="16.5" customHeight="1" s="304"/>
    <row r="3625" ht="16.5" customHeight="1" s="304"/>
    <row r="3626" ht="16.5" customHeight="1" s="304"/>
    <row r="3627" ht="16.5" customHeight="1" s="304"/>
    <row r="3628" ht="16.5" customHeight="1" s="304"/>
    <row r="3629" ht="16.5" customHeight="1" s="304"/>
    <row r="3630" ht="16.5" customHeight="1" s="304"/>
    <row r="3631" ht="16.5" customHeight="1" s="304"/>
    <row r="3632" ht="16.5" customHeight="1" s="304"/>
    <row r="3633" ht="16.5" customHeight="1" s="304"/>
    <row r="3634" ht="16.5" customHeight="1" s="304"/>
    <row r="3635" ht="16.5" customHeight="1" s="304"/>
    <row r="3636" ht="16.5" customHeight="1" s="304"/>
    <row r="3637" ht="16.5" customHeight="1" s="304"/>
    <row r="3638" ht="16.5" customHeight="1" s="304"/>
    <row r="3639" ht="16.5" customHeight="1" s="304"/>
    <row r="3640" ht="16.5" customHeight="1" s="304"/>
    <row r="3641" ht="16.5" customHeight="1" s="304"/>
    <row r="3642" ht="16.5" customHeight="1" s="304"/>
    <row r="3643" ht="16.5" customHeight="1" s="304"/>
    <row r="3644" ht="16.5" customHeight="1" s="304"/>
    <row r="3645" ht="16.5" customHeight="1" s="304"/>
    <row r="3646" ht="16.5" customHeight="1" s="304"/>
    <row r="3647" ht="16.5" customHeight="1" s="304"/>
    <row r="3648" ht="16.5" customHeight="1" s="304"/>
    <row r="3649" ht="16.5" customHeight="1" s="304"/>
    <row r="3650" ht="16.5" customHeight="1" s="304"/>
    <row r="3651" ht="16.5" customHeight="1" s="304"/>
    <row r="3652" ht="16.5" customHeight="1" s="304"/>
    <row r="3653" ht="16.5" customHeight="1" s="304"/>
    <row r="3654" ht="16.5" customHeight="1" s="304"/>
    <row r="3655" ht="16.5" customHeight="1" s="304"/>
    <row r="3656" ht="16.5" customHeight="1" s="304"/>
    <row r="3657" ht="16.5" customHeight="1" s="304"/>
    <row r="3658" ht="16.5" customHeight="1" s="304"/>
    <row r="3659" ht="16.5" customHeight="1" s="304"/>
    <row r="3660" ht="16.5" customHeight="1" s="304"/>
    <row r="3661" ht="16.5" customHeight="1" s="304"/>
    <row r="3662" ht="16.5" customHeight="1" s="304"/>
    <row r="3663" ht="16.5" customHeight="1" s="304"/>
    <row r="3664" ht="16.5" customHeight="1" s="304"/>
    <row r="3665" ht="16.5" customHeight="1" s="304"/>
    <row r="3666" ht="16.5" customHeight="1" s="304"/>
    <row r="3667" ht="16.5" customHeight="1" s="304"/>
    <row r="3668" ht="16.5" customHeight="1" s="304"/>
    <row r="3669" ht="16.5" customHeight="1" s="304"/>
    <row r="3670" ht="16.5" customHeight="1" s="304"/>
    <row r="3671" ht="16.5" customHeight="1" s="304"/>
    <row r="3672" ht="16.5" customHeight="1" s="304"/>
    <row r="3673" ht="16.5" customHeight="1" s="304"/>
    <row r="3674" ht="16.5" customHeight="1" s="304"/>
    <row r="3675" ht="16.5" customHeight="1" s="304"/>
    <row r="3676" ht="16.5" customHeight="1" s="304"/>
    <row r="3677" ht="16.5" customHeight="1" s="304"/>
    <row r="3678" ht="16.5" customHeight="1" s="304"/>
    <row r="3679" ht="16.5" customHeight="1" s="304"/>
    <row r="3680" ht="16.5" customHeight="1" s="304"/>
    <row r="3681" ht="16.5" customHeight="1" s="304"/>
    <row r="3682" ht="16.5" customHeight="1" s="304"/>
    <row r="3683" ht="16.5" customHeight="1" s="304"/>
    <row r="3684" ht="16.5" customHeight="1" s="304"/>
    <row r="3685" ht="16.5" customHeight="1" s="304"/>
    <row r="3686" ht="16.5" customHeight="1" s="304"/>
    <row r="3687" ht="16.5" customHeight="1" s="304"/>
    <row r="3688" ht="16.5" customHeight="1" s="304"/>
    <row r="3689" ht="16.5" customHeight="1" s="304"/>
    <row r="3690" ht="16.5" customHeight="1" s="304"/>
    <row r="3691" ht="16.5" customHeight="1" s="304"/>
    <row r="3692" ht="16.5" customHeight="1" s="304"/>
    <row r="3693" ht="16.5" customHeight="1" s="304"/>
    <row r="3694" ht="16.5" customHeight="1" s="304"/>
    <row r="3695" ht="16.5" customHeight="1" s="304"/>
    <row r="3696" ht="16.5" customHeight="1" s="304"/>
    <row r="3697" ht="16.5" customHeight="1" s="304"/>
    <row r="3698" ht="16.5" customHeight="1" s="304"/>
    <row r="3699" ht="16.5" customHeight="1" s="304"/>
    <row r="3700" ht="16.5" customHeight="1" s="304"/>
    <row r="3701" ht="16.5" customHeight="1" s="304"/>
    <row r="3702" ht="16.5" customHeight="1" s="304"/>
    <row r="3703" ht="16.5" customHeight="1" s="304"/>
    <row r="3704" ht="16.5" customHeight="1" s="304"/>
    <row r="3705" ht="16.5" customHeight="1" s="304"/>
    <row r="3706" ht="16.5" customHeight="1" s="304"/>
    <row r="3707" ht="16.5" customHeight="1" s="304"/>
    <row r="3708" ht="16.5" customHeight="1" s="304"/>
    <row r="3709" ht="16.5" customHeight="1" s="304"/>
    <row r="3710" ht="16.5" customHeight="1" s="304"/>
    <row r="3711" ht="16.5" customHeight="1" s="304"/>
    <row r="3712" ht="16.5" customHeight="1" s="304"/>
    <row r="3713" ht="16.5" customHeight="1" s="304"/>
    <row r="3714" ht="16.5" customHeight="1" s="304"/>
    <row r="3715" ht="16.5" customHeight="1" s="304"/>
    <row r="3716" ht="16.5" customHeight="1" s="304"/>
    <row r="3717" ht="16.5" customHeight="1" s="304"/>
    <row r="3718" ht="16.5" customHeight="1" s="304"/>
    <row r="3719" ht="16.5" customHeight="1" s="304"/>
    <row r="3720" ht="16.5" customHeight="1" s="304"/>
    <row r="3721" ht="16.5" customHeight="1" s="304"/>
    <row r="3722" ht="16.5" customHeight="1" s="304"/>
    <row r="3723" ht="16.5" customHeight="1" s="304"/>
    <row r="3724" ht="16.5" customHeight="1" s="304"/>
    <row r="3725" ht="16.5" customHeight="1" s="304"/>
    <row r="3726" ht="16.5" customHeight="1" s="304"/>
    <row r="3727" ht="16.5" customHeight="1" s="304"/>
    <row r="3728" ht="16.5" customHeight="1" s="304"/>
    <row r="3729" ht="16.5" customHeight="1" s="304"/>
    <row r="3730" ht="16.5" customHeight="1" s="304"/>
    <row r="3731" ht="16.5" customHeight="1" s="304"/>
    <row r="3732" ht="16.5" customHeight="1" s="304"/>
    <row r="3733" ht="16.5" customHeight="1" s="304"/>
    <row r="3734" ht="16.5" customHeight="1" s="304"/>
    <row r="3735" ht="16.5" customHeight="1" s="304"/>
    <row r="3736" ht="16.5" customHeight="1" s="304"/>
    <row r="3737" ht="16.5" customHeight="1" s="304"/>
    <row r="3738" ht="16.5" customHeight="1" s="304"/>
    <row r="3739" ht="16.5" customHeight="1" s="304"/>
    <row r="3740" ht="16.5" customHeight="1" s="304"/>
    <row r="3741" ht="16.5" customHeight="1" s="304"/>
    <row r="3742" ht="16.5" customHeight="1" s="304"/>
    <row r="3743" ht="16.5" customHeight="1" s="304"/>
    <row r="3744" ht="16.5" customHeight="1" s="304"/>
    <row r="3745" ht="16.5" customHeight="1" s="304"/>
    <row r="3746" ht="16.5" customHeight="1" s="304"/>
    <row r="3747" ht="16.5" customHeight="1" s="304"/>
    <row r="3748" ht="16.5" customHeight="1" s="304"/>
    <row r="3749" ht="16.5" customHeight="1" s="304"/>
    <row r="3750" ht="16.5" customHeight="1" s="304"/>
    <row r="3751" ht="16.5" customHeight="1" s="304"/>
    <row r="3752" ht="16.5" customHeight="1" s="304"/>
    <row r="3753" ht="16.5" customHeight="1" s="304"/>
    <row r="3754" ht="16.5" customHeight="1" s="304"/>
    <row r="3755" ht="16.5" customHeight="1" s="304"/>
    <row r="3756" ht="16.5" customHeight="1" s="304"/>
    <row r="3757" ht="16.5" customHeight="1" s="304"/>
    <row r="3758" ht="16.5" customHeight="1" s="304"/>
    <row r="3759" ht="16.5" customHeight="1" s="304"/>
    <row r="3760" ht="16.5" customHeight="1" s="304"/>
    <row r="3761" ht="16.5" customHeight="1" s="304"/>
    <row r="3762" ht="16.5" customHeight="1" s="304"/>
    <row r="3763" ht="16.5" customHeight="1" s="304"/>
    <row r="3764" ht="16.5" customHeight="1" s="304"/>
    <row r="3765" ht="16.5" customHeight="1" s="304"/>
    <row r="3766" ht="16.5" customHeight="1" s="304"/>
    <row r="3767" ht="16.5" customHeight="1" s="304"/>
    <row r="3768" ht="16.5" customHeight="1" s="304"/>
    <row r="3769" ht="16.5" customHeight="1" s="304"/>
    <row r="3770" ht="16.5" customHeight="1" s="304"/>
    <row r="3771" ht="16.5" customHeight="1" s="304"/>
    <row r="3772" ht="16.5" customHeight="1" s="304"/>
    <row r="3773" ht="16.5" customHeight="1" s="304"/>
    <row r="3774" ht="16.5" customHeight="1" s="304"/>
    <row r="3775" ht="16.5" customHeight="1" s="304"/>
    <row r="3776" ht="16.5" customHeight="1" s="304"/>
    <row r="3777" ht="16.5" customHeight="1" s="304"/>
    <row r="3778" ht="16.5" customHeight="1" s="304"/>
    <row r="3779" ht="16.5" customHeight="1" s="304"/>
    <row r="3780" ht="16.5" customHeight="1" s="304"/>
    <row r="3781" ht="16.5" customHeight="1" s="304"/>
    <row r="3782" ht="16.5" customHeight="1" s="304"/>
    <row r="3783" ht="16.5" customHeight="1" s="304"/>
    <row r="3784" ht="16.5" customHeight="1" s="304"/>
    <row r="3785" ht="16.5" customHeight="1" s="304"/>
    <row r="3786" ht="16.5" customHeight="1" s="304"/>
    <row r="3787" ht="16.5" customHeight="1" s="304"/>
    <row r="3788" ht="16.5" customHeight="1" s="304"/>
    <row r="3789" ht="16.5" customHeight="1" s="304"/>
    <row r="3790" ht="16.5" customHeight="1" s="304"/>
    <row r="3791" ht="16.5" customHeight="1" s="304"/>
    <row r="3792" ht="16.5" customHeight="1" s="304"/>
    <row r="3793" ht="16.5" customHeight="1" s="304"/>
    <row r="3794" ht="16.5" customHeight="1" s="304"/>
    <row r="3795" ht="16.5" customHeight="1" s="304"/>
    <row r="3796" ht="16.5" customHeight="1" s="304"/>
    <row r="3797" ht="16.5" customHeight="1" s="304"/>
    <row r="3798" ht="16.5" customHeight="1" s="304"/>
    <row r="3799" ht="16.5" customHeight="1" s="304"/>
    <row r="3800" ht="16.5" customHeight="1" s="304"/>
    <row r="3801" ht="16.5" customHeight="1" s="304"/>
    <row r="3802" ht="16.5" customHeight="1" s="304"/>
    <row r="3803" ht="16.5" customHeight="1" s="304"/>
    <row r="3804" ht="16.5" customHeight="1" s="304"/>
    <row r="3805" ht="16.5" customHeight="1" s="304"/>
    <row r="3806" ht="16.5" customHeight="1" s="304"/>
    <row r="3807" ht="16.5" customHeight="1" s="304"/>
    <row r="3808" ht="16.5" customHeight="1" s="304"/>
    <row r="3809" ht="16.5" customHeight="1" s="304"/>
    <row r="3810" ht="16.5" customHeight="1" s="304"/>
    <row r="3811" ht="16.5" customHeight="1" s="304"/>
    <row r="3812" ht="16.5" customHeight="1" s="304"/>
    <row r="3813" ht="16.5" customHeight="1" s="304"/>
    <row r="3814" ht="16.5" customHeight="1" s="304"/>
    <row r="3815" ht="16.5" customHeight="1" s="304"/>
    <row r="3816" ht="16.5" customHeight="1" s="304"/>
    <row r="3817" ht="16.5" customHeight="1" s="304"/>
    <row r="3818" ht="16.5" customHeight="1" s="304"/>
    <row r="3819" ht="16.5" customHeight="1" s="304"/>
    <row r="3820" ht="16.5" customHeight="1" s="304"/>
    <row r="3821" ht="16.5" customHeight="1" s="304"/>
    <row r="3822" ht="16.5" customHeight="1" s="304"/>
    <row r="3823" ht="16.5" customHeight="1" s="304"/>
    <row r="3824" ht="16.5" customHeight="1" s="304"/>
    <row r="3825" ht="16.5" customHeight="1" s="304"/>
    <row r="3826" ht="16.5" customHeight="1" s="304"/>
    <row r="3827" ht="16.5" customHeight="1" s="304"/>
    <row r="3828" ht="16.5" customHeight="1" s="304"/>
    <row r="3829" ht="16.5" customHeight="1" s="304"/>
    <row r="3830" ht="16.5" customHeight="1" s="304"/>
    <row r="3831" ht="16.5" customHeight="1" s="304"/>
    <row r="3832" ht="16.5" customHeight="1" s="304"/>
    <row r="3833" ht="16.5" customHeight="1" s="304"/>
    <row r="3834" ht="16.5" customHeight="1" s="304"/>
    <row r="3835" ht="16.5" customHeight="1" s="304"/>
    <row r="3836" ht="16.5" customHeight="1" s="304"/>
    <row r="3837" ht="16.5" customHeight="1" s="304"/>
    <row r="3838" ht="16.5" customHeight="1" s="304"/>
    <row r="3839" ht="16.5" customHeight="1" s="304"/>
    <row r="3840" ht="16.5" customHeight="1" s="304"/>
    <row r="3841" ht="16.5" customHeight="1" s="304"/>
    <row r="3842" ht="16.5" customHeight="1" s="304"/>
    <row r="3843" ht="16.5" customHeight="1" s="304"/>
    <row r="3844" ht="16.5" customHeight="1" s="304"/>
    <row r="3845" ht="16.5" customHeight="1" s="304"/>
    <row r="3846" ht="16.5" customHeight="1" s="304"/>
    <row r="3847" ht="16.5" customHeight="1" s="304"/>
    <row r="3848" ht="16.5" customHeight="1" s="304"/>
    <row r="3849" ht="16.5" customHeight="1" s="304"/>
    <row r="3850" ht="16.5" customHeight="1" s="304"/>
    <row r="3851" ht="16.5" customHeight="1" s="304"/>
    <row r="3852" ht="16.5" customHeight="1" s="304"/>
    <row r="3853" ht="16.5" customHeight="1" s="304"/>
    <row r="3854" ht="16.5" customHeight="1" s="304"/>
    <row r="3855" ht="16.5" customHeight="1" s="304"/>
    <row r="3856" ht="16.5" customHeight="1" s="304"/>
    <row r="3857" ht="16.5" customHeight="1" s="304"/>
    <row r="3858" ht="16.5" customHeight="1" s="304"/>
    <row r="3859" ht="16.5" customHeight="1" s="304"/>
    <row r="3860" ht="16.5" customHeight="1" s="304"/>
    <row r="3861" ht="16.5" customHeight="1" s="304"/>
    <row r="3862" ht="16.5" customHeight="1" s="304"/>
    <row r="3863" ht="16.5" customHeight="1" s="304"/>
    <row r="3864" ht="16.5" customHeight="1" s="304"/>
    <row r="3865" ht="16.5" customHeight="1" s="304"/>
    <row r="3866" ht="16.5" customHeight="1" s="304"/>
    <row r="3867" ht="16.5" customHeight="1" s="304"/>
    <row r="3868" ht="16.5" customHeight="1" s="304"/>
    <row r="3869" ht="16.5" customHeight="1" s="304"/>
    <row r="3870" ht="16.5" customHeight="1" s="304"/>
    <row r="3871" ht="16.5" customHeight="1" s="304"/>
    <row r="3872" ht="16.5" customHeight="1" s="304"/>
    <row r="3873" ht="16.5" customHeight="1" s="304"/>
    <row r="3874" ht="16.5" customHeight="1" s="304"/>
    <row r="3875" ht="16.5" customHeight="1" s="304"/>
    <row r="3876" ht="16.5" customHeight="1" s="304"/>
    <row r="3877" ht="16.5" customHeight="1" s="304"/>
    <row r="3878" ht="16.5" customHeight="1" s="304"/>
    <row r="3879" ht="16.5" customHeight="1" s="304"/>
    <row r="3880" ht="16.5" customHeight="1" s="304"/>
    <row r="3881" ht="16.5" customHeight="1" s="304"/>
    <row r="3882" ht="16.5" customHeight="1" s="304"/>
    <row r="3883" ht="16.5" customHeight="1" s="304"/>
    <row r="3884" ht="16.5" customHeight="1" s="304"/>
    <row r="3885" ht="16.5" customHeight="1" s="304"/>
    <row r="3886" ht="16.5" customHeight="1" s="304"/>
    <row r="3887" ht="16.5" customHeight="1" s="304"/>
    <row r="3888" ht="16.5" customHeight="1" s="304"/>
    <row r="3889" ht="16.5" customHeight="1" s="304"/>
    <row r="3890" ht="16.5" customHeight="1" s="304"/>
    <row r="3891" ht="16.5" customHeight="1" s="304"/>
    <row r="3892" ht="16.5" customHeight="1" s="304"/>
    <row r="3893" ht="16.5" customHeight="1" s="304"/>
    <row r="3894" ht="16.5" customHeight="1" s="304"/>
    <row r="3895" ht="16.5" customHeight="1" s="304"/>
    <row r="3896" ht="16.5" customHeight="1" s="304"/>
    <row r="3897" ht="16.5" customHeight="1" s="304"/>
    <row r="3898" ht="16.5" customHeight="1" s="304"/>
    <row r="3899" ht="16.5" customHeight="1" s="304"/>
    <row r="3900" ht="16.5" customHeight="1" s="304"/>
    <row r="3901" ht="16.5" customHeight="1" s="304"/>
    <row r="3902" ht="16.5" customHeight="1" s="304"/>
    <row r="3903" ht="16.5" customHeight="1" s="304"/>
    <row r="3904" ht="16.5" customHeight="1" s="304"/>
    <row r="3905" ht="16.5" customHeight="1" s="304"/>
    <row r="3906" ht="16.5" customHeight="1" s="304"/>
    <row r="3907" ht="16.5" customHeight="1" s="304"/>
    <row r="3908" ht="16.5" customHeight="1" s="304"/>
    <row r="3909" ht="16.5" customHeight="1" s="304"/>
    <row r="3910" ht="16.5" customHeight="1" s="304"/>
    <row r="3911" ht="16.5" customHeight="1" s="304"/>
    <row r="3912" ht="16.5" customHeight="1" s="304"/>
    <row r="3913" ht="16.5" customHeight="1" s="304"/>
    <row r="3914" ht="16.5" customHeight="1" s="304"/>
    <row r="3915" ht="16.5" customHeight="1" s="304"/>
    <row r="3916" ht="16.5" customHeight="1" s="304"/>
    <row r="3917" ht="16.5" customHeight="1" s="304"/>
    <row r="3918" ht="16.5" customHeight="1" s="304"/>
    <row r="3919" ht="16.5" customHeight="1" s="304"/>
    <row r="3920" ht="16.5" customHeight="1" s="304"/>
    <row r="3921" ht="16.5" customHeight="1" s="304"/>
    <row r="3922" ht="16.5" customHeight="1" s="304"/>
    <row r="3923" ht="16.5" customHeight="1" s="304"/>
    <row r="3924" ht="16.5" customHeight="1" s="304"/>
    <row r="3925" ht="16.5" customHeight="1" s="304"/>
    <row r="3926" ht="16.5" customHeight="1" s="304"/>
    <row r="3927" ht="16.5" customHeight="1" s="304"/>
    <row r="3928" ht="16.5" customHeight="1" s="304"/>
    <row r="3929" ht="16.5" customHeight="1" s="304"/>
    <row r="3930" ht="16.5" customHeight="1" s="304"/>
    <row r="3931" ht="16.5" customHeight="1" s="304"/>
    <row r="3932" ht="16.5" customHeight="1" s="304"/>
    <row r="3933" ht="16.5" customHeight="1" s="304"/>
    <row r="3934" ht="16.5" customHeight="1" s="304"/>
    <row r="3935" ht="16.5" customHeight="1" s="304"/>
    <row r="3936" ht="16.5" customHeight="1" s="304"/>
    <row r="3937" ht="16.5" customHeight="1" s="304"/>
    <row r="3938" ht="16.5" customHeight="1" s="304"/>
    <row r="3939" ht="16.5" customHeight="1" s="304"/>
    <row r="3940" ht="16.5" customHeight="1" s="304"/>
    <row r="3941" ht="16.5" customHeight="1" s="304"/>
    <row r="3942" ht="16.5" customHeight="1" s="304"/>
    <row r="3943" ht="16.5" customHeight="1" s="304"/>
    <row r="3944" ht="16.5" customHeight="1" s="304"/>
    <row r="3945" ht="16.5" customHeight="1" s="304"/>
    <row r="3946" ht="16.5" customHeight="1" s="304"/>
    <row r="3947" ht="16.5" customHeight="1" s="304"/>
    <row r="3948" ht="16.5" customHeight="1" s="304"/>
    <row r="3949" ht="16.5" customHeight="1" s="304"/>
    <row r="3950" ht="16.5" customHeight="1" s="304"/>
    <row r="3951" ht="16.5" customHeight="1" s="304"/>
    <row r="3952" ht="16.5" customHeight="1" s="304"/>
    <row r="3953" ht="16.5" customHeight="1" s="304"/>
    <row r="3954" ht="16.5" customHeight="1" s="304"/>
    <row r="3955" ht="16.5" customHeight="1" s="304"/>
    <row r="3956" ht="16.5" customHeight="1" s="304"/>
    <row r="3957" ht="16.5" customHeight="1" s="304"/>
    <row r="3958" ht="16.5" customHeight="1" s="304"/>
    <row r="3959" ht="16.5" customHeight="1" s="304"/>
    <row r="3960" ht="16.5" customHeight="1" s="304"/>
    <row r="3961" ht="16.5" customHeight="1" s="304"/>
    <row r="3962" ht="16.5" customHeight="1" s="304"/>
    <row r="3963" ht="16.5" customHeight="1" s="304"/>
    <row r="3964" ht="16.5" customHeight="1" s="304"/>
    <row r="3965" ht="16.5" customHeight="1" s="304"/>
    <row r="3966" ht="16.5" customHeight="1" s="304"/>
    <row r="3967" ht="16.5" customHeight="1" s="304"/>
    <row r="3968" ht="16.5" customHeight="1" s="304"/>
    <row r="3969" ht="16.5" customHeight="1" s="304"/>
    <row r="3970" ht="16.5" customHeight="1" s="304"/>
    <row r="3971" ht="16.5" customHeight="1" s="304"/>
    <row r="3972" ht="16.5" customHeight="1" s="304"/>
    <row r="3973" ht="16.5" customHeight="1" s="304"/>
    <row r="3974" ht="16.5" customHeight="1" s="304"/>
    <row r="3975" ht="16.5" customHeight="1" s="304"/>
    <row r="3976" ht="16.5" customHeight="1" s="304"/>
    <row r="3977" ht="16.5" customHeight="1" s="304"/>
    <row r="3978" ht="16.5" customHeight="1" s="304"/>
    <row r="3979" ht="16.5" customHeight="1" s="304"/>
    <row r="3980" ht="16.5" customHeight="1" s="304"/>
    <row r="3981" ht="16.5" customHeight="1" s="304"/>
    <row r="3982" ht="16.5" customHeight="1" s="304"/>
    <row r="3983" ht="16.5" customHeight="1" s="304"/>
    <row r="3984" ht="16.5" customHeight="1" s="304"/>
    <row r="3985" ht="16.5" customHeight="1" s="304"/>
    <row r="3986" ht="16.5" customHeight="1" s="304"/>
    <row r="3987" ht="16.5" customHeight="1" s="304"/>
    <row r="3988" ht="16.5" customHeight="1" s="304"/>
    <row r="3989" ht="16.5" customHeight="1" s="304"/>
    <row r="3990" ht="16.5" customHeight="1" s="304"/>
    <row r="3991" ht="16.5" customHeight="1" s="304"/>
    <row r="3992" ht="16.5" customHeight="1" s="304"/>
    <row r="3993" ht="16.5" customHeight="1" s="304"/>
    <row r="3994" ht="16.5" customHeight="1" s="304"/>
    <row r="3995" ht="16.5" customHeight="1" s="304"/>
    <row r="3996" ht="16.5" customHeight="1" s="304"/>
    <row r="3997" ht="16.5" customHeight="1" s="304"/>
    <row r="3998" ht="16.5" customHeight="1" s="304"/>
    <row r="3999" ht="16.5" customHeight="1" s="304"/>
    <row r="4000" ht="16.5" customHeight="1" s="304"/>
    <row r="4001" ht="16.5" customHeight="1" s="304"/>
    <row r="4002" ht="16.5" customHeight="1" s="304"/>
    <row r="4003" ht="16.5" customHeight="1" s="304"/>
    <row r="4004" ht="16.5" customHeight="1" s="304"/>
    <row r="4005" ht="16.5" customHeight="1" s="304"/>
    <row r="4006" ht="16.5" customHeight="1" s="304"/>
    <row r="4007" ht="16.5" customHeight="1" s="304"/>
    <row r="4008" ht="16.5" customHeight="1" s="304"/>
    <row r="4009" ht="16.5" customHeight="1" s="304"/>
    <row r="4010" ht="16.5" customHeight="1" s="304"/>
    <row r="4011" ht="16.5" customHeight="1" s="304"/>
    <row r="4012" ht="16.5" customHeight="1" s="304"/>
    <row r="4013" ht="16.5" customHeight="1" s="304"/>
    <row r="4014" ht="16.5" customHeight="1" s="304"/>
    <row r="4015" ht="16.5" customHeight="1" s="304"/>
    <row r="4016" ht="16.5" customHeight="1" s="304"/>
    <row r="4017" ht="16.5" customHeight="1" s="304"/>
    <row r="4018" ht="16.5" customHeight="1" s="304"/>
    <row r="4019" ht="16.5" customHeight="1" s="304"/>
    <row r="4020" ht="16.5" customHeight="1" s="304"/>
    <row r="4021" ht="16.5" customHeight="1" s="304"/>
    <row r="4022" ht="16.5" customHeight="1" s="304"/>
    <row r="4023" ht="16.5" customHeight="1" s="304"/>
    <row r="4024" ht="16.5" customHeight="1" s="304"/>
    <row r="4025" ht="16.5" customHeight="1" s="304"/>
    <row r="4026" ht="16.5" customHeight="1" s="304"/>
    <row r="4027" ht="16.5" customHeight="1" s="304"/>
    <row r="4028" ht="16.5" customHeight="1" s="304"/>
    <row r="4029" ht="16.5" customHeight="1" s="304"/>
    <row r="4030" ht="16.5" customHeight="1" s="304"/>
    <row r="4031" ht="16.5" customHeight="1" s="304"/>
    <row r="4032" ht="16.5" customHeight="1" s="304"/>
    <row r="4033" ht="16.5" customHeight="1" s="304"/>
    <row r="4034" ht="16.5" customHeight="1" s="304"/>
    <row r="4035" ht="16.5" customHeight="1" s="304"/>
    <row r="4036" ht="16.5" customHeight="1" s="304"/>
    <row r="4037" ht="16.5" customHeight="1" s="304"/>
    <row r="4038" ht="16.5" customHeight="1" s="304"/>
    <row r="4039" ht="16.5" customHeight="1" s="304"/>
    <row r="4040" ht="16.5" customHeight="1" s="304"/>
    <row r="4041" ht="16.5" customHeight="1" s="304"/>
    <row r="4042" ht="16.5" customHeight="1" s="304"/>
    <row r="4043" ht="16.5" customHeight="1" s="304"/>
    <row r="4044" ht="16.5" customHeight="1" s="304"/>
    <row r="4045" ht="16.5" customHeight="1" s="304"/>
    <row r="4046" ht="16.5" customHeight="1" s="304"/>
    <row r="4047" ht="16.5" customHeight="1" s="304"/>
    <row r="4048" ht="16.5" customHeight="1" s="304"/>
    <row r="4049" ht="16.5" customHeight="1" s="304"/>
    <row r="4050" ht="16.5" customHeight="1" s="304"/>
    <row r="4051" ht="16.5" customHeight="1" s="304"/>
    <row r="4052" ht="16.5" customHeight="1" s="304"/>
    <row r="4053" ht="16.5" customHeight="1" s="304"/>
    <row r="4054" ht="16.5" customHeight="1" s="304"/>
    <row r="4055" ht="16.5" customHeight="1" s="304"/>
    <row r="4056" ht="16.5" customHeight="1" s="304"/>
    <row r="4057" ht="16.5" customHeight="1" s="304"/>
    <row r="4058" ht="16.5" customHeight="1" s="304"/>
    <row r="4059" ht="16.5" customHeight="1" s="304"/>
    <row r="4060" ht="16.5" customHeight="1" s="304"/>
    <row r="4061" ht="16.5" customHeight="1" s="304"/>
    <row r="4062" ht="16.5" customHeight="1" s="304"/>
    <row r="4063" ht="16.5" customHeight="1" s="304"/>
    <row r="4064" ht="16.5" customHeight="1" s="304"/>
    <row r="4065" ht="16.5" customHeight="1" s="304"/>
    <row r="4066" ht="16.5" customHeight="1" s="304"/>
    <row r="4067" ht="16.5" customHeight="1" s="304"/>
    <row r="4068" ht="16.5" customHeight="1" s="304"/>
    <row r="4069" ht="16.5" customHeight="1" s="304"/>
    <row r="4070" ht="16.5" customHeight="1" s="304"/>
    <row r="4071" ht="16.5" customHeight="1" s="304"/>
    <row r="4072" ht="16.5" customHeight="1" s="304"/>
    <row r="4073" ht="16.5" customHeight="1" s="304"/>
    <row r="4074" ht="16.5" customHeight="1" s="304"/>
    <row r="4075" ht="16.5" customHeight="1" s="304"/>
    <row r="4076" ht="16.5" customHeight="1" s="304"/>
    <row r="4077" ht="16.5" customHeight="1" s="304"/>
    <row r="4078" ht="16.5" customHeight="1" s="304"/>
    <row r="4079" ht="16.5" customHeight="1" s="304"/>
    <row r="4080" ht="16.5" customHeight="1" s="304"/>
    <row r="4081" ht="16.5" customHeight="1" s="304"/>
    <row r="4082" ht="16.5" customHeight="1" s="304"/>
    <row r="4083" ht="16.5" customHeight="1" s="304"/>
    <row r="4084" ht="16.5" customHeight="1" s="304"/>
    <row r="4085" ht="16.5" customHeight="1" s="304"/>
    <row r="4086" ht="16.5" customHeight="1" s="304"/>
    <row r="4087" ht="16.5" customHeight="1" s="304"/>
    <row r="4088" ht="16.5" customHeight="1" s="304"/>
    <row r="4089" ht="16.5" customHeight="1" s="304"/>
    <row r="4090" ht="16.5" customHeight="1" s="304"/>
    <row r="4091" ht="16.5" customHeight="1" s="304"/>
    <row r="4092" ht="16.5" customHeight="1" s="304"/>
    <row r="4093" ht="16.5" customHeight="1" s="304"/>
    <row r="4094" ht="16.5" customHeight="1" s="304"/>
    <row r="4095" ht="16.5" customHeight="1" s="304"/>
    <row r="4096" ht="16.5" customHeight="1" s="304"/>
    <row r="4097" ht="16.5" customHeight="1" s="304"/>
    <row r="4098" ht="16.5" customHeight="1" s="304"/>
    <row r="4099" ht="16.5" customHeight="1" s="304"/>
    <row r="4100" ht="16.5" customHeight="1" s="304"/>
    <row r="4101" ht="16.5" customHeight="1" s="304"/>
    <row r="4102" ht="16.5" customHeight="1" s="304"/>
    <row r="4103" ht="16.5" customHeight="1" s="304"/>
    <row r="4104" ht="16.5" customHeight="1" s="304"/>
    <row r="4105" ht="16.5" customHeight="1" s="304"/>
    <row r="4106" ht="16.5" customHeight="1" s="304"/>
    <row r="4107" ht="16.5" customHeight="1" s="304"/>
    <row r="4108" ht="16.5" customHeight="1" s="304"/>
    <row r="4109" ht="16.5" customHeight="1" s="304"/>
    <row r="4110" ht="16.5" customHeight="1" s="304"/>
    <row r="4111" ht="16.5" customHeight="1" s="304"/>
    <row r="4112" ht="16.5" customHeight="1" s="304"/>
    <row r="4113" ht="16.5" customHeight="1" s="304"/>
    <row r="4114" ht="16.5" customHeight="1" s="304"/>
    <row r="4115" ht="16.5" customHeight="1" s="304"/>
    <row r="4116" ht="16.5" customHeight="1" s="304"/>
    <row r="4117" ht="16.5" customHeight="1" s="304"/>
    <row r="4118" ht="16.5" customHeight="1" s="304"/>
    <row r="4119" ht="16.5" customHeight="1" s="304"/>
    <row r="4120" ht="16.5" customHeight="1" s="304"/>
    <row r="4121" ht="16.5" customHeight="1" s="304"/>
    <row r="4122" ht="16.5" customHeight="1" s="304"/>
    <row r="4123" ht="16.5" customHeight="1" s="304"/>
    <row r="4124" ht="16.5" customHeight="1" s="304"/>
    <row r="4125" ht="16.5" customHeight="1" s="304"/>
    <row r="4126" ht="16.5" customHeight="1" s="304"/>
    <row r="4127" ht="16.5" customHeight="1" s="304"/>
    <row r="4128" ht="16.5" customHeight="1" s="304"/>
    <row r="4129" ht="16.5" customHeight="1" s="304"/>
    <row r="4130" ht="16.5" customHeight="1" s="304"/>
    <row r="4131" ht="16.5" customHeight="1" s="304"/>
    <row r="4132" ht="16.5" customHeight="1" s="304"/>
    <row r="4133" ht="16.5" customHeight="1" s="304"/>
    <row r="4134" ht="16.5" customHeight="1" s="304"/>
    <row r="4135" ht="16.5" customHeight="1" s="304"/>
    <row r="4136" ht="16.5" customHeight="1" s="304"/>
    <row r="4137" ht="16.5" customHeight="1" s="304"/>
    <row r="4138" ht="16.5" customHeight="1" s="304"/>
    <row r="4139" ht="16.5" customHeight="1" s="304"/>
    <row r="4140" ht="16.5" customHeight="1" s="304"/>
    <row r="4141" ht="16.5" customHeight="1" s="304"/>
    <row r="4142" ht="16.5" customHeight="1" s="304"/>
    <row r="4143" ht="16.5" customHeight="1" s="304"/>
    <row r="4144" ht="16.5" customHeight="1" s="304"/>
    <row r="4145" ht="16.5" customHeight="1" s="304"/>
    <row r="4146" ht="16.5" customHeight="1" s="304"/>
    <row r="4147" ht="16.5" customHeight="1" s="304"/>
    <row r="4148" ht="16.5" customHeight="1" s="304"/>
    <row r="4149" ht="16.5" customHeight="1" s="304"/>
    <row r="4150" ht="16.5" customHeight="1" s="304"/>
    <row r="4151" ht="16.5" customHeight="1" s="304"/>
    <row r="4152" ht="16.5" customHeight="1" s="304"/>
    <row r="4153" ht="16.5" customHeight="1" s="304"/>
    <row r="4154" ht="16.5" customHeight="1" s="304"/>
    <row r="4155" ht="16.5" customHeight="1" s="304"/>
    <row r="4156" ht="16.5" customHeight="1" s="304"/>
    <row r="4157" ht="16.5" customHeight="1" s="304"/>
    <row r="4158" ht="16.5" customHeight="1" s="304"/>
    <row r="4159" ht="16.5" customHeight="1" s="304"/>
    <row r="4160" ht="16.5" customHeight="1" s="304"/>
    <row r="4161" ht="16.5" customHeight="1" s="304"/>
    <row r="4162" ht="16.5" customHeight="1" s="304"/>
    <row r="4163" ht="16.5" customHeight="1" s="304"/>
    <row r="4164" ht="16.5" customHeight="1" s="304"/>
    <row r="4165" ht="16.5" customHeight="1" s="304"/>
    <row r="4166" ht="16.5" customHeight="1" s="304"/>
    <row r="4167" ht="16.5" customHeight="1" s="304"/>
    <row r="4168" ht="16.5" customHeight="1" s="304"/>
    <row r="4169" ht="16.5" customHeight="1" s="304"/>
    <row r="4170" ht="16.5" customHeight="1" s="304"/>
    <row r="4171" ht="16.5" customHeight="1" s="304"/>
    <row r="4172" ht="16.5" customHeight="1" s="304"/>
    <row r="4173" ht="16.5" customHeight="1" s="304"/>
    <row r="4174" ht="16.5" customHeight="1" s="304"/>
    <row r="4175" ht="16.5" customHeight="1" s="304"/>
    <row r="4176" ht="16.5" customHeight="1" s="304"/>
    <row r="4177" ht="16.5" customHeight="1" s="304"/>
    <row r="4178" ht="16.5" customHeight="1" s="304"/>
    <row r="4179" ht="16.5" customHeight="1" s="304"/>
    <row r="4180" ht="16.5" customHeight="1" s="304"/>
    <row r="4181" ht="16.5" customHeight="1" s="304"/>
    <row r="4182" ht="16.5" customHeight="1" s="304"/>
    <row r="4183" ht="16.5" customHeight="1" s="304"/>
    <row r="4184" ht="16.5" customHeight="1" s="304"/>
    <row r="4185" ht="16.5" customHeight="1" s="304"/>
    <row r="4186" ht="16.5" customHeight="1" s="304"/>
    <row r="4187" ht="16.5" customHeight="1" s="304"/>
    <row r="4188" ht="16.5" customHeight="1" s="304"/>
    <row r="4189" ht="16.5" customHeight="1" s="304"/>
    <row r="4190" ht="16.5" customHeight="1" s="304"/>
    <row r="4191" ht="16.5" customHeight="1" s="304"/>
    <row r="4192" ht="16.5" customHeight="1" s="304"/>
    <row r="4193" ht="16.5" customHeight="1" s="304"/>
    <row r="4194" ht="16.5" customHeight="1" s="304"/>
    <row r="4195" ht="16.5" customHeight="1" s="304"/>
    <row r="4196" ht="16.5" customHeight="1" s="304"/>
    <row r="4197" ht="16.5" customHeight="1" s="304"/>
    <row r="4198" ht="16.5" customHeight="1" s="304"/>
    <row r="4199" ht="16.5" customHeight="1" s="304"/>
    <row r="4200" ht="16.5" customHeight="1" s="304"/>
    <row r="4201" ht="16.5" customHeight="1" s="304"/>
    <row r="4202" ht="16.5" customHeight="1" s="304"/>
    <row r="4203" ht="16.5" customHeight="1" s="304"/>
    <row r="4204" ht="16.5" customHeight="1" s="304"/>
    <row r="4205" ht="16.5" customHeight="1" s="304"/>
    <row r="4206" ht="16.5" customHeight="1" s="304"/>
    <row r="4207" ht="16.5" customHeight="1" s="304"/>
    <row r="4208" ht="16.5" customHeight="1" s="304"/>
    <row r="4209" ht="16.5" customHeight="1" s="304"/>
    <row r="4210" ht="16.5" customHeight="1" s="304"/>
    <row r="4211" ht="16.5" customHeight="1" s="304"/>
    <row r="4212" ht="16.5" customHeight="1" s="304"/>
    <row r="4213" ht="16.5" customHeight="1" s="304"/>
    <row r="4214" ht="16.5" customHeight="1" s="304"/>
    <row r="4215" ht="16.5" customHeight="1" s="304"/>
    <row r="4216" ht="16.5" customHeight="1" s="304"/>
    <row r="4217" ht="16.5" customHeight="1" s="304"/>
    <row r="4218" ht="16.5" customHeight="1" s="304"/>
    <row r="4219" ht="16.5" customHeight="1" s="304"/>
    <row r="4220" ht="16.5" customHeight="1" s="304"/>
    <row r="4221" ht="16.5" customHeight="1" s="304"/>
    <row r="4222" ht="16.5" customHeight="1" s="304"/>
    <row r="4223" ht="16.5" customHeight="1" s="304"/>
    <row r="4224" ht="16.5" customHeight="1" s="304"/>
    <row r="4225" ht="16.5" customHeight="1" s="304"/>
    <row r="4226" ht="16.5" customHeight="1" s="304"/>
    <row r="4227" ht="16.5" customHeight="1" s="304"/>
    <row r="4228" ht="16.5" customHeight="1" s="304"/>
    <row r="4229" ht="16.5" customHeight="1" s="304"/>
    <row r="4230" ht="16.5" customHeight="1" s="304"/>
    <row r="4231" ht="16.5" customHeight="1" s="304"/>
    <row r="4232" ht="16.5" customHeight="1" s="304"/>
    <row r="4233" ht="16.5" customHeight="1" s="304"/>
    <row r="4234" ht="16.5" customHeight="1" s="304"/>
    <row r="4235" ht="16.5" customHeight="1" s="304"/>
    <row r="4236" ht="16.5" customHeight="1" s="304"/>
    <row r="4237" ht="16.5" customHeight="1" s="304"/>
    <row r="4238" ht="16.5" customHeight="1" s="304"/>
    <row r="4239" ht="16.5" customHeight="1" s="304"/>
    <row r="4240" ht="16.5" customHeight="1" s="304"/>
    <row r="4241" ht="16.5" customHeight="1" s="304"/>
    <row r="4242" ht="16.5" customHeight="1" s="304"/>
    <row r="4243" ht="16.5" customHeight="1" s="304"/>
    <row r="4244" ht="16.5" customHeight="1" s="304"/>
    <row r="4245" ht="16.5" customHeight="1" s="304"/>
    <row r="4246" ht="16.5" customHeight="1" s="304"/>
    <row r="4247" ht="16.5" customHeight="1" s="304"/>
    <row r="4248" ht="16.5" customHeight="1" s="304"/>
    <row r="4249" ht="16.5" customHeight="1" s="304"/>
    <row r="1045490" ht="12.75" customHeight="1" s="304"/>
    <row r="1045491" ht="12.75" customHeight="1" s="304"/>
    <row r="1045492" ht="12.75" customHeight="1" s="304"/>
    <row r="1045493" ht="12.75" customHeight="1" s="304"/>
    <row r="1045494" ht="12.75" customHeight="1" s="304"/>
    <row r="1045495" ht="12.75" customHeight="1" s="304"/>
    <row r="1045496" ht="12.75" customHeight="1" s="304"/>
    <row r="1045497" ht="12.75" customHeight="1" s="304"/>
    <row r="1045498" ht="12.75" customHeight="1" s="304"/>
    <row r="1045499" ht="12.75" customHeight="1" s="304"/>
    <row r="1045500" ht="12.75" customHeight="1" s="304"/>
    <row r="1045501" ht="12.75" customHeight="1" s="304"/>
    <row r="1045502" ht="12.75" customHeight="1" s="304"/>
    <row r="1045503" ht="12.75" customHeight="1" s="304"/>
    <row r="1045504" ht="12.75" customHeight="1" s="304"/>
    <row r="1045505" ht="12.75" customHeight="1" s="304"/>
    <row r="1045506" ht="12.75" customHeight="1" s="304"/>
    <row r="1045507" ht="12.75" customHeight="1" s="304"/>
    <row r="1045508" ht="12.75" customHeight="1" s="304"/>
    <row r="1045509" ht="12.75" customHeight="1" s="304"/>
    <row r="1045510" ht="12.75" customHeight="1" s="304"/>
    <row r="1045511" ht="12.75" customHeight="1" s="304"/>
    <row r="1045512" ht="12.75" customHeight="1" s="304"/>
    <row r="1045513" ht="12.75" customHeight="1" s="304"/>
    <row r="1045514" ht="12.75" customHeight="1" s="304"/>
    <row r="1045515" ht="12.75" customHeight="1" s="304"/>
    <row r="1045516" ht="12.75" customHeight="1" s="304"/>
    <row r="1045517" ht="12.75" customHeight="1" s="304"/>
    <row r="1045518" ht="12.75" customHeight="1" s="304"/>
    <row r="1045519" ht="12.75" customHeight="1" s="304"/>
    <row r="1045520" ht="12.75" customHeight="1" s="304"/>
    <row r="1045521" ht="12.75" customHeight="1" s="304"/>
    <row r="1045522" ht="12.75" customHeight="1" s="304"/>
    <row r="1045523" ht="12.75" customHeight="1" s="304"/>
    <row r="1045524" ht="12.75" customHeight="1" s="304"/>
    <row r="1045525" ht="12.75" customHeight="1" s="304"/>
    <row r="1045526" ht="12.75" customHeight="1" s="304"/>
    <row r="1045527" ht="12.75" customHeight="1" s="304"/>
    <row r="1045528" ht="12.75" customHeight="1" s="304"/>
    <row r="1045529" ht="12.75" customHeight="1" s="304"/>
    <row r="1045530" ht="12.75" customHeight="1" s="304"/>
    <row r="1045531" ht="12.75" customHeight="1" s="304"/>
    <row r="1045532" ht="12.75" customHeight="1" s="304"/>
    <row r="1045533" ht="12.75" customHeight="1" s="304"/>
    <row r="1045534" ht="12.75" customHeight="1" s="304"/>
    <row r="1045535" ht="12.75" customHeight="1" s="304"/>
    <row r="1045536" ht="12.75" customHeight="1" s="304"/>
    <row r="1045537" ht="12.75" customHeight="1" s="304"/>
    <row r="1045538" ht="12.75" customHeight="1" s="304"/>
    <row r="1045539" ht="12.75" customHeight="1" s="304"/>
    <row r="1045540" ht="12.75" customHeight="1" s="304"/>
    <row r="1045541" ht="12.75" customHeight="1" s="304"/>
    <row r="1045542" ht="12.75" customHeight="1" s="304"/>
    <row r="1045543" ht="12.75" customHeight="1" s="304"/>
    <row r="1045544" ht="12.75" customHeight="1" s="304"/>
    <row r="1045545" ht="12.75" customHeight="1" s="304"/>
    <row r="1045546" ht="12.75" customHeight="1" s="304"/>
    <row r="1045547" ht="12.75" customHeight="1" s="304"/>
    <row r="1045548" ht="12.75" customHeight="1" s="304"/>
    <row r="1045549" ht="12.75" customHeight="1" s="304"/>
    <row r="1045550" ht="12.75" customHeight="1" s="304"/>
    <row r="1045551" ht="12.75" customHeight="1" s="304"/>
    <row r="1045552" ht="12.75" customHeight="1" s="304"/>
    <row r="1045553" ht="12.75" customHeight="1" s="304"/>
    <row r="1045554" ht="12.75" customHeight="1" s="304"/>
    <row r="1045555" ht="12.75" customHeight="1" s="304"/>
    <row r="1045556" ht="12.75" customHeight="1" s="304"/>
    <row r="1045557" ht="12.75" customHeight="1" s="304"/>
    <row r="1045558" ht="12.75" customHeight="1" s="304"/>
    <row r="1045559" ht="12.75" customHeight="1" s="304"/>
    <row r="1045560" ht="12.75" customHeight="1" s="304"/>
    <row r="1045561" ht="12.75" customHeight="1" s="304"/>
    <row r="1045562" ht="12.75" customHeight="1" s="304"/>
    <row r="1045563" ht="12.75" customHeight="1" s="304"/>
    <row r="1045564" ht="12.75" customHeight="1" s="304"/>
    <row r="1045565" ht="12.75" customHeight="1" s="304"/>
    <row r="1045566" ht="12.75" customHeight="1" s="304"/>
    <row r="1045567" ht="12.75" customHeight="1" s="304"/>
    <row r="1045568" ht="12.75" customHeight="1" s="304"/>
    <row r="1045569" ht="12.75" customHeight="1" s="304"/>
    <row r="1045570" ht="12.75" customHeight="1" s="304"/>
    <row r="1045571" ht="12.75" customHeight="1" s="304"/>
    <row r="1045572" ht="12.75" customHeight="1" s="304"/>
    <row r="1045573" ht="12.75" customHeight="1" s="304"/>
    <row r="1045574" ht="12.75" customHeight="1" s="304"/>
    <row r="1045575" ht="12.75" customHeight="1" s="304"/>
    <row r="1045576" ht="12.75" customHeight="1" s="304"/>
    <row r="1045577" ht="12.75" customHeight="1" s="304"/>
    <row r="1045578" ht="12.75" customHeight="1" s="304"/>
    <row r="1045579" ht="12.75" customHeight="1" s="304"/>
    <row r="1045580" ht="12.75" customHeight="1" s="304"/>
    <row r="1045581" ht="12.75" customHeight="1" s="304"/>
    <row r="1045582" ht="12.75" customHeight="1" s="304"/>
    <row r="1045583" ht="12.75" customHeight="1" s="304"/>
    <row r="1045584" ht="12.75" customHeight="1" s="304"/>
    <row r="1045585" ht="12.75" customHeight="1" s="304"/>
    <row r="1045586" ht="12.75" customHeight="1" s="304"/>
    <row r="1045587" ht="12.75" customHeight="1" s="304"/>
    <row r="1045588" ht="12.75" customHeight="1" s="304"/>
    <row r="1045589" ht="12.75" customHeight="1" s="304"/>
    <row r="1045590" ht="12.75" customHeight="1" s="304"/>
    <row r="1045591" ht="12.75" customHeight="1" s="304"/>
    <row r="1045592" ht="12.75" customHeight="1" s="304"/>
    <row r="1045593" ht="12.75" customHeight="1" s="304"/>
    <row r="1045594" ht="12.75" customHeight="1" s="304"/>
    <row r="1045595" ht="12.75" customHeight="1" s="304"/>
    <row r="1045596" ht="12.75" customHeight="1" s="304"/>
    <row r="1045597" ht="12.75" customHeight="1" s="304"/>
    <row r="1045598" ht="12.75" customHeight="1" s="304"/>
    <row r="1045599" ht="12.75" customHeight="1" s="304"/>
    <row r="1045600" ht="12.75" customHeight="1" s="304"/>
    <row r="1045601" ht="12.75" customHeight="1" s="304"/>
    <row r="1045602" ht="12.75" customHeight="1" s="304"/>
    <row r="1045603" ht="12.75" customHeight="1" s="304"/>
    <row r="1045604" ht="12.75" customHeight="1" s="304"/>
    <row r="1045605" ht="12.75" customHeight="1" s="304"/>
    <row r="1045606" ht="12.75" customHeight="1" s="304"/>
    <row r="1045607" ht="12.75" customHeight="1" s="304"/>
    <row r="1045608" ht="12.75" customHeight="1" s="304"/>
    <row r="1045609" ht="12.75" customHeight="1" s="304"/>
    <row r="1045610" ht="12.75" customHeight="1" s="304"/>
    <row r="1045611" ht="12.75" customHeight="1" s="304"/>
    <row r="1045612" ht="12.75" customHeight="1" s="304"/>
    <row r="1045613" ht="12.75" customHeight="1" s="304"/>
    <row r="1045614" ht="12.75" customHeight="1" s="304"/>
    <row r="1045615" ht="12.75" customHeight="1" s="304"/>
    <row r="1045616" ht="12.75" customHeight="1" s="304"/>
    <row r="1045617" ht="12.75" customHeight="1" s="304"/>
    <row r="1045618" ht="12.75" customHeight="1" s="304"/>
    <row r="1045619" ht="12.75" customHeight="1" s="304"/>
    <row r="1045620" ht="12.75" customHeight="1" s="304"/>
    <row r="1045621" ht="12.75" customHeight="1" s="304"/>
    <row r="1045622" ht="12.75" customHeight="1" s="304"/>
    <row r="1045623" ht="12.75" customHeight="1" s="304"/>
    <row r="1045624" ht="12.75" customHeight="1" s="304"/>
    <row r="1045625" ht="12.75" customHeight="1" s="304"/>
    <row r="1045626" ht="12.75" customHeight="1" s="304"/>
    <row r="1045627" ht="12.75" customHeight="1" s="304"/>
    <row r="1045628" ht="12.75" customHeight="1" s="304"/>
    <row r="1045629" ht="12.75" customHeight="1" s="304"/>
    <row r="1045630" ht="12.75" customHeight="1" s="304"/>
    <row r="1045631" ht="12.75" customHeight="1" s="304"/>
    <row r="1045632" ht="12.75" customHeight="1" s="304"/>
    <row r="1045633" ht="12.75" customHeight="1" s="304"/>
    <row r="1045634" ht="12.75" customHeight="1" s="304"/>
    <row r="1045635" ht="12.75" customHeight="1" s="304"/>
    <row r="1045636" ht="12.75" customHeight="1" s="304"/>
    <row r="1045637" ht="12.75" customHeight="1" s="304"/>
    <row r="1045638" ht="12.75" customHeight="1" s="304"/>
    <row r="1045639" ht="12.75" customHeight="1" s="304"/>
    <row r="1045640" ht="12.75" customHeight="1" s="304"/>
    <row r="1045641" ht="12.75" customHeight="1" s="304"/>
    <row r="1045642" ht="12.75" customHeight="1" s="304"/>
    <row r="1045643" ht="12.75" customHeight="1" s="304"/>
    <row r="1045644" ht="12.75" customHeight="1" s="304"/>
    <row r="1045645" ht="12.75" customHeight="1" s="304"/>
    <row r="1045646" ht="12.75" customHeight="1" s="304"/>
    <row r="1045647" ht="12.75" customHeight="1" s="304"/>
    <row r="1045648" ht="12.75" customHeight="1" s="304"/>
    <row r="1045649" ht="12.75" customHeight="1" s="304"/>
    <row r="1045650" ht="12.75" customHeight="1" s="304"/>
    <row r="1045651" ht="12.75" customHeight="1" s="304"/>
    <row r="1045652" ht="12.75" customHeight="1" s="304"/>
    <row r="1045653" ht="12.75" customHeight="1" s="304"/>
    <row r="1045654" ht="12.75" customHeight="1" s="304"/>
    <row r="1045655" ht="12.75" customHeight="1" s="304"/>
    <row r="1045656" ht="12.75" customHeight="1" s="304"/>
    <row r="1045657" ht="12.75" customHeight="1" s="304"/>
    <row r="1045658" ht="12.75" customHeight="1" s="304"/>
    <row r="1045659" ht="12.75" customHeight="1" s="304"/>
    <row r="1045660" ht="12.75" customHeight="1" s="304"/>
    <row r="1045661" ht="12.75" customHeight="1" s="304"/>
    <row r="1045662" ht="12.75" customHeight="1" s="304"/>
    <row r="1045663" ht="12.75" customHeight="1" s="304"/>
    <row r="1045664" ht="12.75" customHeight="1" s="304"/>
    <row r="1045665" ht="12.75" customHeight="1" s="304"/>
    <row r="1045666" ht="12.75" customHeight="1" s="304"/>
    <row r="1045667" ht="12.75" customHeight="1" s="304"/>
    <row r="1045668" ht="12.75" customHeight="1" s="304"/>
    <row r="1045669" ht="12.75" customHeight="1" s="304"/>
    <row r="1045670" ht="12.75" customHeight="1" s="304"/>
    <row r="1045671" ht="12.75" customHeight="1" s="304"/>
    <row r="1045672" ht="12.75" customHeight="1" s="304"/>
    <row r="1045673" ht="12.75" customHeight="1" s="304"/>
    <row r="1045674" ht="12.75" customHeight="1" s="304"/>
    <row r="1045675" ht="12.75" customHeight="1" s="304"/>
    <row r="1045676" ht="12.75" customHeight="1" s="304"/>
    <row r="1045677" ht="12.75" customHeight="1" s="304"/>
    <row r="1045678" ht="12.75" customHeight="1" s="304"/>
    <row r="1045679" ht="12.75" customHeight="1" s="304"/>
    <row r="1045680" ht="12.75" customHeight="1" s="304"/>
    <row r="1045681" ht="12.75" customHeight="1" s="304"/>
    <row r="1045682" ht="12.75" customHeight="1" s="304"/>
    <row r="1045683" ht="12.75" customHeight="1" s="304"/>
    <row r="1045684" ht="12.75" customHeight="1" s="304"/>
    <row r="1045685" ht="12.75" customHeight="1" s="304"/>
    <row r="1045686" ht="12.75" customHeight="1" s="304"/>
    <row r="1045687" ht="12.75" customHeight="1" s="304"/>
    <row r="1045688" ht="12.75" customHeight="1" s="304"/>
    <row r="1045689" ht="12.75" customHeight="1" s="304"/>
    <row r="1045690" ht="12.75" customHeight="1" s="304"/>
    <row r="1045691" ht="12.75" customHeight="1" s="304"/>
    <row r="1045692" ht="12.75" customHeight="1" s="304"/>
    <row r="1045693" ht="12.75" customHeight="1" s="304"/>
    <row r="1045694" ht="12.75" customHeight="1" s="304"/>
    <row r="1045695" ht="12.75" customHeight="1" s="304"/>
    <row r="1045696" ht="12.75" customHeight="1" s="304"/>
    <row r="1045697" ht="12.75" customHeight="1" s="304"/>
    <row r="1045698" ht="12.75" customHeight="1" s="304"/>
    <row r="1045699" ht="12.75" customHeight="1" s="304"/>
    <row r="1045700" ht="12.75" customHeight="1" s="304"/>
    <row r="1045701" ht="12.75" customHeight="1" s="304"/>
    <row r="1045702" ht="12.75" customHeight="1" s="304"/>
    <row r="1045703" ht="12.75" customHeight="1" s="304"/>
    <row r="1045704" ht="12.75" customHeight="1" s="304"/>
    <row r="1045705" ht="12.75" customHeight="1" s="304"/>
    <row r="1045706" ht="12.75" customHeight="1" s="304"/>
    <row r="1045707" ht="12.75" customHeight="1" s="304"/>
    <row r="1045708" ht="12.75" customHeight="1" s="304"/>
    <row r="1045709" ht="12.75" customHeight="1" s="304"/>
    <row r="1045710" ht="12.75" customHeight="1" s="304"/>
    <row r="1045711" ht="12.75" customHeight="1" s="304"/>
    <row r="1045712" ht="12.75" customHeight="1" s="304"/>
    <row r="1045713" ht="12.75" customHeight="1" s="304"/>
    <row r="1045714" ht="12.75" customHeight="1" s="304"/>
    <row r="1045715" ht="12.75" customHeight="1" s="304"/>
    <row r="1045716" ht="12.75" customHeight="1" s="304"/>
    <row r="1045717" ht="12.75" customHeight="1" s="304"/>
    <row r="1045718" ht="12.75" customHeight="1" s="304"/>
    <row r="1045719" ht="12.75" customHeight="1" s="304"/>
    <row r="1045720" ht="12.75" customHeight="1" s="304"/>
    <row r="1045721" ht="12.75" customHeight="1" s="304"/>
    <row r="1045722" ht="12.75" customHeight="1" s="304"/>
    <row r="1045723" ht="12.75" customHeight="1" s="304"/>
    <row r="1045724" ht="12.75" customHeight="1" s="304"/>
    <row r="1045725" ht="12.75" customHeight="1" s="304"/>
    <row r="1045726" ht="12.75" customHeight="1" s="304"/>
    <row r="1045727" ht="12.75" customHeight="1" s="304"/>
    <row r="1045728" ht="12.75" customHeight="1" s="304"/>
    <row r="1045729" ht="12.75" customHeight="1" s="304"/>
    <row r="1045730" ht="12.75" customHeight="1" s="304"/>
    <row r="1045731" ht="12.75" customHeight="1" s="304"/>
    <row r="1045732" ht="12.75" customHeight="1" s="304"/>
    <row r="1045733" ht="12.75" customHeight="1" s="304"/>
    <row r="1045734" ht="12.75" customHeight="1" s="304"/>
    <row r="1045735" ht="12.75" customHeight="1" s="304"/>
    <row r="1045736" ht="12.75" customHeight="1" s="304"/>
    <row r="1045737" ht="12.75" customHeight="1" s="304"/>
    <row r="1045738" ht="12.75" customHeight="1" s="304"/>
    <row r="1045739" ht="12.75" customHeight="1" s="304"/>
    <row r="1045740" ht="12.75" customHeight="1" s="304"/>
    <row r="1045741" ht="12.75" customHeight="1" s="304"/>
    <row r="1045742" ht="12.75" customHeight="1" s="304"/>
    <row r="1045743" ht="12.75" customHeight="1" s="304"/>
    <row r="1045744" ht="12.75" customHeight="1" s="304"/>
    <row r="1045745" ht="12.75" customHeight="1" s="304"/>
    <row r="1045746" ht="12.75" customHeight="1" s="304"/>
    <row r="1045747" ht="12.75" customHeight="1" s="304"/>
    <row r="1045748" ht="12.75" customHeight="1" s="304"/>
    <row r="1045749" ht="12.75" customHeight="1" s="304"/>
    <row r="1045750" ht="12.75" customHeight="1" s="304"/>
    <row r="1045751" ht="12.75" customHeight="1" s="304"/>
    <row r="1045752" ht="12.75" customHeight="1" s="304"/>
    <row r="1045753" ht="12.75" customHeight="1" s="304"/>
    <row r="1045754" ht="12.75" customHeight="1" s="304"/>
    <row r="1045755" ht="12.75" customHeight="1" s="304"/>
    <row r="1045756" ht="12.75" customHeight="1" s="304"/>
    <row r="1045757" ht="12.75" customHeight="1" s="304"/>
    <row r="1045758" ht="12.75" customHeight="1" s="304"/>
    <row r="1045759" ht="12.75" customHeight="1" s="304"/>
    <row r="1045760" ht="12.75" customHeight="1" s="304"/>
    <row r="1045761" ht="12.75" customHeight="1" s="304"/>
    <row r="1045762" ht="12.75" customHeight="1" s="304"/>
    <row r="1045763" ht="12.75" customHeight="1" s="304"/>
    <row r="1045764" ht="12.75" customHeight="1" s="304"/>
    <row r="1045765" ht="12.75" customHeight="1" s="304"/>
    <row r="1045766" ht="12.75" customHeight="1" s="304"/>
    <row r="1045767" ht="12.75" customHeight="1" s="304"/>
    <row r="1045768" ht="12.75" customHeight="1" s="304"/>
    <row r="1045769" ht="12.75" customHeight="1" s="304"/>
    <row r="1045770" ht="12.75" customHeight="1" s="304"/>
    <row r="1045771" ht="12.75" customHeight="1" s="304"/>
    <row r="1045772" ht="12.75" customHeight="1" s="304"/>
    <row r="1045773" ht="12.75" customHeight="1" s="304"/>
    <row r="1045774" ht="12.75" customHeight="1" s="304"/>
    <row r="1045775" ht="12.75" customHeight="1" s="304"/>
    <row r="1045776" ht="12.75" customHeight="1" s="304"/>
    <row r="1045777" ht="12.75" customHeight="1" s="304"/>
    <row r="1045778" ht="12.75" customHeight="1" s="304"/>
    <row r="1045779" ht="12.75" customHeight="1" s="304"/>
    <row r="1045780" ht="12.75" customHeight="1" s="304"/>
    <row r="1045781" ht="12.75" customHeight="1" s="304"/>
    <row r="1045782" ht="12.75" customHeight="1" s="304"/>
    <row r="1045783" ht="12.75" customHeight="1" s="304"/>
    <row r="1045784" ht="12.75" customHeight="1" s="304"/>
    <row r="1045785" ht="12.75" customHeight="1" s="304"/>
    <row r="1045786" ht="12.75" customHeight="1" s="304"/>
    <row r="1045787" ht="12.75" customHeight="1" s="304"/>
    <row r="1045788" ht="12.75" customHeight="1" s="304"/>
    <row r="1045789" ht="12.75" customHeight="1" s="304"/>
    <row r="1045790" ht="12.75" customHeight="1" s="304"/>
    <row r="1045791" ht="12.75" customHeight="1" s="304"/>
    <row r="1045792" ht="12.75" customHeight="1" s="304"/>
    <row r="1045793" ht="12.75" customHeight="1" s="304"/>
    <row r="1045794" ht="12.75" customHeight="1" s="304"/>
    <row r="1045795" ht="12.75" customHeight="1" s="304"/>
    <row r="1045796" ht="12.75" customHeight="1" s="304"/>
    <row r="1045797" ht="12.75" customHeight="1" s="304"/>
    <row r="1045798" ht="12.75" customHeight="1" s="304"/>
    <row r="1045799" ht="12.75" customHeight="1" s="304"/>
    <row r="1045800" ht="12.75" customHeight="1" s="304"/>
    <row r="1045801" ht="12.75" customHeight="1" s="304"/>
    <row r="1045802" ht="12.75" customHeight="1" s="304"/>
    <row r="1045803" ht="12.75" customHeight="1" s="304"/>
    <row r="1045804" ht="12.75" customHeight="1" s="304"/>
    <row r="1045805" ht="12.75" customHeight="1" s="304"/>
    <row r="1045806" ht="12.75" customHeight="1" s="304"/>
    <row r="1045807" ht="12.75" customHeight="1" s="304"/>
    <row r="1045808" ht="12.75" customHeight="1" s="304"/>
    <row r="1045809" ht="12.75" customHeight="1" s="304"/>
    <row r="1045810" ht="12.75" customHeight="1" s="304"/>
    <row r="1045811" ht="12.75" customHeight="1" s="304"/>
    <row r="1045812" ht="12.75" customHeight="1" s="304"/>
    <row r="1045813" ht="12.75" customHeight="1" s="304"/>
    <row r="1045814" ht="12.75" customHeight="1" s="304"/>
    <row r="1045815" ht="12.75" customHeight="1" s="304"/>
    <row r="1045816" ht="12.75" customHeight="1" s="304"/>
    <row r="1045817" ht="12.75" customHeight="1" s="304"/>
    <row r="1045818" ht="12.75" customHeight="1" s="304"/>
    <row r="1045819" ht="12.75" customHeight="1" s="304"/>
    <row r="1045820" ht="12.75" customHeight="1" s="304"/>
    <row r="1045821" ht="12.75" customHeight="1" s="304"/>
    <row r="1045822" ht="12.75" customHeight="1" s="304"/>
    <row r="1045823" ht="12.75" customHeight="1" s="304"/>
    <row r="1045824" ht="12.75" customHeight="1" s="304"/>
    <row r="1045825" ht="12.75" customHeight="1" s="304"/>
    <row r="1045826" ht="12.75" customHeight="1" s="304"/>
    <row r="1045827" ht="12.75" customHeight="1" s="304"/>
    <row r="1045828" ht="12.75" customHeight="1" s="304"/>
    <row r="1045829" ht="12.75" customHeight="1" s="304"/>
    <row r="1045830" ht="12.75" customHeight="1" s="304"/>
    <row r="1045831" ht="12.75" customHeight="1" s="304"/>
    <row r="1045832" ht="12.75" customHeight="1" s="304"/>
    <row r="1045833" ht="12.75" customHeight="1" s="304"/>
    <row r="1045834" ht="12.75" customHeight="1" s="304"/>
    <row r="1045835" ht="12.75" customHeight="1" s="304"/>
    <row r="1045836" ht="12.75" customHeight="1" s="304"/>
    <row r="1045837" ht="12.75" customHeight="1" s="304"/>
    <row r="1045838" ht="12.75" customHeight="1" s="304"/>
    <row r="1045839" ht="12.75" customHeight="1" s="304"/>
    <row r="1045840" ht="12.75" customHeight="1" s="304"/>
    <row r="1045841" ht="12.75" customHeight="1" s="304"/>
    <row r="1045842" ht="12.75" customHeight="1" s="304"/>
    <row r="1045843" ht="12.75" customHeight="1" s="304"/>
    <row r="1045844" ht="12.75" customHeight="1" s="304"/>
    <row r="1045845" ht="12.75" customHeight="1" s="304"/>
    <row r="1045846" ht="12.75" customHeight="1" s="304"/>
    <row r="1045847" ht="12.75" customHeight="1" s="304"/>
    <row r="1045848" ht="12.75" customHeight="1" s="304"/>
    <row r="1045849" ht="12.75" customHeight="1" s="304"/>
    <row r="1045850" ht="12.75" customHeight="1" s="304"/>
    <row r="1045851" ht="12.75" customHeight="1" s="304"/>
    <row r="1045852" ht="12.75" customHeight="1" s="304"/>
    <row r="1045853" ht="12.8" customHeight="1" s="304"/>
    <row r="1045854" ht="12.8" customHeight="1" s="304"/>
    <row r="1045855" ht="12.8" customHeight="1" s="304"/>
    <row r="1045856" ht="12.8" customHeight="1" s="304"/>
    <row r="1045857" ht="12.8" customHeight="1" s="304"/>
    <row r="1045858" ht="12.8" customHeight="1" s="304"/>
    <row r="1045859" ht="12.8" customHeight="1" s="304"/>
    <row r="1045860" ht="12.8" customHeight="1" s="304"/>
    <row r="1045861" ht="12.8" customHeight="1" s="304"/>
    <row r="1045862" ht="12.8" customHeight="1" s="304"/>
    <row r="1045863" ht="12.8" customHeight="1" s="304"/>
    <row r="1045864" ht="12.8" customHeight="1" s="304"/>
    <row r="1045865" ht="12.8" customHeight="1" s="304"/>
    <row r="1045866" ht="12.8" customHeight="1" s="304"/>
    <row r="1045867" ht="12.8" customHeight="1" s="304"/>
    <row r="1045868" ht="12.8" customHeight="1" s="304"/>
    <row r="1045869" ht="12.8" customHeight="1" s="304"/>
    <row r="1045870" ht="12.8" customHeight="1" s="304"/>
    <row r="1045871" ht="12.8" customHeight="1" s="304"/>
    <row r="1045872" ht="12.8" customHeight="1" s="304"/>
    <row r="1045873" ht="12.8" customHeight="1" s="304"/>
    <row r="1045874" ht="12.8" customHeight="1" s="304"/>
    <row r="1045875" ht="12.8" customHeight="1" s="304"/>
    <row r="1045876" ht="12.8" customHeight="1" s="304"/>
    <row r="1045877" ht="12.8" customHeight="1" s="304"/>
    <row r="1045878" ht="12.8" customHeight="1" s="304"/>
    <row r="1045879" ht="12.8" customHeight="1" s="304"/>
    <row r="1045880" ht="12.8" customHeight="1" s="304"/>
    <row r="1045881" ht="12.8" customHeight="1" s="304"/>
    <row r="1045882" ht="12.8" customHeight="1" s="304"/>
    <row r="1045883" ht="12.8" customHeight="1" s="304"/>
    <row r="1045884" ht="12.8" customHeight="1" s="304"/>
    <row r="1045885" ht="12.8" customHeight="1" s="304"/>
    <row r="1045886" ht="12.8" customHeight="1" s="304"/>
    <row r="1045887" ht="12.8" customHeight="1" s="304"/>
    <row r="1045888" ht="12.8" customHeight="1" s="304"/>
    <row r="1045889" ht="12.8" customHeight="1" s="304"/>
    <row r="1045890" ht="12.8" customHeight="1" s="304"/>
    <row r="1045891" ht="12.8" customHeight="1" s="304"/>
    <row r="1045892" ht="12.8" customHeight="1" s="304"/>
    <row r="1045893" ht="12.8" customHeight="1" s="304"/>
    <row r="1045894" ht="12.8" customHeight="1" s="304"/>
    <row r="1045895" ht="12.8" customHeight="1" s="304"/>
    <row r="1045896" ht="12.8" customHeight="1" s="304"/>
    <row r="1045897" ht="12.8" customHeight="1" s="304"/>
    <row r="1045898" ht="12.8" customHeight="1" s="304"/>
    <row r="1045899" ht="12.8" customHeight="1" s="304"/>
    <row r="1045900" ht="12.8" customHeight="1" s="304"/>
    <row r="1045901" ht="12.8" customHeight="1" s="304"/>
    <row r="1045902" ht="12.8" customHeight="1" s="304"/>
    <row r="1045903" ht="12.8" customHeight="1" s="304"/>
    <row r="1045904" ht="12.8" customHeight="1" s="304"/>
    <row r="1045905" ht="12.8" customHeight="1" s="304"/>
    <row r="1045906" ht="12.8" customHeight="1" s="304"/>
    <row r="1045907" ht="12.8" customHeight="1" s="304"/>
    <row r="1045908" ht="12.8" customHeight="1" s="304"/>
    <row r="1045909" ht="12.8" customHeight="1" s="304"/>
    <row r="1045910" ht="12.8" customHeight="1" s="304"/>
    <row r="1045911" ht="12.8" customHeight="1" s="304"/>
    <row r="1045912" ht="12.8" customHeight="1" s="304"/>
    <row r="1045913" ht="12.8" customHeight="1" s="304"/>
    <row r="1045914" ht="12.8" customHeight="1" s="304"/>
    <row r="1045915" ht="12.8" customHeight="1" s="304"/>
    <row r="1045916" ht="12.8" customHeight="1" s="304"/>
    <row r="1045917" ht="12.8" customHeight="1" s="304"/>
    <row r="1045918" ht="12.8" customHeight="1" s="304"/>
    <row r="1045919" ht="12.8" customHeight="1" s="304"/>
    <row r="1045920" ht="12.8" customHeight="1" s="304"/>
    <row r="1045921" ht="12.8" customHeight="1" s="304"/>
    <row r="1045922" ht="12.8" customHeight="1" s="304"/>
    <row r="1045923" ht="12.8" customHeight="1" s="304"/>
    <row r="1045924" ht="12.8" customHeight="1" s="304"/>
    <row r="1045925" ht="12.8" customHeight="1" s="304"/>
    <row r="1045926" ht="12.8" customHeight="1" s="304"/>
    <row r="1045927" ht="12.8" customHeight="1" s="304"/>
    <row r="1045928" ht="12.8" customHeight="1" s="304"/>
    <row r="1045929" ht="12.8" customHeight="1" s="304"/>
    <row r="1045930" ht="12.8" customHeight="1" s="304"/>
    <row r="1045931" ht="12.8" customHeight="1" s="304"/>
    <row r="1045932" ht="12.8" customHeight="1" s="304"/>
    <row r="1045933" ht="12.8" customHeight="1" s="304"/>
    <row r="1045934" ht="12.8" customHeight="1" s="304"/>
    <row r="1045935" ht="12.8" customHeight="1" s="304"/>
    <row r="1045936" ht="12.8" customHeight="1" s="304"/>
    <row r="1045937" ht="12.8" customHeight="1" s="304"/>
    <row r="1045938" ht="12.8" customHeight="1" s="304"/>
    <row r="1045939" ht="12.8" customHeight="1" s="304"/>
    <row r="1045940" ht="12.8" customHeight="1" s="304"/>
    <row r="1045941" ht="12.8" customHeight="1" s="304"/>
    <row r="1045942" ht="12.8" customHeight="1" s="304"/>
    <row r="1045943" ht="12.8" customHeight="1" s="304"/>
    <row r="1045944" ht="12.8" customHeight="1" s="304"/>
    <row r="1045945" ht="12.8" customHeight="1" s="304"/>
    <row r="1045946" ht="12.8" customHeight="1" s="304"/>
    <row r="1045947" ht="12.8" customHeight="1" s="304"/>
    <row r="1045948" ht="12.8" customHeight="1" s="304"/>
    <row r="1045949" ht="12.8" customHeight="1" s="304"/>
    <row r="1045950" ht="12.8" customHeight="1" s="304"/>
    <row r="1045951" ht="12.8" customHeight="1" s="304"/>
    <row r="1045952" ht="12.8" customHeight="1" s="304"/>
    <row r="1045953" ht="12.8" customHeight="1" s="304"/>
    <row r="1045954" ht="12.8" customHeight="1" s="304"/>
    <row r="1045955" ht="12.8" customHeight="1" s="304"/>
    <row r="1045956" ht="12.8" customHeight="1" s="304"/>
    <row r="1045957" ht="12.8" customHeight="1" s="304"/>
    <row r="1045958" ht="12.8" customHeight="1" s="304"/>
    <row r="1045959" ht="12.8" customHeight="1" s="304"/>
    <row r="1045960" ht="12.8" customHeight="1" s="304"/>
    <row r="1045961" ht="12.8" customHeight="1" s="304"/>
    <row r="1045962" ht="12.8" customHeight="1" s="304"/>
    <row r="1045963" ht="12.8" customHeight="1" s="304"/>
    <row r="1045964" ht="12.8" customHeight="1" s="304"/>
    <row r="1045965" ht="12.8" customHeight="1" s="304"/>
    <row r="1045966" ht="12.8" customHeight="1" s="304"/>
    <row r="1045967" ht="12.8" customHeight="1" s="304"/>
    <row r="1045968" ht="12.8" customHeight="1" s="304"/>
    <row r="1045969" ht="12.8" customHeight="1" s="304"/>
    <row r="1045970" ht="12.8" customHeight="1" s="304"/>
    <row r="1045971" ht="12.8" customHeight="1" s="304"/>
    <row r="1045972" ht="12.8" customHeight="1" s="304"/>
    <row r="1045973" ht="12.8" customHeight="1" s="304"/>
    <row r="1045974" ht="12.8" customHeight="1" s="304"/>
    <row r="1045975" ht="12.8" customHeight="1" s="304"/>
    <row r="1045976" ht="12.8" customHeight="1" s="304"/>
    <row r="1045977" ht="12.8" customHeight="1" s="304"/>
    <row r="1045978" ht="12.8" customHeight="1" s="304"/>
    <row r="1045979" ht="12.8" customHeight="1" s="304"/>
    <row r="1045980" ht="12.8" customHeight="1" s="304"/>
    <row r="1045981" ht="12.8" customHeight="1" s="304"/>
    <row r="1045982" ht="12.8" customHeight="1" s="304"/>
    <row r="1045983" ht="12.8" customHeight="1" s="304"/>
    <row r="1045984" ht="12.8" customHeight="1" s="304"/>
    <row r="1045985" ht="12.8" customHeight="1" s="304"/>
    <row r="1045986" ht="12.8" customHeight="1" s="304"/>
    <row r="1045987" ht="12.8" customHeight="1" s="304"/>
    <row r="1045988" ht="12.8" customHeight="1" s="304"/>
    <row r="1045989" ht="12.8" customHeight="1" s="304"/>
    <row r="1045990" ht="12.8" customHeight="1" s="304"/>
    <row r="1045991" ht="12.8" customHeight="1" s="304"/>
    <row r="1045992" ht="12.8" customHeight="1" s="304"/>
    <row r="1045993" ht="12.8" customHeight="1" s="304"/>
    <row r="1045994" ht="12.8" customHeight="1" s="304"/>
    <row r="1045995" ht="12.8" customHeight="1" s="304"/>
    <row r="1045996" ht="12.8" customHeight="1" s="304"/>
    <row r="1045997" ht="12.8" customHeight="1" s="304"/>
    <row r="1045998" ht="12.8" customHeight="1" s="304"/>
    <row r="1045999" ht="12.8" customHeight="1" s="304"/>
    <row r="1046000" ht="12.8" customHeight="1" s="304"/>
    <row r="1046001" ht="12.8" customHeight="1" s="304"/>
    <row r="1046002" ht="12.8" customHeight="1" s="304"/>
    <row r="1046003" ht="12.8" customHeight="1" s="304"/>
    <row r="1046004" ht="12.8" customHeight="1" s="304"/>
    <row r="1046005" ht="12.8" customHeight="1" s="304"/>
    <row r="1046006" ht="12.8" customHeight="1" s="304"/>
    <row r="1046007" ht="12.8" customHeight="1" s="304"/>
    <row r="1046008" ht="12.8" customHeight="1" s="304"/>
    <row r="1046009" ht="12.8" customHeight="1" s="304"/>
    <row r="1046010" ht="12.8" customHeight="1" s="304"/>
    <row r="1046011" ht="12.8" customHeight="1" s="304"/>
    <row r="1046012" ht="12.8" customHeight="1" s="304"/>
    <row r="1046013" ht="12.8" customHeight="1" s="304"/>
    <row r="1046014" ht="12.8" customHeight="1" s="304"/>
    <row r="1046015" ht="12.8" customHeight="1" s="304"/>
    <row r="1046016" ht="12.8" customHeight="1" s="304"/>
    <row r="1046017" ht="12.8" customHeight="1" s="304"/>
    <row r="1046018" ht="12.8" customHeight="1" s="304"/>
    <row r="1046019" ht="12.8" customHeight="1" s="304"/>
    <row r="1046020" ht="12.8" customHeight="1" s="304"/>
    <row r="1046021" ht="12.8" customHeight="1" s="304"/>
    <row r="1046022" ht="12.8" customHeight="1" s="304"/>
    <row r="1046023" ht="12.8" customHeight="1" s="304"/>
    <row r="1046024" ht="12.8" customHeight="1" s="304"/>
    <row r="1046025" ht="12.8" customHeight="1" s="304"/>
    <row r="1046026" ht="12.8" customHeight="1" s="304"/>
    <row r="1046027" ht="12.8" customHeight="1" s="304"/>
    <row r="1046028" ht="12.8" customHeight="1" s="304"/>
    <row r="1046029" ht="12.8" customHeight="1" s="304"/>
    <row r="1046030" ht="12.8" customHeight="1" s="304"/>
    <row r="1046031" ht="12.8" customHeight="1" s="304"/>
    <row r="1046032" ht="12.8" customHeight="1" s="304"/>
    <row r="1046033" ht="12.8" customHeight="1" s="304"/>
    <row r="1046034" ht="12.8" customHeight="1" s="304"/>
    <row r="1046035" ht="12.8" customHeight="1" s="304"/>
    <row r="1046036" ht="12.8" customHeight="1" s="304"/>
    <row r="1046037" ht="12.8" customHeight="1" s="304"/>
    <row r="1046038" ht="12.8" customHeight="1" s="304"/>
    <row r="1046039" ht="12.8" customHeight="1" s="304"/>
    <row r="1046040" ht="12.8" customHeight="1" s="304"/>
    <row r="1046041" ht="12.8" customHeight="1" s="304"/>
    <row r="1046042" ht="12.8" customHeight="1" s="304"/>
    <row r="1046043" ht="12.8" customHeight="1" s="304"/>
    <row r="1046044" ht="12.8" customHeight="1" s="304"/>
    <row r="1046045" ht="12.8" customHeight="1" s="304"/>
    <row r="1046046" ht="12.8" customHeight="1" s="304"/>
    <row r="1046047" ht="12.8" customHeight="1" s="304"/>
    <row r="1046048" ht="12.8" customHeight="1" s="304"/>
    <row r="1046049" ht="12.8" customHeight="1" s="304"/>
    <row r="1046050" ht="12.8" customHeight="1" s="304"/>
    <row r="1046051" ht="12.8" customHeight="1" s="304"/>
    <row r="1046052" ht="12.8" customHeight="1" s="304"/>
    <row r="1046053" ht="12.8" customHeight="1" s="304"/>
    <row r="1046054" ht="12.8" customHeight="1" s="304"/>
    <row r="1046055" ht="12.8" customHeight="1" s="304"/>
    <row r="1046056" ht="12.8" customHeight="1" s="304"/>
    <row r="1046057" ht="12.8" customHeight="1" s="304"/>
    <row r="1046058" ht="12.8" customHeight="1" s="304"/>
    <row r="1046059" ht="12.8" customHeight="1" s="304"/>
    <row r="1046060" ht="12.8" customHeight="1" s="304"/>
    <row r="1046061" ht="12.8" customHeight="1" s="304"/>
    <row r="1046062" ht="12.8" customHeight="1" s="304"/>
    <row r="1046063" ht="12.8" customHeight="1" s="304"/>
    <row r="1046064" ht="12.8" customHeight="1" s="304"/>
    <row r="1046065" ht="12.8" customHeight="1" s="304"/>
    <row r="1046066" ht="12.8" customHeight="1" s="304"/>
    <row r="1046067" ht="12.8" customHeight="1" s="304"/>
    <row r="1046068" ht="12.8" customHeight="1" s="304"/>
    <row r="1046069" ht="12.8" customHeight="1" s="304"/>
    <row r="1046070" ht="12.8" customHeight="1" s="304"/>
    <row r="1046071" ht="12.8" customHeight="1" s="304"/>
    <row r="1046072" ht="12.8" customHeight="1" s="304"/>
    <row r="1046073" ht="12.8" customHeight="1" s="304"/>
    <row r="1046074" ht="12.8" customHeight="1" s="304"/>
    <row r="1046075" ht="12.8" customHeight="1" s="304"/>
    <row r="1046076" ht="12.8" customHeight="1" s="304"/>
    <row r="1046077" ht="12.8" customHeight="1" s="304"/>
    <row r="1046078" ht="12.8" customHeight="1" s="304"/>
    <row r="1046079" ht="12.8" customHeight="1" s="304"/>
    <row r="1046080" ht="12.8" customHeight="1" s="304"/>
    <row r="1046081" ht="12.8" customHeight="1" s="304"/>
    <row r="1046082" ht="12.8" customHeight="1" s="304"/>
    <row r="1046083" ht="12.8" customHeight="1" s="304"/>
    <row r="1046084" ht="12.8" customHeight="1" s="304"/>
    <row r="1046085" ht="12.8" customHeight="1" s="304"/>
    <row r="1046086" ht="12.8" customHeight="1" s="304"/>
    <row r="1046087" ht="12.8" customHeight="1" s="304"/>
    <row r="1046088" ht="12.8" customHeight="1" s="304"/>
    <row r="1046089" ht="12.8" customHeight="1" s="304"/>
    <row r="1046090" ht="12.8" customHeight="1" s="304"/>
    <row r="1046091" ht="12.8" customHeight="1" s="304"/>
    <row r="1046092" ht="12.8" customHeight="1" s="304"/>
    <row r="1046093" ht="12.8" customHeight="1" s="304"/>
    <row r="1046094" ht="12.8" customHeight="1" s="304"/>
    <row r="1046095" ht="12.8" customHeight="1" s="304"/>
    <row r="1046096" ht="12.8" customHeight="1" s="304"/>
    <row r="1046097" ht="12.8" customHeight="1" s="304"/>
    <row r="1046098" ht="12.8" customHeight="1" s="304"/>
    <row r="1046099" ht="12.8" customHeight="1" s="304"/>
    <row r="1046100" ht="12.8" customHeight="1" s="304"/>
    <row r="1046101" ht="12.8" customHeight="1" s="304"/>
    <row r="1046102" ht="12.8" customHeight="1" s="304"/>
    <row r="1046103" ht="12.8" customHeight="1" s="304"/>
    <row r="1046104" ht="12.8" customHeight="1" s="304"/>
    <row r="1046105" ht="12.8" customHeight="1" s="304"/>
    <row r="1046106" ht="12.8" customHeight="1" s="304"/>
    <row r="1046107" ht="12.8" customHeight="1" s="304"/>
    <row r="1046108" ht="12.8" customHeight="1" s="304"/>
    <row r="1046109" ht="12.8" customHeight="1" s="304"/>
    <row r="1046110" ht="12.8" customHeight="1" s="304"/>
    <row r="1046111" ht="12.8" customHeight="1" s="304"/>
    <row r="1046112" ht="12.8" customHeight="1" s="304"/>
    <row r="1046113" ht="12.8" customHeight="1" s="304"/>
    <row r="1046114" ht="12.8" customHeight="1" s="304"/>
    <row r="1046115" ht="12.8" customHeight="1" s="304"/>
    <row r="1046116" ht="12.8" customHeight="1" s="304"/>
    <row r="1046117" ht="12.8" customHeight="1" s="304"/>
    <row r="1046118" ht="12.8" customHeight="1" s="304"/>
    <row r="1046119" ht="12.8" customHeight="1" s="304"/>
    <row r="1046120" ht="12.8" customHeight="1" s="304"/>
    <row r="1046121" ht="12.8" customHeight="1" s="304"/>
    <row r="1046122" ht="12.8" customHeight="1" s="304"/>
    <row r="1046123" ht="12.8" customHeight="1" s="304"/>
    <row r="1046124" ht="12.8" customHeight="1" s="304"/>
    <row r="1046125" ht="12.8" customHeight="1" s="304"/>
    <row r="1046126" ht="12.8" customHeight="1" s="304"/>
    <row r="1046127" ht="12.8" customHeight="1" s="304"/>
    <row r="1046128" ht="12.8" customHeight="1" s="304"/>
    <row r="1046129" ht="12.8" customHeight="1" s="304"/>
    <row r="1046130" ht="12.8" customHeight="1" s="304"/>
    <row r="1046131" ht="12.8" customHeight="1" s="304"/>
    <row r="1046132" ht="12.8" customHeight="1" s="304"/>
    <row r="1046133" ht="12.8" customHeight="1" s="304"/>
    <row r="1046134" ht="12.8" customHeight="1" s="304"/>
    <row r="1046135" ht="12.8" customHeight="1" s="304"/>
    <row r="1046136" ht="12.8" customHeight="1" s="304"/>
    <row r="1046137" ht="12.8" customHeight="1" s="304"/>
    <row r="1046138" ht="12.8" customHeight="1" s="304"/>
    <row r="1046139" ht="12.8" customHeight="1" s="304"/>
    <row r="1046140" ht="12.8" customHeight="1" s="304"/>
    <row r="1046141" ht="12.8" customHeight="1" s="304"/>
    <row r="1046142" ht="12.8" customHeight="1" s="304"/>
    <row r="1046143" ht="12.8" customHeight="1" s="304"/>
    <row r="1046144" ht="12.8" customHeight="1" s="304"/>
    <row r="1046145" ht="12.8" customHeight="1" s="304"/>
    <row r="1046146" ht="12.8" customHeight="1" s="304"/>
    <row r="1046147" ht="12.8" customHeight="1" s="304"/>
    <row r="1046148" ht="12.8" customHeight="1" s="304"/>
    <row r="1046149" ht="12.8" customHeight="1" s="304"/>
    <row r="1046150" ht="12.8" customHeight="1" s="304"/>
    <row r="1046151" ht="12.8" customHeight="1" s="304"/>
    <row r="1046152" ht="12.8" customHeight="1" s="304"/>
    <row r="1046153" ht="12.8" customHeight="1" s="304"/>
    <row r="1046154" ht="12.8" customHeight="1" s="304"/>
    <row r="1046155" ht="12.8" customHeight="1" s="304"/>
    <row r="1046156" ht="12.8" customHeight="1" s="304"/>
    <row r="1046157" ht="12.8" customHeight="1" s="304"/>
    <row r="1046158" ht="12.8" customHeight="1" s="304"/>
    <row r="1046159" ht="12.8" customHeight="1" s="304"/>
    <row r="1046160" ht="12.8" customHeight="1" s="304"/>
    <row r="1046161" ht="12.8" customHeight="1" s="304"/>
    <row r="1046162" ht="12.8" customHeight="1" s="304"/>
    <row r="1046163" ht="12.8" customHeight="1" s="304"/>
    <row r="1046164" ht="12.8" customHeight="1" s="304"/>
    <row r="1046165" ht="12.8" customHeight="1" s="304"/>
    <row r="1046166" ht="12.8" customHeight="1" s="304"/>
    <row r="1046167" ht="12.8" customHeight="1" s="304"/>
    <row r="1046168" ht="12.8" customHeight="1" s="304"/>
    <row r="1046169" ht="12.8" customHeight="1" s="304"/>
    <row r="1046170" ht="12.8" customHeight="1" s="304"/>
    <row r="1046171" ht="12.8" customHeight="1" s="304"/>
    <row r="1046172" ht="12.8" customHeight="1" s="304"/>
    <row r="1046173" ht="12.8" customHeight="1" s="304"/>
    <row r="1046174" ht="12.8" customHeight="1" s="304"/>
    <row r="1046175" ht="12.8" customHeight="1" s="304"/>
    <row r="1046176" ht="12.8" customHeight="1" s="304"/>
    <row r="1046177" ht="12.8" customHeight="1" s="304"/>
    <row r="1046178" ht="12.8" customHeight="1" s="304"/>
    <row r="1046179" ht="12.8" customHeight="1" s="304"/>
    <row r="1046180" ht="12.8" customHeight="1" s="304"/>
    <row r="1046181" ht="12.8" customHeight="1" s="304"/>
    <row r="1046182" ht="12.8" customHeight="1" s="304"/>
    <row r="1046183" ht="12.8" customHeight="1" s="304"/>
    <row r="1046184" ht="12.8" customHeight="1" s="304"/>
    <row r="1046185" ht="12.8" customHeight="1" s="304"/>
    <row r="1046186" ht="12.8" customHeight="1" s="304"/>
    <row r="1046187" ht="12.8" customHeight="1" s="304"/>
    <row r="1046188" ht="12.8" customHeight="1" s="304"/>
    <row r="1046189" ht="12.8" customHeight="1" s="304"/>
    <row r="1046190" ht="12.8" customHeight="1" s="304"/>
    <row r="1046191" ht="12.8" customHeight="1" s="304"/>
    <row r="1046192" ht="12.8" customHeight="1" s="304"/>
    <row r="1046193" ht="12.8" customHeight="1" s="304"/>
    <row r="1046194" ht="12.8" customHeight="1" s="304"/>
    <row r="1046195" ht="12.8" customHeight="1" s="304"/>
    <row r="1046196" ht="12.8" customHeight="1" s="304"/>
    <row r="1046197" ht="12.8" customHeight="1" s="304"/>
    <row r="1046198" ht="12.8" customHeight="1" s="304"/>
    <row r="1046199" ht="12.8" customHeight="1" s="304"/>
    <row r="1046200" ht="12.8" customHeight="1" s="304"/>
    <row r="1046201" ht="12.8" customHeight="1" s="304"/>
    <row r="1046202" ht="12.8" customHeight="1" s="304"/>
    <row r="1046203" ht="12.8" customHeight="1" s="304"/>
    <row r="1046204" ht="12.8" customHeight="1" s="304"/>
    <row r="1046205" ht="12.8" customHeight="1" s="304"/>
    <row r="1046206" ht="12.8" customHeight="1" s="304"/>
    <row r="1046207" ht="12.8" customHeight="1" s="304"/>
    <row r="1046208" ht="12.8" customHeight="1" s="304"/>
    <row r="1046209" ht="12.8" customHeight="1" s="304"/>
    <row r="1046210" ht="12.8" customHeight="1" s="304"/>
    <row r="1046211" ht="12.8" customHeight="1" s="304"/>
    <row r="1046212" ht="12.8" customHeight="1" s="304"/>
    <row r="1046213" ht="12.8" customHeight="1" s="304"/>
    <row r="1046214" ht="12.8" customHeight="1" s="304"/>
    <row r="1046215" ht="12.8" customHeight="1" s="304"/>
    <row r="1046216" ht="12.8" customHeight="1" s="304"/>
    <row r="1046217" ht="12.8" customHeight="1" s="304"/>
    <row r="1046218" ht="12.8" customHeight="1" s="304"/>
    <row r="1046219" ht="12.8" customHeight="1" s="304"/>
    <row r="1046220" ht="12.8" customHeight="1" s="304"/>
    <row r="1046221" ht="12.8" customHeight="1" s="304"/>
    <row r="1046222" ht="12.8" customHeight="1" s="304"/>
    <row r="1046223" ht="12.8" customHeight="1" s="304"/>
    <row r="1046224" ht="12.8" customHeight="1" s="304"/>
    <row r="1046225" ht="12.8" customHeight="1" s="304"/>
    <row r="1046226" ht="12.8" customHeight="1" s="304"/>
    <row r="1046227" ht="12.8" customHeight="1" s="304"/>
    <row r="1046228" ht="12.8" customHeight="1" s="304"/>
    <row r="1046229" ht="12.8" customHeight="1" s="304"/>
    <row r="1046230" ht="12.8" customHeight="1" s="304"/>
    <row r="1046231" ht="12.8" customHeight="1" s="304"/>
    <row r="1046232" ht="12.8" customHeight="1" s="304"/>
    <row r="1046233" ht="12.8" customHeight="1" s="304"/>
    <row r="1046234" ht="12.8" customHeight="1" s="304"/>
    <row r="1046235" ht="12.8" customHeight="1" s="304"/>
    <row r="1046236" ht="12.8" customHeight="1" s="304"/>
    <row r="1046237" ht="12.8" customHeight="1" s="304"/>
    <row r="1046238" ht="12.8" customHeight="1" s="304"/>
    <row r="1046239" ht="12.8" customHeight="1" s="304"/>
    <row r="1046240" ht="12.8" customHeight="1" s="304"/>
    <row r="1046241" ht="12.8" customHeight="1" s="304"/>
    <row r="1046242" ht="12.8" customHeight="1" s="304"/>
    <row r="1046243" ht="12.8" customHeight="1" s="304"/>
    <row r="1046244" ht="12.8" customHeight="1" s="304"/>
    <row r="1046245" ht="12.8" customHeight="1" s="304"/>
    <row r="1046246" ht="12.8" customHeight="1" s="304"/>
    <row r="1046247" ht="12.8" customHeight="1" s="304"/>
    <row r="1046248" ht="12.8" customHeight="1" s="304"/>
    <row r="1046249" ht="12.8" customHeight="1" s="304"/>
    <row r="1046250" ht="12.8" customHeight="1" s="304"/>
    <row r="1046251" ht="12.8" customHeight="1" s="304"/>
    <row r="1046252" ht="12.8" customHeight="1" s="304"/>
    <row r="1046253" ht="12.8" customHeight="1" s="304"/>
    <row r="1046254" ht="12.8" customHeight="1" s="304"/>
    <row r="1046255" ht="12.8" customHeight="1" s="304"/>
    <row r="1046256" ht="12.8" customHeight="1" s="304"/>
    <row r="1046257" ht="12.8" customHeight="1" s="304"/>
    <row r="1046258" ht="12.8" customHeight="1" s="304"/>
    <row r="1046259" ht="12.8" customHeight="1" s="304"/>
    <row r="1046260" ht="12.8" customHeight="1" s="304"/>
    <row r="1046261" ht="12.8" customHeight="1" s="304"/>
    <row r="1046262" ht="12.8" customHeight="1" s="304"/>
    <row r="1046263" ht="12.8" customHeight="1" s="304"/>
    <row r="1046264" ht="12.8" customHeight="1" s="304"/>
    <row r="1046265" ht="12.8" customHeight="1" s="304"/>
    <row r="1046266" ht="12.8" customHeight="1" s="304"/>
    <row r="1046267" ht="12.8" customHeight="1" s="304"/>
    <row r="1046268" ht="12.8" customHeight="1" s="304"/>
    <row r="1046269" ht="12.8" customHeight="1" s="304"/>
    <row r="1046270" ht="12.8" customHeight="1" s="304"/>
    <row r="1046271" ht="12.8" customHeight="1" s="304"/>
    <row r="1046272" ht="12.8" customHeight="1" s="304"/>
    <row r="1046273" ht="12.8" customHeight="1" s="304"/>
    <row r="1046274" ht="12.8" customHeight="1" s="304"/>
    <row r="1046275" ht="12.8" customHeight="1" s="304"/>
    <row r="1046276" ht="12.8" customHeight="1" s="304"/>
    <row r="1046277" ht="12.8" customHeight="1" s="304"/>
    <row r="1046278" ht="12.8" customHeight="1" s="304"/>
    <row r="1046279" ht="12.8" customHeight="1" s="304"/>
    <row r="1046280" ht="12.8" customHeight="1" s="304"/>
    <row r="1046281" ht="12.8" customHeight="1" s="304"/>
    <row r="1046282" ht="12.8" customHeight="1" s="304"/>
    <row r="1046283" ht="12.8" customHeight="1" s="304"/>
    <row r="1046284" ht="12.8" customHeight="1" s="304"/>
    <row r="1046285" ht="12.8" customHeight="1" s="304"/>
    <row r="1046286" ht="12.8" customHeight="1" s="304"/>
    <row r="1046287" ht="12.8" customHeight="1" s="304"/>
    <row r="1046288" ht="12.8" customHeight="1" s="304"/>
    <row r="1046289" ht="12.8" customHeight="1" s="304"/>
    <row r="1046290" ht="12.8" customHeight="1" s="304"/>
    <row r="1046291" ht="12.8" customHeight="1" s="304"/>
    <row r="1046292" ht="12.8" customHeight="1" s="304"/>
    <row r="1046293" ht="12.8" customHeight="1" s="304"/>
    <row r="1046294" ht="12.8" customHeight="1" s="304"/>
    <row r="1046295" ht="12.8" customHeight="1" s="304"/>
    <row r="1046296" ht="12.8" customHeight="1" s="304"/>
    <row r="1046297" ht="12.8" customHeight="1" s="304"/>
    <row r="1046298" ht="12.8" customHeight="1" s="304"/>
    <row r="1046299" ht="12.8" customHeight="1" s="304"/>
    <row r="1046300" ht="12.8" customHeight="1" s="304"/>
    <row r="1046301" ht="12.8" customHeight="1" s="304"/>
    <row r="1046302" ht="12.8" customHeight="1" s="304"/>
    <row r="1046303" ht="12.8" customHeight="1" s="304"/>
    <row r="1046304" ht="12.8" customHeight="1" s="304"/>
    <row r="1046305" ht="12.8" customHeight="1" s="304"/>
    <row r="1046306" ht="12.8" customHeight="1" s="304"/>
    <row r="1046307" ht="12.8" customHeight="1" s="304"/>
    <row r="1046308" ht="12.8" customHeight="1" s="304"/>
    <row r="1046309" ht="12.8" customHeight="1" s="304"/>
    <row r="1046310" ht="12.8" customHeight="1" s="304"/>
    <row r="1046311" ht="12.8" customHeight="1" s="304"/>
    <row r="1046312" ht="12.8" customHeight="1" s="304"/>
    <row r="1046313" ht="12.8" customHeight="1" s="304"/>
    <row r="1046314" ht="12.8" customHeight="1" s="304"/>
    <row r="1046315" ht="12.8" customHeight="1" s="304"/>
    <row r="1046316" ht="12.8" customHeight="1" s="304"/>
    <row r="1046317" ht="12.8" customHeight="1" s="304"/>
    <row r="1046318" ht="12.8" customHeight="1" s="304"/>
    <row r="1046319" ht="12.8" customHeight="1" s="304"/>
    <row r="1046320" ht="12.8" customHeight="1" s="304"/>
    <row r="1046321" ht="12.8" customHeight="1" s="304"/>
    <row r="1046322" ht="12.8" customHeight="1" s="304"/>
    <row r="1046323" ht="12.8" customHeight="1" s="304"/>
    <row r="1046324" ht="12.8" customHeight="1" s="304"/>
    <row r="1046325" ht="12.8" customHeight="1" s="304"/>
    <row r="1046326" ht="12.8" customHeight="1" s="304"/>
    <row r="1046327" ht="12.8" customHeight="1" s="304"/>
    <row r="1046328" ht="12.8" customHeight="1" s="304"/>
    <row r="1046329" ht="12.8" customHeight="1" s="304"/>
    <row r="1046330" ht="12.8" customHeight="1" s="304"/>
    <row r="1046331" ht="12.8" customHeight="1" s="304"/>
    <row r="1046332" ht="12.8" customHeight="1" s="304"/>
    <row r="1046333" ht="12.8" customHeight="1" s="304"/>
    <row r="1046334" ht="12.8" customHeight="1" s="304"/>
    <row r="1046335" ht="12.8" customHeight="1" s="304"/>
    <row r="1046336" ht="12.8" customHeight="1" s="304"/>
    <row r="1046337" ht="12.8" customHeight="1" s="304"/>
    <row r="1046338" ht="12.8" customHeight="1" s="304"/>
    <row r="1046339" ht="12.8" customHeight="1" s="304"/>
    <row r="1046340" ht="12.8" customHeight="1" s="304"/>
    <row r="1046341" ht="12.8" customHeight="1" s="304"/>
    <row r="1046342" ht="12.8" customHeight="1" s="304"/>
    <row r="1046343" ht="12.8" customHeight="1" s="304"/>
    <row r="1046344" ht="12.8" customHeight="1" s="304"/>
    <row r="1046345" ht="12.8" customHeight="1" s="304"/>
    <row r="1046346" ht="12.8" customHeight="1" s="304"/>
    <row r="1046347" ht="12.8" customHeight="1" s="304"/>
    <row r="1046348" ht="12.8" customHeight="1" s="304"/>
    <row r="1046349" ht="12.8" customHeight="1" s="304"/>
    <row r="1046350" ht="12.8" customHeight="1" s="304"/>
    <row r="1046351" ht="12.8" customHeight="1" s="304"/>
    <row r="1046352" ht="12.8" customHeight="1" s="304"/>
    <row r="1046353" ht="12.8" customHeight="1" s="304"/>
    <row r="1046354" ht="12.8" customHeight="1" s="304"/>
    <row r="1046355" ht="12.8" customHeight="1" s="304"/>
    <row r="1046356" ht="12.8" customHeight="1" s="304"/>
    <row r="1046357" ht="12.8" customHeight="1" s="304"/>
    <row r="1046358" ht="12.8" customHeight="1" s="304"/>
    <row r="1046359" ht="12.8" customHeight="1" s="304"/>
    <row r="1046360" ht="12.8" customHeight="1" s="304"/>
    <row r="1046361" ht="12.8" customHeight="1" s="304"/>
    <row r="1046362" ht="12.8" customHeight="1" s="304"/>
    <row r="1046363" ht="12.8" customHeight="1" s="304"/>
    <row r="1046364" ht="12.8" customHeight="1" s="304"/>
    <row r="1046365" ht="12.8" customHeight="1" s="304"/>
    <row r="1046366" ht="12.8" customHeight="1" s="304"/>
    <row r="1046367" ht="12.8" customHeight="1" s="304"/>
    <row r="1046368" ht="12.8" customHeight="1" s="304"/>
    <row r="1046369" ht="12.8" customHeight="1" s="304"/>
    <row r="1046370" ht="12.8" customHeight="1" s="304"/>
    <row r="1046371" ht="12.8" customHeight="1" s="304"/>
    <row r="1046372" ht="12.8" customHeight="1" s="304"/>
    <row r="1046373" ht="12.8" customHeight="1" s="304"/>
    <row r="1046374" ht="12.8" customHeight="1" s="304"/>
    <row r="1046375" ht="12.8" customHeight="1" s="304"/>
    <row r="1046376" ht="12.8" customHeight="1" s="304"/>
    <row r="1046377" ht="12.8" customHeight="1" s="304"/>
    <row r="1046378" ht="12.8" customHeight="1" s="304"/>
    <row r="1046379" ht="12.8" customHeight="1" s="304"/>
    <row r="1046380" ht="12.8" customHeight="1" s="304"/>
    <row r="1046381" ht="12.8" customHeight="1" s="304"/>
    <row r="1046382" ht="12.8" customHeight="1" s="304"/>
    <row r="1046383" ht="12.8" customHeight="1" s="304"/>
    <row r="1046384" ht="12.8" customHeight="1" s="304"/>
    <row r="1046385" ht="12.8" customHeight="1" s="304"/>
    <row r="1046386" ht="12.8" customHeight="1" s="304"/>
    <row r="1046387" ht="12.8" customHeight="1" s="304"/>
    <row r="1046388" ht="12.8" customHeight="1" s="304"/>
    <row r="1046389" ht="12.8" customHeight="1" s="304"/>
    <row r="1046390" ht="12.8" customHeight="1" s="304"/>
    <row r="1046391" ht="12.8" customHeight="1" s="304"/>
    <row r="1046392" ht="12.8" customHeight="1" s="304"/>
    <row r="1046393" ht="12.8" customHeight="1" s="304"/>
    <row r="1046394" ht="12.8" customHeight="1" s="304"/>
    <row r="1046395" ht="12.8" customHeight="1" s="304"/>
    <row r="1046396" ht="12.8" customHeight="1" s="304"/>
    <row r="1046397" ht="12.8" customHeight="1" s="304"/>
    <row r="1046398" ht="12.8" customHeight="1" s="304"/>
    <row r="1046399" ht="12.8" customHeight="1" s="304"/>
    <row r="1046400" ht="12.8" customHeight="1" s="304"/>
    <row r="1046401" ht="12.8" customHeight="1" s="304"/>
    <row r="1046402" ht="12.8" customHeight="1" s="304"/>
    <row r="1046403" ht="12.8" customHeight="1" s="304"/>
    <row r="1046404" ht="12.8" customHeight="1" s="304"/>
    <row r="1046405" ht="12.8" customHeight="1" s="304"/>
    <row r="1046406" ht="12.8" customHeight="1" s="304"/>
    <row r="1046407" ht="12.8" customHeight="1" s="304"/>
    <row r="1046408" ht="12.8" customHeight="1" s="304"/>
    <row r="1046409" ht="12.8" customHeight="1" s="304"/>
    <row r="1046410" ht="12.8" customHeight="1" s="304"/>
    <row r="1046411" ht="12.8" customHeight="1" s="304"/>
    <row r="1046412" ht="12.8" customHeight="1" s="304"/>
    <row r="1046413" ht="12.8" customHeight="1" s="304"/>
    <row r="1046414" ht="12.8" customHeight="1" s="304"/>
    <row r="1046415" ht="12.8" customHeight="1" s="304"/>
    <row r="1046416" ht="12.8" customHeight="1" s="304"/>
    <row r="1046417" ht="12.8" customHeight="1" s="304"/>
    <row r="1046418" ht="12.8" customHeight="1" s="304"/>
    <row r="1046419" ht="12.8" customHeight="1" s="304"/>
    <row r="1046420" ht="12.8" customHeight="1" s="304"/>
    <row r="1046421" ht="12.8" customHeight="1" s="304"/>
    <row r="1046422" ht="12.8" customHeight="1" s="304"/>
    <row r="1046423" ht="12.8" customHeight="1" s="304"/>
    <row r="1046424" ht="12.8" customHeight="1" s="304"/>
    <row r="1046425" ht="12.8" customHeight="1" s="304"/>
    <row r="1046426" ht="12.8" customHeight="1" s="304"/>
    <row r="1046427" ht="12.8" customHeight="1" s="304"/>
    <row r="1046428" ht="12.8" customHeight="1" s="304"/>
    <row r="1046429" ht="12.8" customHeight="1" s="304"/>
    <row r="1046430" ht="12.8" customHeight="1" s="304"/>
    <row r="1046431" ht="12.8" customHeight="1" s="304"/>
    <row r="1046432" ht="12.8" customHeight="1" s="304"/>
    <row r="1046433" ht="12.8" customHeight="1" s="304"/>
    <row r="1046434" ht="12.8" customHeight="1" s="304"/>
    <row r="1046435" ht="12.8" customHeight="1" s="304"/>
    <row r="1046436" ht="12.8" customHeight="1" s="304"/>
    <row r="1046437" ht="12.8" customHeight="1" s="304"/>
    <row r="1046438" ht="12.8" customHeight="1" s="304"/>
    <row r="1046439" ht="12.8" customHeight="1" s="304"/>
    <row r="1046440" ht="12.8" customHeight="1" s="304"/>
    <row r="1046441" ht="12.8" customHeight="1" s="304"/>
    <row r="1046442" ht="12.8" customHeight="1" s="304"/>
    <row r="1046443" ht="12.8" customHeight="1" s="304"/>
    <row r="1046444" ht="12.8" customHeight="1" s="304"/>
    <row r="1046445" ht="12.8" customHeight="1" s="304"/>
    <row r="1046446" ht="12.8" customHeight="1" s="304"/>
    <row r="1046447" ht="12.8" customHeight="1" s="304"/>
    <row r="1046448" ht="12.8" customHeight="1" s="304"/>
    <row r="1046449" ht="12.8" customHeight="1" s="304"/>
    <row r="1046450" ht="12.8" customHeight="1" s="304"/>
    <row r="1046451" ht="12.8" customHeight="1" s="304"/>
    <row r="1046452" ht="12.8" customHeight="1" s="304"/>
    <row r="1046453" ht="12.8" customHeight="1" s="304"/>
    <row r="1046454" ht="12.8" customHeight="1" s="304"/>
    <row r="1046455" ht="12.8" customHeight="1" s="304"/>
    <row r="1046456" ht="12.8" customHeight="1" s="304"/>
    <row r="1046457" ht="12.8" customHeight="1" s="304"/>
    <row r="1046458" ht="12.8" customHeight="1" s="304"/>
    <row r="1046459" ht="12.8" customHeight="1" s="304"/>
    <row r="1046460" ht="12.8" customHeight="1" s="304"/>
    <row r="1046461" ht="12.8" customHeight="1" s="304"/>
    <row r="1046462" ht="12.8" customHeight="1" s="304"/>
    <row r="1046463" ht="12.8" customHeight="1" s="304"/>
    <row r="1046464" ht="12.8" customHeight="1" s="304"/>
    <row r="1046465" ht="12.8" customHeight="1" s="304"/>
    <row r="1046466" ht="12.8" customHeight="1" s="304"/>
    <row r="1046467" ht="12.8" customHeight="1" s="304"/>
    <row r="1046468" ht="12.8" customHeight="1" s="304"/>
    <row r="1046469" ht="12.8" customHeight="1" s="304"/>
    <row r="1046470" ht="12.8" customHeight="1" s="304"/>
    <row r="1046471" ht="12.8" customHeight="1" s="304"/>
    <row r="1046472" ht="12.8" customHeight="1" s="304"/>
    <row r="1046473" ht="12.8" customHeight="1" s="304"/>
    <row r="1046474" ht="12.8" customHeight="1" s="304"/>
    <row r="1046475" ht="12.8" customHeight="1" s="304"/>
    <row r="1046476" ht="12.8" customHeight="1" s="304"/>
    <row r="1046477" ht="12.8" customHeight="1" s="304"/>
    <row r="1046478" ht="12.8" customHeight="1" s="304"/>
    <row r="1046479" ht="12.8" customHeight="1" s="304"/>
    <row r="1046480" ht="12.8" customHeight="1" s="304"/>
    <row r="1046481" ht="12.8" customHeight="1" s="304"/>
    <row r="1046482" ht="12.8" customHeight="1" s="304"/>
    <row r="1046483" ht="12.8" customHeight="1" s="304"/>
    <row r="1046484" ht="12.8" customHeight="1" s="304"/>
    <row r="1046485" ht="12.8" customHeight="1" s="304"/>
    <row r="1046486" ht="12.8" customHeight="1" s="304"/>
    <row r="1046487" ht="12.8" customHeight="1" s="304"/>
    <row r="1046488" ht="12.8" customHeight="1" s="304"/>
    <row r="1046489" ht="12.8" customHeight="1" s="304"/>
    <row r="1046490" ht="12.8" customHeight="1" s="304"/>
    <row r="1046491" ht="12.8" customHeight="1" s="304"/>
    <row r="1046492" ht="12.8" customHeight="1" s="304"/>
    <row r="1046493" ht="12.8" customHeight="1" s="304"/>
    <row r="1046494" ht="12.8" customHeight="1" s="304"/>
    <row r="1046495" ht="12.8" customHeight="1" s="304"/>
    <row r="1046496" ht="12.8" customHeight="1" s="304"/>
    <row r="1046497" ht="12.8" customHeight="1" s="304"/>
    <row r="1046498" ht="12.8" customHeight="1" s="304"/>
    <row r="1046499" ht="12.8" customHeight="1" s="304"/>
    <row r="1046500" ht="12.8" customHeight="1" s="304"/>
    <row r="1046501" ht="12.8" customHeight="1" s="304"/>
    <row r="1046502" ht="12.8" customHeight="1" s="304"/>
    <row r="1046503" ht="12.8" customHeight="1" s="304"/>
    <row r="1046504" ht="12.8" customHeight="1" s="304"/>
    <row r="1046505" ht="12.8" customHeight="1" s="304"/>
    <row r="1046506" ht="12.8" customHeight="1" s="304"/>
    <row r="1046507" ht="12.8" customHeight="1" s="304"/>
    <row r="1046508" ht="12.8" customHeight="1" s="304"/>
    <row r="1046509" ht="12.8" customHeight="1" s="304"/>
    <row r="1046510" ht="12.8" customHeight="1" s="304"/>
    <row r="1046511" ht="12.8" customHeight="1" s="304"/>
    <row r="1046512" ht="12.8" customHeight="1" s="304"/>
    <row r="1046513" ht="12.8" customHeight="1" s="304"/>
    <row r="1046514" ht="12.8" customHeight="1" s="304"/>
    <row r="1046515" ht="12.8" customHeight="1" s="304"/>
    <row r="1046516" ht="12.8" customHeight="1" s="304"/>
    <row r="1046517" ht="12.8" customHeight="1" s="304"/>
    <row r="1046518" ht="12.8" customHeight="1" s="304"/>
    <row r="1046519" ht="12.8" customHeight="1" s="304"/>
    <row r="1046520" ht="12.8" customHeight="1" s="304"/>
    <row r="1046521" ht="12.8" customHeight="1" s="304"/>
    <row r="1046522" ht="12.8" customHeight="1" s="304"/>
    <row r="1046523" ht="12.8" customHeight="1" s="304"/>
    <row r="1046524" ht="12.8" customHeight="1" s="304"/>
    <row r="1046525" ht="12.8" customHeight="1" s="304"/>
    <row r="1046526" ht="12.8" customHeight="1" s="304"/>
    <row r="1046527" ht="12.8" customHeight="1" s="304"/>
    <row r="1046528" ht="12.8" customHeight="1" s="304"/>
    <row r="1046529" ht="12.8" customHeight="1" s="304"/>
    <row r="1046530" ht="12.8" customHeight="1" s="304"/>
    <row r="1046531" ht="12.8" customHeight="1" s="304"/>
    <row r="1046532" ht="12.8" customHeight="1" s="304"/>
    <row r="1046533" ht="12.8" customHeight="1" s="304"/>
    <row r="1046534" ht="12.8" customHeight="1" s="304"/>
    <row r="1046535" ht="12.8" customHeight="1" s="304"/>
    <row r="1046536" ht="12.8" customHeight="1" s="304"/>
    <row r="1046537" ht="12.8" customHeight="1" s="304"/>
    <row r="1046538" ht="12.8" customHeight="1" s="304"/>
    <row r="1046539" ht="12.8" customHeight="1" s="304"/>
    <row r="1046540" ht="12.8" customHeight="1" s="304"/>
    <row r="1046541" ht="12.8" customHeight="1" s="304"/>
    <row r="1046542" ht="12.8" customHeight="1" s="304"/>
    <row r="1046543" ht="12.8" customHeight="1" s="304"/>
    <row r="1046544" ht="12.8" customHeight="1" s="304"/>
    <row r="1046545" ht="12.8" customHeight="1" s="304"/>
    <row r="1046546" ht="12.8" customHeight="1" s="304"/>
    <row r="1046547" ht="12.8" customHeight="1" s="304"/>
    <row r="1046548" ht="12.8" customHeight="1" s="304"/>
    <row r="1046549" ht="12.8" customHeight="1" s="304"/>
    <row r="1046550" ht="12.8" customHeight="1" s="304"/>
    <row r="1046551" ht="12.8" customHeight="1" s="304"/>
    <row r="1046552" ht="12.8" customHeight="1" s="304"/>
    <row r="1046553" ht="12.8" customHeight="1" s="304"/>
    <row r="1046554" ht="12.8" customHeight="1" s="304"/>
    <row r="1046555" ht="12.8" customHeight="1" s="304"/>
    <row r="1046556" ht="12.8" customHeight="1" s="304"/>
    <row r="1046557" ht="12.8" customHeight="1" s="304"/>
    <row r="1046558" ht="12.8" customHeight="1" s="304"/>
    <row r="1046559" ht="12.8" customHeight="1" s="304"/>
    <row r="1046560" ht="12.8" customHeight="1" s="304"/>
    <row r="1046561" ht="12.8" customHeight="1" s="304"/>
    <row r="1046562" ht="12.8" customHeight="1" s="304"/>
    <row r="1046563" ht="12.8" customHeight="1" s="304"/>
    <row r="1046564" ht="12.8" customHeight="1" s="304"/>
    <row r="1046565" ht="12.8" customHeight="1" s="304"/>
    <row r="1046566" ht="12.8" customHeight="1" s="304"/>
    <row r="1046567" ht="12.8" customHeight="1" s="304"/>
    <row r="1046568" ht="12.8" customHeight="1" s="304"/>
    <row r="1046569" ht="12.8" customHeight="1" s="304"/>
    <row r="1046570" ht="12.8" customHeight="1" s="304"/>
    <row r="1046571" ht="12.8" customHeight="1" s="304"/>
    <row r="1046572" ht="12.8" customHeight="1" s="304"/>
    <row r="1046573" ht="12.8" customHeight="1" s="304"/>
    <row r="1046574" ht="12.8" customHeight="1" s="304"/>
    <row r="1046575" ht="12.8" customHeight="1" s="304"/>
    <row r="1046576" ht="12.8" customHeight="1" s="304"/>
    <row r="1046577" ht="12.8" customHeight="1" s="304"/>
    <row r="1046578" ht="12.8" customHeight="1" s="304"/>
    <row r="1046579" ht="12.8" customHeight="1" s="304"/>
    <row r="1046580" ht="12.8" customHeight="1" s="304"/>
    <row r="1046581" ht="12.8" customHeight="1" s="304"/>
    <row r="1046582" ht="12.8" customHeight="1" s="304"/>
    <row r="1046583" ht="12.8" customHeight="1" s="304"/>
    <row r="1046584" ht="12.8" customHeight="1" s="304"/>
    <row r="1046585" ht="12.8" customHeight="1" s="304"/>
    <row r="1046586" ht="12.8" customHeight="1" s="304"/>
    <row r="1046587" ht="12.8" customHeight="1" s="304"/>
    <row r="1046588" ht="12.8" customHeight="1" s="304"/>
    <row r="1046589" ht="12.8" customHeight="1" s="304"/>
    <row r="1046590" ht="12.8" customHeight="1" s="304"/>
    <row r="1046591" ht="12.8" customHeight="1" s="304"/>
    <row r="1046592" ht="12.8" customHeight="1" s="304"/>
    <row r="1046593" ht="12.8" customHeight="1" s="304"/>
    <row r="1046594" ht="12.8" customHeight="1" s="304"/>
    <row r="1046595" ht="12.8" customHeight="1" s="304"/>
    <row r="1046596" ht="12.8" customHeight="1" s="304"/>
    <row r="1046597" ht="12.8" customHeight="1" s="304"/>
    <row r="1046598" ht="12.8" customHeight="1" s="304"/>
    <row r="1046599" ht="12.8" customHeight="1" s="304"/>
    <row r="1046600" ht="12.8" customHeight="1" s="304"/>
    <row r="1046601" ht="12.8" customHeight="1" s="304"/>
    <row r="1046602" ht="12.8" customHeight="1" s="304"/>
    <row r="1046603" ht="12.8" customHeight="1" s="304"/>
    <row r="1046604" ht="12.8" customHeight="1" s="304"/>
    <row r="1046605" ht="12.8" customHeight="1" s="304"/>
    <row r="1046606" ht="12.8" customHeight="1" s="304"/>
    <row r="1046607" ht="12.8" customHeight="1" s="304"/>
    <row r="1046608" ht="12.8" customHeight="1" s="304"/>
    <row r="1046609" ht="12.8" customHeight="1" s="304"/>
    <row r="1046610" ht="12.8" customHeight="1" s="304"/>
    <row r="1046611" ht="12.8" customHeight="1" s="304"/>
    <row r="1046612" ht="12.8" customHeight="1" s="304"/>
    <row r="1046613" ht="12.8" customHeight="1" s="304"/>
    <row r="1046614" ht="12.8" customHeight="1" s="304"/>
    <row r="1046615" ht="12.8" customHeight="1" s="304"/>
    <row r="1046616" ht="12.8" customHeight="1" s="304"/>
    <row r="1046617" ht="12.8" customHeight="1" s="304"/>
    <row r="1046618" ht="12.8" customHeight="1" s="304"/>
    <row r="1046619" ht="12.8" customHeight="1" s="304"/>
    <row r="1046620" ht="12.8" customHeight="1" s="304"/>
    <row r="1046621" ht="12.8" customHeight="1" s="304"/>
    <row r="1046622" ht="12.8" customHeight="1" s="304"/>
    <row r="1046623" ht="12.8" customHeight="1" s="304"/>
    <row r="1046624" ht="12.8" customHeight="1" s="304"/>
    <row r="1046625" ht="12.8" customHeight="1" s="304"/>
    <row r="1046626" ht="12.8" customHeight="1" s="304"/>
    <row r="1046627" ht="12.8" customHeight="1" s="304"/>
    <row r="1046628" ht="12.8" customHeight="1" s="304"/>
    <row r="1046629" ht="12.8" customHeight="1" s="304"/>
    <row r="1046630" ht="12.8" customHeight="1" s="304"/>
    <row r="1046631" ht="12.8" customHeight="1" s="304"/>
    <row r="1046632" ht="12.8" customHeight="1" s="304"/>
    <row r="1046633" ht="12.8" customHeight="1" s="304"/>
    <row r="1046634" ht="12.8" customHeight="1" s="304"/>
    <row r="1046635" ht="12.8" customHeight="1" s="304"/>
    <row r="1046636" ht="12.8" customHeight="1" s="304"/>
    <row r="1046637" ht="12.8" customHeight="1" s="304"/>
    <row r="1046638" ht="12.8" customHeight="1" s="304"/>
    <row r="1046639" ht="12.8" customHeight="1" s="304"/>
    <row r="1046640" ht="12.8" customHeight="1" s="304"/>
    <row r="1046641" ht="12.8" customHeight="1" s="304"/>
    <row r="1046642" ht="12.8" customHeight="1" s="304"/>
    <row r="1046643" ht="12.8" customHeight="1" s="304"/>
    <row r="1046644" ht="12.8" customHeight="1" s="304"/>
    <row r="1046645" ht="12.8" customHeight="1" s="304"/>
    <row r="1046646" ht="12.8" customHeight="1" s="304"/>
    <row r="1046647" ht="12.8" customHeight="1" s="304"/>
    <row r="1046648" ht="12.8" customHeight="1" s="304"/>
    <row r="1046649" ht="12.8" customHeight="1" s="304"/>
    <row r="1046650" ht="12.8" customHeight="1" s="304"/>
    <row r="1046651" ht="12.8" customHeight="1" s="304"/>
    <row r="1046652" ht="12.8" customHeight="1" s="304"/>
    <row r="1046653" ht="12.8" customHeight="1" s="304"/>
    <row r="1046654" ht="12.8" customHeight="1" s="304"/>
    <row r="1046655" ht="12.8" customHeight="1" s="304"/>
    <row r="1046656" ht="12.8" customHeight="1" s="304"/>
    <row r="1046657" ht="12.8" customHeight="1" s="304"/>
    <row r="1046658" ht="12.8" customHeight="1" s="304"/>
    <row r="1046659" ht="12.8" customHeight="1" s="304"/>
    <row r="1046660" ht="12.8" customHeight="1" s="304"/>
    <row r="1046661" ht="12.8" customHeight="1" s="304"/>
    <row r="1046662" ht="12.8" customHeight="1" s="304"/>
    <row r="1046663" ht="12.8" customHeight="1" s="304"/>
    <row r="1046664" ht="12.8" customHeight="1" s="304"/>
    <row r="1046665" ht="12.8" customHeight="1" s="304"/>
    <row r="1046666" ht="12.8" customHeight="1" s="304"/>
    <row r="1046667" ht="12.8" customHeight="1" s="304"/>
    <row r="1046668" ht="12.8" customHeight="1" s="304"/>
    <row r="1046669" ht="12.8" customHeight="1" s="304"/>
    <row r="1046670" ht="12.8" customHeight="1" s="304"/>
    <row r="1046671" ht="12.8" customHeight="1" s="304"/>
    <row r="1046672" ht="12.8" customHeight="1" s="304"/>
    <row r="1046673" ht="12.8" customHeight="1" s="304"/>
    <row r="1046674" ht="12.8" customHeight="1" s="304"/>
    <row r="1046675" ht="12.8" customHeight="1" s="304"/>
    <row r="1046676" ht="12.8" customHeight="1" s="304"/>
    <row r="1046677" ht="12.8" customHeight="1" s="304"/>
    <row r="1046678" ht="12.8" customHeight="1" s="304"/>
    <row r="1046679" ht="12.8" customHeight="1" s="304"/>
    <row r="1046680" ht="12.8" customHeight="1" s="304"/>
    <row r="1046681" ht="12.8" customHeight="1" s="304"/>
    <row r="1046682" ht="12.8" customHeight="1" s="304"/>
    <row r="1046683" ht="12.8" customHeight="1" s="304"/>
    <row r="1046684" ht="12.8" customHeight="1" s="304"/>
    <row r="1046685" ht="12.8" customHeight="1" s="304"/>
    <row r="1046686" ht="12.8" customHeight="1" s="304"/>
    <row r="1046687" ht="12.8" customHeight="1" s="304"/>
    <row r="1046688" ht="12.8" customHeight="1" s="304"/>
    <row r="1046689" ht="12.8" customHeight="1" s="304"/>
    <row r="1046690" ht="12.8" customHeight="1" s="304"/>
    <row r="1046691" ht="12.8" customHeight="1" s="304"/>
    <row r="1046692" ht="12.8" customHeight="1" s="304"/>
    <row r="1046693" ht="12.8" customHeight="1" s="304"/>
    <row r="1046694" ht="12.8" customHeight="1" s="304"/>
    <row r="1046695" ht="12.8" customHeight="1" s="304"/>
    <row r="1046696" ht="12.8" customHeight="1" s="304"/>
    <row r="1046697" ht="12.8" customHeight="1" s="304"/>
    <row r="1046698" ht="12.8" customHeight="1" s="304"/>
    <row r="1046699" ht="12.8" customHeight="1" s="304"/>
    <row r="1046700" ht="12.8" customHeight="1" s="304"/>
    <row r="1046701" ht="12.8" customHeight="1" s="304"/>
    <row r="1046702" ht="12.8" customHeight="1" s="304"/>
    <row r="1046703" ht="12.8" customHeight="1" s="304"/>
    <row r="1046704" ht="12.8" customHeight="1" s="304"/>
    <row r="1046705" ht="12.8" customHeight="1" s="304"/>
    <row r="1046706" ht="12.8" customHeight="1" s="304"/>
    <row r="1046707" ht="12.8" customHeight="1" s="304"/>
    <row r="1046708" ht="12.8" customHeight="1" s="304"/>
    <row r="1046709" ht="12.8" customHeight="1" s="304"/>
    <row r="1046710" ht="12.8" customHeight="1" s="304"/>
    <row r="1046711" ht="12.8" customHeight="1" s="304"/>
    <row r="1046712" ht="12.8" customHeight="1" s="304"/>
    <row r="1046713" ht="12.8" customHeight="1" s="304"/>
    <row r="1046714" ht="12.8" customHeight="1" s="304"/>
    <row r="1046715" ht="12.8" customHeight="1" s="304"/>
    <row r="1046716" ht="12.8" customHeight="1" s="304"/>
    <row r="1046717" ht="12.8" customHeight="1" s="304"/>
    <row r="1046718" ht="12.8" customHeight="1" s="304"/>
    <row r="1046719" ht="12.8" customHeight="1" s="304"/>
    <row r="1046720" ht="12.8" customHeight="1" s="304"/>
    <row r="1046721" ht="12.8" customHeight="1" s="304"/>
    <row r="1046722" ht="12.8" customHeight="1" s="304"/>
    <row r="1046723" ht="12.8" customHeight="1" s="304"/>
    <row r="1046724" ht="12.8" customHeight="1" s="304"/>
    <row r="1046725" ht="12.8" customHeight="1" s="304"/>
    <row r="1046726" ht="12.8" customHeight="1" s="304"/>
    <row r="1046727" ht="12.8" customHeight="1" s="304"/>
    <row r="1046728" ht="12.8" customHeight="1" s="304"/>
    <row r="1046729" ht="12.8" customHeight="1" s="304"/>
    <row r="1046730" ht="12.8" customHeight="1" s="304"/>
    <row r="1046731" ht="12.8" customHeight="1" s="304"/>
    <row r="1046732" ht="12.8" customHeight="1" s="304"/>
    <row r="1046733" ht="12.8" customHeight="1" s="304"/>
    <row r="1046734" ht="12.8" customHeight="1" s="304"/>
    <row r="1046735" ht="12.8" customHeight="1" s="304"/>
    <row r="1046736" ht="12.8" customHeight="1" s="304"/>
    <row r="1046737" ht="12.8" customHeight="1" s="304"/>
    <row r="1046738" ht="12.8" customHeight="1" s="304"/>
    <row r="1046739" ht="12.8" customHeight="1" s="304"/>
    <row r="1046740" ht="12.8" customHeight="1" s="304"/>
    <row r="1046741" ht="12.8" customHeight="1" s="304"/>
    <row r="1046742" ht="12.8" customHeight="1" s="304"/>
    <row r="1046743" ht="12.8" customHeight="1" s="304"/>
    <row r="1046744" ht="12.8" customHeight="1" s="304"/>
    <row r="1046745" ht="12.8" customHeight="1" s="304"/>
    <row r="1046746" ht="12.8" customHeight="1" s="304"/>
    <row r="1046747" ht="12.8" customHeight="1" s="304"/>
    <row r="1046748" ht="12.8" customHeight="1" s="304"/>
    <row r="1046749" ht="12.8" customHeight="1" s="304"/>
    <row r="1046750" ht="12.8" customHeight="1" s="304"/>
    <row r="1046751" ht="12.8" customHeight="1" s="304"/>
    <row r="1046752" ht="12.8" customHeight="1" s="304"/>
    <row r="1046753" ht="12.8" customHeight="1" s="304"/>
    <row r="1046754" ht="12.8" customHeight="1" s="304"/>
    <row r="1046755" ht="12.8" customHeight="1" s="304"/>
    <row r="1046756" ht="12.8" customHeight="1" s="304"/>
    <row r="1046757" ht="12.8" customHeight="1" s="304"/>
    <row r="1046758" ht="12.8" customHeight="1" s="304"/>
    <row r="1046759" ht="12.8" customHeight="1" s="304"/>
    <row r="1046760" ht="12.8" customHeight="1" s="304"/>
    <row r="1046761" ht="12.8" customHeight="1" s="304"/>
    <row r="1046762" ht="12.8" customHeight="1" s="304"/>
    <row r="1046763" ht="12.8" customHeight="1" s="304"/>
    <row r="1046764" ht="12.8" customHeight="1" s="304"/>
    <row r="1046765" ht="12.8" customHeight="1" s="304"/>
    <row r="1046766" ht="12.8" customHeight="1" s="304"/>
    <row r="1046767" ht="12.8" customHeight="1" s="304"/>
    <row r="1046768" ht="12.8" customHeight="1" s="304"/>
    <row r="1046769" ht="12.8" customHeight="1" s="304"/>
    <row r="1046770" ht="12.8" customHeight="1" s="304"/>
    <row r="1046771" ht="12.8" customHeight="1" s="304"/>
    <row r="1046772" ht="12.8" customHeight="1" s="304"/>
    <row r="1046773" ht="12.8" customHeight="1" s="304"/>
    <row r="1046774" ht="12.8" customHeight="1" s="304"/>
    <row r="1046775" ht="12.8" customHeight="1" s="304"/>
    <row r="1046776" ht="12.8" customHeight="1" s="304"/>
    <row r="1046777" ht="12.8" customHeight="1" s="304"/>
    <row r="1046778" ht="12.8" customHeight="1" s="304"/>
    <row r="1046779" ht="12.8" customHeight="1" s="304"/>
    <row r="1046780" ht="12.8" customHeight="1" s="304"/>
    <row r="1046781" ht="12.8" customHeight="1" s="304"/>
    <row r="1046782" ht="12.8" customHeight="1" s="304"/>
    <row r="1046783" ht="12.8" customHeight="1" s="304"/>
    <row r="1046784" ht="12.8" customHeight="1" s="304"/>
    <row r="1046785" ht="12.8" customHeight="1" s="304"/>
    <row r="1046786" ht="12.8" customHeight="1" s="304"/>
    <row r="1046787" ht="12.8" customHeight="1" s="304"/>
    <row r="1046788" ht="12.8" customHeight="1" s="304"/>
    <row r="1046789" ht="12.8" customHeight="1" s="304"/>
    <row r="1046790" ht="12.8" customHeight="1" s="304"/>
    <row r="1046791" ht="12.8" customHeight="1" s="304"/>
    <row r="1046792" ht="12.8" customHeight="1" s="304"/>
    <row r="1046793" ht="12.8" customHeight="1" s="304"/>
    <row r="1046794" ht="12.8" customHeight="1" s="304"/>
    <row r="1046795" ht="12.8" customHeight="1" s="304"/>
    <row r="1046796" ht="12.8" customHeight="1" s="304"/>
    <row r="1046797" ht="12.8" customHeight="1" s="304"/>
    <row r="1046798" ht="12.8" customHeight="1" s="304"/>
    <row r="1046799" ht="12.8" customHeight="1" s="304"/>
    <row r="1046800" ht="12.8" customHeight="1" s="304"/>
    <row r="1046801" ht="12.8" customHeight="1" s="304"/>
    <row r="1046802" ht="12.8" customHeight="1" s="304"/>
    <row r="1046803" ht="12.8" customHeight="1" s="304"/>
    <row r="1046804" ht="12.8" customHeight="1" s="304"/>
    <row r="1046805" ht="12.8" customHeight="1" s="304"/>
    <row r="1046806" ht="12.8" customHeight="1" s="304"/>
    <row r="1046807" ht="12.8" customHeight="1" s="304"/>
    <row r="1046808" ht="12.8" customHeight="1" s="304"/>
    <row r="1046809" ht="12.8" customHeight="1" s="304"/>
    <row r="1046810" ht="12.8" customHeight="1" s="304"/>
    <row r="1046811" ht="12.8" customHeight="1" s="304"/>
    <row r="1046812" ht="12.8" customHeight="1" s="304"/>
    <row r="1046813" ht="12.8" customHeight="1" s="304"/>
    <row r="1046814" ht="12.8" customHeight="1" s="304"/>
    <row r="1046815" ht="12.8" customHeight="1" s="304"/>
    <row r="1046816" ht="12.8" customHeight="1" s="304"/>
    <row r="1046817" ht="12.8" customHeight="1" s="304"/>
    <row r="1046818" ht="12.8" customHeight="1" s="304"/>
    <row r="1046819" ht="12.8" customHeight="1" s="304"/>
    <row r="1046820" ht="12.8" customHeight="1" s="304"/>
    <row r="1046821" ht="12.8" customHeight="1" s="304"/>
    <row r="1046822" ht="12.8" customHeight="1" s="304"/>
    <row r="1046823" ht="12.8" customHeight="1" s="304"/>
    <row r="1046824" ht="12.8" customHeight="1" s="304"/>
    <row r="1046825" ht="12.8" customHeight="1" s="304"/>
    <row r="1046826" ht="12.8" customHeight="1" s="304"/>
    <row r="1046827" ht="12.8" customHeight="1" s="304"/>
    <row r="1046828" ht="12.8" customHeight="1" s="304"/>
    <row r="1046829" ht="12.8" customHeight="1" s="304"/>
    <row r="1046830" ht="12.8" customHeight="1" s="304"/>
    <row r="1046831" ht="12.8" customHeight="1" s="304"/>
    <row r="1046832" ht="12.8" customHeight="1" s="304"/>
    <row r="1046833" ht="12.8" customHeight="1" s="304"/>
    <row r="1046834" ht="12.8" customHeight="1" s="304"/>
    <row r="1046835" ht="12.8" customHeight="1" s="304"/>
    <row r="1046836" ht="12.8" customHeight="1" s="304"/>
    <row r="1046837" ht="12.8" customHeight="1" s="304"/>
    <row r="1046838" ht="12.8" customHeight="1" s="304"/>
    <row r="1046839" ht="12.8" customHeight="1" s="304"/>
    <row r="1046840" ht="12.8" customHeight="1" s="304"/>
    <row r="1046841" ht="12.8" customHeight="1" s="304"/>
    <row r="1046842" ht="12.8" customHeight="1" s="304"/>
    <row r="1046843" ht="12.8" customHeight="1" s="304"/>
    <row r="1046844" ht="12.8" customHeight="1" s="304"/>
    <row r="1046845" ht="12.8" customHeight="1" s="304"/>
    <row r="1046846" ht="12.8" customHeight="1" s="304"/>
    <row r="1046847" ht="12.8" customHeight="1" s="304"/>
    <row r="1046848" ht="12.8" customHeight="1" s="304"/>
    <row r="1046849" ht="12.8" customHeight="1" s="304"/>
    <row r="1046850" ht="12.8" customHeight="1" s="304"/>
    <row r="1046851" ht="12.8" customHeight="1" s="304"/>
    <row r="1046852" ht="12.8" customHeight="1" s="304"/>
    <row r="1046853" ht="12.8" customHeight="1" s="304"/>
    <row r="1046854" ht="12.8" customHeight="1" s="304"/>
    <row r="1046855" ht="12.8" customHeight="1" s="304"/>
    <row r="1046856" ht="12.8" customHeight="1" s="304"/>
    <row r="1046857" ht="12.8" customHeight="1" s="304"/>
    <row r="1046858" ht="12.8" customHeight="1" s="304"/>
    <row r="1046859" ht="12.8" customHeight="1" s="304"/>
    <row r="1046860" ht="12.8" customHeight="1" s="304"/>
    <row r="1046861" ht="12.8" customHeight="1" s="304"/>
    <row r="1046862" ht="12.8" customHeight="1" s="304"/>
    <row r="1046863" ht="12.8" customHeight="1" s="304"/>
    <row r="1046864" ht="12.8" customHeight="1" s="304"/>
    <row r="1046865" ht="12.8" customHeight="1" s="304"/>
    <row r="1046866" ht="12.8" customHeight="1" s="304"/>
    <row r="1046867" ht="12.8" customHeight="1" s="304"/>
    <row r="1046868" ht="12.8" customHeight="1" s="304"/>
    <row r="1046869" ht="12.8" customHeight="1" s="304"/>
    <row r="1046870" ht="12.8" customHeight="1" s="304"/>
    <row r="1046871" ht="12.8" customHeight="1" s="304"/>
    <row r="1046872" ht="12.8" customHeight="1" s="304"/>
    <row r="1046873" ht="12.8" customHeight="1" s="304"/>
    <row r="1046874" ht="12.8" customHeight="1" s="304"/>
    <row r="1046875" ht="12.8" customHeight="1" s="304"/>
    <row r="1046876" ht="12.8" customHeight="1" s="304"/>
    <row r="1046877" ht="12.8" customHeight="1" s="304"/>
    <row r="1046878" ht="12.8" customHeight="1" s="304"/>
    <row r="1046879" ht="12.8" customHeight="1" s="304"/>
    <row r="1046880" ht="12.8" customHeight="1" s="304"/>
    <row r="1046881" ht="12.8" customHeight="1" s="304"/>
    <row r="1046882" ht="12.8" customHeight="1" s="304"/>
    <row r="1046883" ht="12.8" customHeight="1" s="304"/>
    <row r="1046884" ht="12.8" customHeight="1" s="304"/>
    <row r="1046885" ht="12.8" customHeight="1" s="304"/>
    <row r="1046886" ht="12.8" customHeight="1" s="304"/>
    <row r="1046887" ht="12.8" customHeight="1" s="304"/>
    <row r="1046888" ht="12.8" customHeight="1" s="304"/>
    <row r="1046889" ht="12.8" customHeight="1" s="304"/>
    <row r="1046890" ht="12.8" customHeight="1" s="304"/>
    <row r="1046891" ht="12.8" customHeight="1" s="304"/>
    <row r="1046892" ht="12.8" customHeight="1" s="304"/>
    <row r="1046893" ht="12.8" customHeight="1" s="304"/>
    <row r="1046894" ht="12.8" customHeight="1" s="304"/>
    <row r="1046895" ht="12.8" customHeight="1" s="304"/>
    <row r="1046896" ht="12.8" customHeight="1" s="304"/>
    <row r="1046897" ht="12.8" customHeight="1" s="304"/>
    <row r="1046898" ht="12.8" customHeight="1" s="304"/>
    <row r="1046899" ht="12.8" customHeight="1" s="304"/>
    <row r="1046900" ht="12.8" customHeight="1" s="304"/>
    <row r="1046901" ht="12.8" customHeight="1" s="304"/>
    <row r="1046902" ht="12.8" customHeight="1" s="304"/>
    <row r="1046903" ht="12.8" customHeight="1" s="304"/>
    <row r="1046904" ht="12.8" customHeight="1" s="304"/>
    <row r="1046905" ht="12.8" customHeight="1" s="304"/>
    <row r="1046906" ht="12.8" customHeight="1" s="304"/>
    <row r="1046907" ht="12.8" customHeight="1" s="304"/>
    <row r="1046908" ht="12.8" customHeight="1" s="304"/>
    <row r="1046909" ht="12.8" customHeight="1" s="304"/>
    <row r="1046910" ht="12.8" customHeight="1" s="304"/>
    <row r="1046911" ht="12.8" customHeight="1" s="304"/>
    <row r="1046912" ht="12.8" customHeight="1" s="304"/>
    <row r="1046913" ht="12.8" customHeight="1" s="304"/>
    <row r="1046914" ht="12.8" customHeight="1" s="304"/>
    <row r="1046915" ht="12.8" customHeight="1" s="304"/>
    <row r="1046916" ht="12.8" customHeight="1" s="304"/>
    <row r="1046917" ht="12.8" customHeight="1" s="304"/>
    <row r="1046918" ht="12.8" customHeight="1" s="304"/>
    <row r="1046919" ht="12.8" customHeight="1" s="304"/>
    <row r="1046920" ht="12.8" customHeight="1" s="304"/>
    <row r="1046921" ht="12.8" customHeight="1" s="304"/>
    <row r="1046922" ht="12.8" customHeight="1" s="304"/>
    <row r="1046923" ht="12.8" customHeight="1" s="304"/>
    <row r="1046924" ht="12.8" customHeight="1" s="304"/>
    <row r="1046925" ht="12.8" customHeight="1" s="304"/>
    <row r="1046926" ht="12.8" customHeight="1" s="304"/>
    <row r="1046927" ht="12.8" customHeight="1" s="304"/>
    <row r="1046928" ht="12.8" customHeight="1" s="304"/>
    <row r="1046929" ht="12.8" customHeight="1" s="304"/>
    <row r="1046930" ht="12.8" customHeight="1" s="304"/>
    <row r="1046931" ht="12.8" customHeight="1" s="304"/>
    <row r="1046932" ht="12.8" customHeight="1" s="304"/>
    <row r="1046933" ht="12.8" customHeight="1" s="304"/>
    <row r="1046934" ht="12.8" customHeight="1" s="304"/>
    <row r="1046935" ht="12.8" customHeight="1" s="304"/>
    <row r="1046936" ht="12.8" customHeight="1" s="304"/>
    <row r="1046937" ht="12.8" customHeight="1" s="304"/>
    <row r="1046938" ht="12.8" customHeight="1" s="304"/>
    <row r="1046939" ht="12.8" customHeight="1" s="304"/>
    <row r="1046940" ht="12.8" customHeight="1" s="304"/>
    <row r="1046941" ht="12.8" customHeight="1" s="304"/>
    <row r="1046942" ht="12.8" customHeight="1" s="304"/>
    <row r="1046943" ht="12.8" customHeight="1" s="304"/>
    <row r="1046944" ht="12.8" customHeight="1" s="304"/>
    <row r="1046945" ht="12.8" customHeight="1" s="304"/>
    <row r="1046946" ht="12.8" customHeight="1" s="304"/>
    <row r="1046947" ht="12.8" customHeight="1" s="304"/>
    <row r="1046948" ht="12.8" customHeight="1" s="304"/>
    <row r="1046949" ht="12.8" customHeight="1" s="304"/>
    <row r="1046950" ht="12.8" customHeight="1" s="304"/>
    <row r="1046951" ht="12.8" customHeight="1" s="304"/>
    <row r="1046952" ht="12.8" customHeight="1" s="304"/>
    <row r="1046953" ht="12.8" customHeight="1" s="304"/>
    <row r="1046954" ht="12.8" customHeight="1" s="304"/>
    <row r="1046955" ht="12.8" customHeight="1" s="304"/>
    <row r="1046956" ht="12.8" customHeight="1" s="304"/>
    <row r="1046957" ht="12.8" customHeight="1" s="304"/>
    <row r="1046958" ht="12.8" customHeight="1" s="304"/>
    <row r="1046959" ht="12.8" customHeight="1" s="304"/>
    <row r="1046960" ht="12.8" customHeight="1" s="304"/>
    <row r="1046961" ht="12.8" customHeight="1" s="304"/>
    <row r="1046962" ht="12.8" customHeight="1" s="304"/>
    <row r="1046963" ht="12.8" customHeight="1" s="304"/>
    <row r="1046964" ht="12.8" customHeight="1" s="304"/>
    <row r="1046965" ht="12.8" customHeight="1" s="304"/>
    <row r="1046966" ht="12.8" customHeight="1" s="304"/>
    <row r="1046967" ht="12.8" customHeight="1" s="304"/>
    <row r="1046968" ht="12.8" customHeight="1" s="304"/>
    <row r="1046969" ht="12.8" customHeight="1" s="304"/>
    <row r="1046970" ht="12.8" customHeight="1" s="304"/>
    <row r="1046971" ht="12.8" customHeight="1" s="304"/>
    <row r="1046972" ht="12.8" customHeight="1" s="304"/>
    <row r="1046973" ht="12.8" customHeight="1" s="304"/>
    <row r="1046974" ht="12.8" customHeight="1" s="304"/>
    <row r="1046975" ht="12.8" customHeight="1" s="304"/>
    <row r="1046976" ht="12.8" customHeight="1" s="304"/>
    <row r="1046977" ht="12.8" customHeight="1" s="304"/>
    <row r="1046978" ht="12.8" customHeight="1" s="304"/>
    <row r="1046979" ht="12.8" customHeight="1" s="304"/>
    <row r="1046980" ht="12.8" customHeight="1" s="304"/>
    <row r="1046981" ht="12.8" customHeight="1" s="304"/>
    <row r="1046982" ht="12.8" customHeight="1" s="304"/>
    <row r="1046983" ht="12.8" customHeight="1" s="304"/>
    <row r="1046984" ht="12.8" customHeight="1" s="304"/>
    <row r="1046985" ht="12.8" customHeight="1" s="304"/>
    <row r="1046986" ht="12.8" customHeight="1" s="304"/>
    <row r="1046987" ht="12.8" customHeight="1" s="304"/>
    <row r="1046988" ht="12.8" customHeight="1" s="304"/>
    <row r="1046989" ht="12.8" customHeight="1" s="304"/>
    <row r="1046990" ht="12.8" customHeight="1" s="304"/>
    <row r="1046991" ht="12.8" customHeight="1" s="304"/>
    <row r="1046992" ht="12.8" customHeight="1" s="304"/>
    <row r="1046993" ht="12.8" customHeight="1" s="304"/>
    <row r="1046994" ht="12.8" customHeight="1" s="304"/>
    <row r="1046995" ht="12.8" customHeight="1" s="304"/>
    <row r="1046996" ht="12.8" customHeight="1" s="304"/>
    <row r="1046997" ht="12.8" customHeight="1" s="304"/>
    <row r="1046998" ht="12.8" customHeight="1" s="304"/>
    <row r="1046999" ht="12.8" customHeight="1" s="304"/>
    <row r="1047000" ht="12.8" customHeight="1" s="304"/>
    <row r="1047001" ht="12.8" customHeight="1" s="304"/>
    <row r="1047002" ht="12.8" customHeight="1" s="304"/>
    <row r="1047003" ht="12.8" customHeight="1" s="304"/>
    <row r="1047004" ht="12.8" customHeight="1" s="304"/>
    <row r="1047005" ht="12.8" customHeight="1" s="304"/>
    <row r="1047006" ht="12.8" customHeight="1" s="304"/>
    <row r="1047007" ht="12.8" customHeight="1" s="304"/>
    <row r="1047008" ht="12.8" customHeight="1" s="304"/>
    <row r="1047009" ht="12.8" customHeight="1" s="304"/>
    <row r="1047010" ht="12.8" customHeight="1" s="304"/>
    <row r="1047011" ht="12.8" customHeight="1" s="304"/>
    <row r="1047012" ht="12.8" customHeight="1" s="304"/>
    <row r="1047013" ht="12.8" customHeight="1" s="304"/>
    <row r="1047014" ht="12.8" customHeight="1" s="304"/>
    <row r="1047015" ht="12.8" customHeight="1" s="304"/>
    <row r="1047016" ht="12.8" customHeight="1" s="304"/>
    <row r="1047017" ht="12.8" customHeight="1" s="304"/>
    <row r="1047018" ht="12.8" customHeight="1" s="304"/>
    <row r="1047019" ht="12.8" customHeight="1" s="304"/>
    <row r="1047020" ht="12.8" customHeight="1" s="304"/>
    <row r="1047021" ht="12.8" customHeight="1" s="304"/>
    <row r="1047022" ht="12.8" customHeight="1" s="304"/>
    <row r="1047023" ht="12.8" customHeight="1" s="304"/>
    <row r="1047024" ht="12.8" customHeight="1" s="304"/>
    <row r="1047025" ht="12.8" customHeight="1" s="304"/>
    <row r="1047026" ht="12.8" customHeight="1" s="304"/>
    <row r="1047027" ht="12.8" customHeight="1" s="304"/>
    <row r="1047028" ht="12.8" customHeight="1" s="304"/>
    <row r="1047029" ht="12.8" customHeight="1" s="304"/>
    <row r="1047030" ht="12.8" customHeight="1" s="304"/>
    <row r="1047031" ht="12.8" customHeight="1" s="304"/>
    <row r="1047032" ht="12.8" customHeight="1" s="304"/>
    <row r="1047033" ht="12.8" customHeight="1" s="304"/>
    <row r="1047034" ht="12.8" customHeight="1" s="304"/>
    <row r="1047035" ht="12.8" customHeight="1" s="304"/>
    <row r="1047036" ht="12.8" customHeight="1" s="304"/>
    <row r="1047037" ht="12.8" customHeight="1" s="304"/>
    <row r="1047038" ht="12.8" customHeight="1" s="304"/>
    <row r="1047039" ht="12.8" customHeight="1" s="304"/>
    <row r="1047040" ht="12.8" customHeight="1" s="304"/>
    <row r="1047041" ht="12.8" customHeight="1" s="304"/>
    <row r="1047042" ht="12.8" customHeight="1" s="304"/>
    <row r="1047043" ht="12.8" customHeight="1" s="304"/>
    <row r="1047044" ht="12.8" customHeight="1" s="304"/>
    <row r="1047045" ht="12.8" customHeight="1" s="304"/>
    <row r="1047046" ht="12.8" customHeight="1" s="304"/>
    <row r="1047047" ht="12.8" customHeight="1" s="304"/>
    <row r="1047048" ht="12.8" customHeight="1" s="304"/>
    <row r="1047049" ht="12.8" customHeight="1" s="304"/>
    <row r="1047050" ht="12.8" customHeight="1" s="304"/>
    <row r="1047051" ht="12.8" customHeight="1" s="304"/>
    <row r="1047052" ht="12.8" customHeight="1" s="304"/>
    <row r="1047053" ht="12.8" customHeight="1" s="304"/>
    <row r="1047054" ht="12.8" customHeight="1" s="304"/>
    <row r="1047055" ht="12.8" customHeight="1" s="304"/>
    <row r="1047056" ht="12.8" customHeight="1" s="304"/>
    <row r="1047057" ht="12.8" customHeight="1" s="304"/>
    <row r="1047058" ht="12.8" customHeight="1" s="304"/>
    <row r="1047059" ht="12.8" customHeight="1" s="304"/>
    <row r="1047060" ht="12.8" customHeight="1" s="304"/>
    <row r="1047061" ht="12.8" customHeight="1" s="304"/>
    <row r="1047062" ht="12.8" customHeight="1" s="304"/>
    <row r="1047063" ht="12.8" customHeight="1" s="304"/>
    <row r="1047064" ht="12.8" customHeight="1" s="304"/>
    <row r="1047065" ht="12.8" customHeight="1" s="304"/>
    <row r="1047066" ht="12.8" customHeight="1" s="304"/>
    <row r="1047067" ht="12.8" customHeight="1" s="304"/>
    <row r="1047068" ht="12.8" customHeight="1" s="304"/>
    <row r="1047069" ht="12.8" customHeight="1" s="304"/>
    <row r="1047070" ht="12.8" customHeight="1" s="304"/>
    <row r="1047071" ht="12.8" customHeight="1" s="304"/>
    <row r="1047072" ht="12.8" customHeight="1" s="304"/>
    <row r="1047073" ht="12.8" customHeight="1" s="304"/>
    <row r="1047074" ht="12.8" customHeight="1" s="304"/>
    <row r="1047075" ht="12.8" customHeight="1" s="304"/>
    <row r="1047076" ht="12.8" customHeight="1" s="304"/>
    <row r="1047077" ht="12.8" customHeight="1" s="304"/>
    <row r="1047078" ht="12.8" customHeight="1" s="304"/>
    <row r="1047079" ht="12.8" customHeight="1" s="304"/>
    <row r="1047080" ht="12.8" customHeight="1" s="304"/>
    <row r="1047081" ht="12.8" customHeight="1" s="304"/>
    <row r="1047082" ht="12.8" customHeight="1" s="304"/>
    <row r="1047083" ht="12.8" customHeight="1" s="304"/>
    <row r="1047084" ht="12.8" customHeight="1" s="304"/>
    <row r="1047085" ht="12.8" customHeight="1" s="304"/>
    <row r="1047086" ht="12.8" customHeight="1" s="304"/>
    <row r="1047087" ht="12.8" customHeight="1" s="304"/>
    <row r="1047088" ht="12.8" customHeight="1" s="304"/>
    <row r="1047089" ht="12.8" customHeight="1" s="304"/>
    <row r="1047090" ht="12.8" customHeight="1" s="304"/>
    <row r="1047091" ht="12.8" customHeight="1" s="304"/>
    <row r="1047092" ht="12.8" customHeight="1" s="304"/>
    <row r="1047093" ht="12.8" customHeight="1" s="304"/>
    <row r="1047094" ht="12.8" customHeight="1" s="304"/>
    <row r="1047095" ht="12.8" customHeight="1" s="304"/>
    <row r="1047096" ht="12.8" customHeight="1" s="304"/>
    <row r="1047097" ht="12.8" customHeight="1" s="304"/>
    <row r="1047098" ht="12.8" customHeight="1" s="304"/>
    <row r="1047099" ht="12.8" customHeight="1" s="304"/>
    <row r="1047100" ht="12.8" customHeight="1" s="304"/>
    <row r="1047101" ht="12.8" customHeight="1" s="304"/>
    <row r="1047102" ht="12.8" customHeight="1" s="304"/>
    <row r="1047103" ht="12.8" customHeight="1" s="304"/>
    <row r="1047104" ht="12.8" customHeight="1" s="304"/>
    <row r="1047105" ht="12.8" customHeight="1" s="304"/>
    <row r="1047106" ht="12.8" customHeight="1" s="304"/>
    <row r="1047107" ht="12.8" customHeight="1" s="304"/>
    <row r="1047108" ht="12.8" customHeight="1" s="304"/>
    <row r="1047109" ht="12.8" customHeight="1" s="304"/>
    <row r="1047110" ht="12.8" customHeight="1" s="304"/>
    <row r="1047111" ht="12.8" customHeight="1" s="304"/>
    <row r="1047112" ht="12.8" customHeight="1" s="304"/>
    <row r="1047113" ht="12.8" customHeight="1" s="304"/>
    <row r="1047114" ht="12.8" customHeight="1" s="304"/>
    <row r="1047115" ht="12.8" customHeight="1" s="304"/>
    <row r="1047116" ht="12.8" customHeight="1" s="304"/>
    <row r="1047117" ht="12.8" customHeight="1" s="304"/>
    <row r="1047118" ht="12.8" customHeight="1" s="304"/>
    <row r="1047119" ht="12.8" customHeight="1" s="304"/>
    <row r="1047120" ht="12.8" customHeight="1" s="304"/>
    <row r="1047121" ht="12.8" customHeight="1" s="304"/>
    <row r="1047122" ht="12.8" customHeight="1" s="304"/>
    <row r="1047123" ht="12.8" customHeight="1" s="304"/>
    <row r="1047124" ht="12.8" customHeight="1" s="304"/>
    <row r="1047125" ht="12.8" customHeight="1" s="304"/>
    <row r="1047126" ht="12.8" customHeight="1" s="304"/>
    <row r="1047127" ht="12.8" customHeight="1" s="304"/>
    <row r="1047128" ht="12.8" customHeight="1" s="304"/>
    <row r="1047129" ht="12.8" customHeight="1" s="304"/>
    <row r="1047130" ht="12.8" customHeight="1" s="304"/>
    <row r="1047131" ht="12.8" customHeight="1" s="304"/>
    <row r="1047132" ht="12.8" customHeight="1" s="304"/>
    <row r="1047133" ht="12.8" customHeight="1" s="304"/>
    <row r="1047134" ht="12.8" customHeight="1" s="304"/>
    <row r="1047135" ht="12.8" customHeight="1" s="304"/>
    <row r="1047136" ht="12.8" customHeight="1" s="304"/>
    <row r="1047137" ht="12.8" customHeight="1" s="304"/>
    <row r="1047138" ht="12.8" customHeight="1" s="304"/>
    <row r="1047139" ht="12.8" customHeight="1" s="304"/>
    <row r="1047140" ht="12.8" customHeight="1" s="304"/>
    <row r="1047141" ht="12.8" customHeight="1" s="304"/>
    <row r="1047142" ht="12.8" customHeight="1" s="304"/>
    <row r="1047143" ht="12.8" customHeight="1" s="304"/>
    <row r="1047144" ht="12.8" customHeight="1" s="304"/>
    <row r="1047145" ht="12.8" customHeight="1" s="304"/>
    <row r="1047146" ht="12.8" customHeight="1" s="304"/>
    <row r="1047147" ht="12.8" customHeight="1" s="304"/>
    <row r="1047148" ht="12.8" customHeight="1" s="304"/>
    <row r="1047149" ht="12.8" customHeight="1" s="304"/>
    <row r="1047150" ht="12.8" customHeight="1" s="304"/>
    <row r="1047151" ht="12.8" customHeight="1" s="304"/>
    <row r="1047152" ht="12.8" customHeight="1" s="304"/>
    <row r="1047153" ht="12.8" customHeight="1" s="304"/>
    <row r="1047154" ht="12.8" customHeight="1" s="304"/>
    <row r="1047155" ht="12.8" customHeight="1" s="304"/>
    <row r="1047156" ht="12.8" customHeight="1" s="304"/>
    <row r="1047157" ht="12.8" customHeight="1" s="304"/>
    <row r="1047158" ht="12.8" customHeight="1" s="304"/>
    <row r="1047159" ht="12.8" customHeight="1" s="304"/>
    <row r="1047160" ht="12.8" customHeight="1" s="304"/>
    <row r="1047161" ht="12.8" customHeight="1" s="304"/>
    <row r="1047162" ht="12.8" customHeight="1" s="304"/>
    <row r="1047163" ht="12.8" customHeight="1" s="304"/>
    <row r="1047164" ht="12.8" customHeight="1" s="304"/>
    <row r="1047165" ht="12.8" customHeight="1" s="304"/>
    <row r="1047166" ht="12.8" customHeight="1" s="304"/>
    <row r="1047167" ht="12.8" customHeight="1" s="304"/>
    <row r="1047168" ht="12.8" customHeight="1" s="304"/>
    <row r="1047169" ht="12.8" customHeight="1" s="304"/>
    <row r="1047170" ht="12.8" customHeight="1" s="304"/>
    <row r="1047171" ht="12.8" customHeight="1" s="304"/>
    <row r="1047172" ht="12.8" customHeight="1" s="304"/>
    <row r="1047173" ht="12.8" customHeight="1" s="304"/>
    <row r="1047174" ht="12.8" customHeight="1" s="304"/>
    <row r="1047175" ht="12.8" customHeight="1" s="304"/>
    <row r="1047176" ht="12.8" customHeight="1" s="304"/>
    <row r="1047177" ht="12.8" customHeight="1" s="304"/>
    <row r="1047178" ht="12.8" customHeight="1" s="304"/>
    <row r="1047179" ht="12.8" customHeight="1" s="304"/>
    <row r="1047180" ht="12.8" customHeight="1" s="304"/>
    <row r="1047181" ht="12.8" customHeight="1" s="304"/>
    <row r="1047182" ht="12.8" customHeight="1" s="304"/>
    <row r="1047183" ht="12.8" customHeight="1" s="304"/>
    <row r="1047184" ht="12.8" customHeight="1" s="304"/>
    <row r="1047185" ht="12.8" customHeight="1" s="304"/>
    <row r="1047186" ht="12.8" customHeight="1" s="304"/>
    <row r="1047187" ht="12.8" customHeight="1" s="304"/>
    <row r="1047188" ht="12.8" customHeight="1" s="304"/>
    <row r="1047189" ht="12.8" customHeight="1" s="304"/>
    <row r="1047190" ht="12.8" customHeight="1" s="304"/>
    <row r="1047191" ht="12.8" customHeight="1" s="304"/>
    <row r="1047192" ht="12.8" customHeight="1" s="304"/>
    <row r="1047193" ht="12.8" customHeight="1" s="304"/>
    <row r="1047194" ht="12.8" customHeight="1" s="304"/>
    <row r="1047195" ht="12.8" customHeight="1" s="304"/>
    <row r="1047196" ht="12.8" customHeight="1" s="304"/>
    <row r="1047197" ht="12.8" customHeight="1" s="304"/>
    <row r="1047198" ht="12.8" customHeight="1" s="304"/>
    <row r="1047199" ht="12.8" customHeight="1" s="304"/>
    <row r="1047200" ht="12.8" customHeight="1" s="304"/>
    <row r="1047201" ht="12.8" customHeight="1" s="304"/>
    <row r="1047202" ht="12.8" customHeight="1" s="304"/>
    <row r="1047203" ht="12.8" customHeight="1" s="304"/>
    <row r="1047204" ht="12.8" customHeight="1" s="304"/>
    <row r="1047205" ht="12.8" customHeight="1" s="304"/>
    <row r="1047206" ht="12.8" customHeight="1" s="304"/>
    <row r="1047207" ht="12.8" customHeight="1" s="304"/>
    <row r="1047208" ht="12.8" customHeight="1" s="304"/>
    <row r="1047209" ht="12.8" customHeight="1" s="304"/>
    <row r="1047210" ht="12.8" customHeight="1" s="304"/>
    <row r="1047211" ht="12.8" customHeight="1" s="304"/>
    <row r="1047212" ht="12.8" customHeight="1" s="304"/>
    <row r="1047213" ht="12.8" customHeight="1" s="304"/>
    <row r="1047214" ht="12.8" customHeight="1" s="304"/>
    <row r="1047215" ht="12.8" customHeight="1" s="304"/>
    <row r="1047216" ht="12.8" customHeight="1" s="304"/>
    <row r="1047217" ht="12.8" customHeight="1" s="304"/>
    <row r="1047218" ht="12.8" customHeight="1" s="304"/>
    <row r="1047219" ht="12.8" customHeight="1" s="304"/>
    <row r="1047220" ht="12.8" customHeight="1" s="304"/>
    <row r="1047221" ht="12.8" customHeight="1" s="304"/>
    <row r="1047222" ht="12.8" customHeight="1" s="304"/>
    <row r="1047223" ht="12.8" customHeight="1" s="304"/>
    <row r="1047224" ht="12.8" customHeight="1" s="304"/>
    <row r="1047225" ht="12.8" customHeight="1" s="304"/>
    <row r="1047226" ht="12.8" customHeight="1" s="304"/>
    <row r="1047227" ht="12.8" customHeight="1" s="304"/>
    <row r="1047228" ht="12.8" customHeight="1" s="304"/>
    <row r="1047229" ht="12.8" customHeight="1" s="304"/>
    <row r="1047230" ht="12.8" customHeight="1" s="304"/>
    <row r="1047231" ht="12.8" customHeight="1" s="304"/>
    <row r="1047232" ht="12.8" customHeight="1" s="304"/>
    <row r="1047233" ht="12.8" customHeight="1" s="304"/>
    <row r="1047234" ht="12.8" customHeight="1" s="304"/>
    <row r="1047235" ht="12.8" customHeight="1" s="304"/>
    <row r="1047236" ht="12.8" customHeight="1" s="304"/>
    <row r="1047237" ht="12.8" customHeight="1" s="304"/>
    <row r="1047238" ht="12.8" customHeight="1" s="304"/>
    <row r="1047239" ht="12.8" customHeight="1" s="304"/>
    <row r="1047240" ht="12.8" customHeight="1" s="304"/>
    <row r="1047241" ht="12.8" customHeight="1" s="304"/>
    <row r="1047242" ht="12.8" customHeight="1" s="304"/>
    <row r="1047243" ht="12.8" customHeight="1" s="304"/>
    <row r="1047244" ht="12.8" customHeight="1" s="304"/>
    <row r="1047245" ht="12.8" customHeight="1" s="304"/>
    <row r="1047246" ht="12.8" customHeight="1" s="304"/>
    <row r="1047247" ht="12.8" customHeight="1" s="304"/>
    <row r="1047248" ht="12.8" customHeight="1" s="304"/>
    <row r="1047249" ht="12.8" customHeight="1" s="304"/>
    <row r="1047250" ht="12.8" customHeight="1" s="304"/>
    <row r="1047251" ht="12.8" customHeight="1" s="304"/>
    <row r="1047252" ht="12.8" customHeight="1" s="304"/>
    <row r="1047253" ht="12.8" customHeight="1" s="304"/>
    <row r="1047254" ht="12.8" customHeight="1" s="304"/>
    <row r="1047255" ht="12.8" customHeight="1" s="304"/>
    <row r="1047256" ht="12.8" customHeight="1" s="304"/>
    <row r="1047257" ht="12.8" customHeight="1" s="304"/>
    <row r="1047258" ht="12.8" customHeight="1" s="304"/>
    <row r="1047259" ht="12.8" customHeight="1" s="304"/>
    <row r="1047260" ht="12.8" customHeight="1" s="304"/>
    <row r="1047261" ht="12.8" customHeight="1" s="304"/>
    <row r="1047262" ht="12.8" customHeight="1" s="304"/>
    <row r="1047263" ht="12.8" customHeight="1" s="304"/>
    <row r="1047264" ht="12.8" customHeight="1" s="304"/>
    <row r="1047265" ht="12.8" customHeight="1" s="304"/>
    <row r="1047266" ht="12.8" customHeight="1" s="304"/>
    <row r="1047267" ht="12.8" customHeight="1" s="304"/>
    <row r="1047268" ht="12.8" customHeight="1" s="304"/>
    <row r="1047269" ht="12.8" customHeight="1" s="304"/>
    <row r="1047270" ht="12.8" customHeight="1" s="304"/>
    <row r="1047271" ht="12.8" customHeight="1" s="304"/>
    <row r="1047272" ht="12.8" customHeight="1" s="304"/>
    <row r="1047273" ht="12.8" customHeight="1" s="304"/>
    <row r="1047274" ht="12.8" customHeight="1" s="304"/>
    <row r="1047275" ht="12.8" customHeight="1" s="304"/>
    <row r="1047276" ht="12.8" customHeight="1" s="304"/>
    <row r="1047277" ht="12.8" customHeight="1" s="304"/>
    <row r="1047278" ht="12.8" customHeight="1" s="304"/>
    <row r="1047279" ht="12.8" customHeight="1" s="304"/>
    <row r="1047280" ht="12.8" customHeight="1" s="304"/>
    <row r="1047281" ht="12.8" customHeight="1" s="304"/>
    <row r="1047282" ht="12.8" customHeight="1" s="304"/>
    <row r="1047283" ht="12.8" customHeight="1" s="304"/>
    <row r="1047284" ht="12.8" customHeight="1" s="304"/>
    <row r="1047285" ht="12.8" customHeight="1" s="304"/>
    <row r="1047286" ht="12.8" customHeight="1" s="304"/>
    <row r="1047287" ht="12.8" customHeight="1" s="304"/>
    <row r="1047288" ht="12.8" customHeight="1" s="304"/>
    <row r="1047289" ht="12.8" customHeight="1" s="304"/>
    <row r="1047290" ht="12.8" customHeight="1" s="304"/>
    <row r="1047291" ht="12.8" customHeight="1" s="304"/>
    <row r="1047292" ht="12.8" customHeight="1" s="304"/>
    <row r="1047293" ht="12.8" customHeight="1" s="304"/>
    <row r="1047294" ht="12.8" customHeight="1" s="304"/>
    <row r="1047295" ht="12.8" customHeight="1" s="304"/>
    <row r="1047296" ht="12.8" customHeight="1" s="304"/>
    <row r="1047297" ht="12.8" customHeight="1" s="304"/>
    <row r="1047298" ht="12.8" customHeight="1" s="304"/>
    <row r="1047299" ht="12.8" customHeight="1" s="304"/>
    <row r="1047300" ht="12.8" customHeight="1" s="304"/>
    <row r="1047301" ht="12.8" customHeight="1" s="304"/>
    <row r="1047302" ht="12.8" customHeight="1" s="304"/>
    <row r="1047303" ht="12.8" customHeight="1" s="304"/>
    <row r="1047304" ht="12.8" customHeight="1" s="304"/>
    <row r="1047305" ht="12.8" customHeight="1" s="304"/>
    <row r="1047306" ht="12.8" customHeight="1" s="304"/>
    <row r="1047307" ht="12.8" customHeight="1" s="304"/>
    <row r="1047308" ht="12.8" customHeight="1" s="304"/>
    <row r="1047309" ht="12.8" customHeight="1" s="304"/>
    <row r="1047310" ht="12.8" customHeight="1" s="304"/>
    <row r="1047311" ht="12.8" customHeight="1" s="304"/>
    <row r="1047312" ht="12.8" customHeight="1" s="304"/>
    <row r="1047313" ht="12.8" customHeight="1" s="304"/>
    <row r="1047314" ht="12.8" customHeight="1" s="304"/>
    <row r="1047315" ht="12.8" customHeight="1" s="304"/>
    <row r="1047316" ht="12.8" customHeight="1" s="304"/>
    <row r="1047317" ht="12.8" customHeight="1" s="304"/>
    <row r="1047318" ht="12.8" customHeight="1" s="304"/>
    <row r="1047319" ht="12.8" customHeight="1" s="304"/>
    <row r="1047320" ht="12.8" customHeight="1" s="304"/>
    <row r="1047321" ht="12.8" customHeight="1" s="304"/>
    <row r="1047322" ht="12.8" customHeight="1" s="304"/>
    <row r="1047323" ht="12.8" customHeight="1" s="304"/>
    <row r="1047324" ht="12.8" customHeight="1" s="304"/>
    <row r="1047325" ht="12.8" customHeight="1" s="304"/>
    <row r="1047326" ht="12.8" customHeight="1" s="304"/>
    <row r="1047327" ht="12.8" customHeight="1" s="304"/>
    <row r="1047328" ht="12.8" customHeight="1" s="304"/>
    <row r="1047329" ht="12.8" customHeight="1" s="304"/>
    <row r="1047330" ht="12.8" customHeight="1" s="304"/>
    <row r="1047331" ht="12.8" customHeight="1" s="304"/>
    <row r="1047332" ht="12.8" customHeight="1" s="304"/>
    <row r="1047333" ht="12.8" customHeight="1" s="304"/>
    <row r="1047334" ht="12.8" customHeight="1" s="304"/>
    <row r="1047335" ht="12.8" customHeight="1" s="304"/>
    <row r="1047336" ht="12.8" customHeight="1" s="304"/>
    <row r="1047337" ht="12.8" customHeight="1" s="304"/>
    <row r="1047338" ht="12.8" customHeight="1" s="304"/>
    <row r="1047339" ht="12.8" customHeight="1" s="304"/>
    <row r="1047340" ht="12.8" customHeight="1" s="304"/>
    <row r="1047341" ht="12.8" customHeight="1" s="304"/>
    <row r="1047342" ht="12.8" customHeight="1" s="304"/>
    <row r="1047343" ht="12.8" customHeight="1" s="304"/>
    <row r="1047344" ht="12.8" customHeight="1" s="304"/>
    <row r="1047345" ht="12.8" customHeight="1" s="304"/>
    <row r="1047346" ht="12.8" customHeight="1" s="304"/>
    <row r="1047347" ht="12.8" customHeight="1" s="304"/>
    <row r="1047348" ht="12.8" customHeight="1" s="304"/>
    <row r="1047349" ht="12.8" customHeight="1" s="304"/>
    <row r="1047350" ht="12.8" customHeight="1" s="304"/>
    <row r="1047351" ht="12.8" customHeight="1" s="304"/>
    <row r="1047352" ht="12.8" customHeight="1" s="304"/>
    <row r="1047353" ht="12.8" customHeight="1" s="304"/>
    <row r="1047354" ht="12.8" customHeight="1" s="304"/>
    <row r="1047355" ht="12.8" customHeight="1" s="304"/>
    <row r="1047356" ht="12.8" customHeight="1" s="304"/>
    <row r="1047357" ht="12.8" customHeight="1" s="304"/>
    <row r="1047358" ht="12.8" customHeight="1" s="304"/>
    <row r="1047359" ht="12.8" customHeight="1" s="304"/>
    <row r="1047360" ht="12.8" customHeight="1" s="304"/>
    <row r="1047361" ht="12.8" customHeight="1" s="304"/>
    <row r="1047362" ht="12.8" customHeight="1" s="304"/>
    <row r="1047363" ht="12.8" customHeight="1" s="304"/>
    <row r="1047364" ht="12.8" customHeight="1" s="304"/>
    <row r="1047365" ht="12.8" customHeight="1" s="304"/>
    <row r="1047366" ht="12.8" customHeight="1" s="304"/>
    <row r="1047367" ht="12.8" customHeight="1" s="304"/>
    <row r="1047368" ht="12.8" customHeight="1" s="304"/>
    <row r="1047369" ht="12.8" customHeight="1" s="304"/>
    <row r="1047370" ht="12.8" customHeight="1" s="304"/>
    <row r="1047371" ht="12.8" customHeight="1" s="304"/>
    <row r="1047372" ht="12.8" customHeight="1" s="304"/>
    <row r="1047373" ht="12.8" customHeight="1" s="304"/>
    <row r="1047374" ht="12.8" customHeight="1" s="304"/>
    <row r="1047375" ht="12.8" customHeight="1" s="304"/>
    <row r="1047376" ht="12.8" customHeight="1" s="304"/>
    <row r="1047377" ht="12.8" customHeight="1" s="304"/>
    <row r="1047378" ht="12.8" customHeight="1" s="304"/>
    <row r="1047379" ht="12.8" customHeight="1" s="304"/>
    <row r="1047380" ht="12.8" customHeight="1" s="304"/>
    <row r="1047381" ht="12.8" customHeight="1" s="304"/>
    <row r="1047382" ht="12.8" customHeight="1" s="304"/>
    <row r="1047383" ht="12.8" customHeight="1" s="304"/>
    <row r="1047384" ht="12.8" customHeight="1" s="304"/>
    <row r="1047385" ht="12.8" customHeight="1" s="304"/>
    <row r="1047386" ht="12.8" customHeight="1" s="304"/>
    <row r="1047387" ht="12.8" customHeight="1" s="304"/>
    <row r="1047388" ht="12.8" customHeight="1" s="304"/>
    <row r="1047389" ht="12.8" customHeight="1" s="304"/>
    <row r="1047390" ht="12.8" customHeight="1" s="304"/>
    <row r="1047391" ht="12.8" customHeight="1" s="304"/>
    <row r="1047392" ht="12.8" customHeight="1" s="304"/>
    <row r="1047393" ht="12.8" customHeight="1" s="304"/>
    <row r="1047394" ht="12.8" customHeight="1" s="304"/>
    <row r="1047395" ht="12.8" customHeight="1" s="304"/>
    <row r="1047396" ht="12.8" customHeight="1" s="304"/>
    <row r="1047397" ht="12.8" customHeight="1" s="304"/>
    <row r="1047398" ht="12.8" customHeight="1" s="304"/>
    <row r="1047399" ht="12.8" customHeight="1" s="304"/>
    <row r="1047400" ht="12.8" customHeight="1" s="304"/>
    <row r="1047401" ht="12.8" customHeight="1" s="304"/>
    <row r="1047402" ht="12.8" customHeight="1" s="304"/>
    <row r="1047403" ht="12.8" customHeight="1" s="304"/>
    <row r="1047404" ht="12.8" customHeight="1" s="304"/>
    <row r="1047405" ht="12.8" customHeight="1" s="304"/>
    <row r="1047406" ht="12.8" customHeight="1" s="304"/>
    <row r="1047407" ht="12.8" customHeight="1" s="304"/>
    <row r="1047408" ht="12.8" customHeight="1" s="304"/>
    <row r="1047409" ht="12.8" customHeight="1" s="304"/>
    <row r="1047410" ht="12.8" customHeight="1" s="304"/>
    <row r="1047411" ht="12.8" customHeight="1" s="304"/>
    <row r="1047412" ht="12.8" customHeight="1" s="304"/>
    <row r="1047413" ht="12.8" customHeight="1" s="304"/>
    <row r="1047414" ht="12.8" customHeight="1" s="304"/>
    <row r="1047415" ht="12.8" customHeight="1" s="304"/>
    <row r="1047416" ht="12.8" customHeight="1" s="304"/>
    <row r="1047417" ht="12.8" customHeight="1" s="304"/>
    <row r="1047418" ht="12.8" customHeight="1" s="304"/>
    <row r="1047419" ht="12.8" customHeight="1" s="304"/>
    <row r="1047420" ht="12.8" customHeight="1" s="304"/>
    <row r="1047421" ht="12.8" customHeight="1" s="304"/>
    <row r="1047422" ht="12.8" customHeight="1" s="304"/>
    <row r="1047423" ht="12.8" customHeight="1" s="304"/>
    <row r="1047424" ht="12.8" customHeight="1" s="304"/>
    <row r="1047425" ht="12.8" customHeight="1" s="304"/>
    <row r="1047426" ht="12.8" customHeight="1" s="304"/>
    <row r="1047427" ht="12.8" customHeight="1" s="304"/>
    <row r="1047428" ht="12.8" customHeight="1" s="304"/>
    <row r="1047429" ht="12.8" customHeight="1" s="304"/>
    <row r="1047430" ht="12.8" customHeight="1" s="304"/>
    <row r="1047431" ht="12.8" customHeight="1" s="304"/>
    <row r="1047432" ht="12.8" customHeight="1" s="304"/>
    <row r="1047433" ht="12.8" customHeight="1" s="304"/>
    <row r="1047434" ht="12.8" customHeight="1" s="304"/>
    <row r="1047435" ht="12.8" customHeight="1" s="304"/>
    <row r="1047436" ht="12.8" customHeight="1" s="304"/>
    <row r="1047437" ht="12.8" customHeight="1" s="304"/>
    <row r="1047438" ht="12.8" customHeight="1" s="304"/>
    <row r="1047439" ht="12.8" customHeight="1" s="304"/>
    <row r="1047440" ht="12.8" customHeight="1" s="304"/>
    <row r="1047441" ht="12.8" customHeight="1" s="304"/>
    <row r="1047442" ht="12.8" customHeight="1" s="304"/>
    <row r="1047443" ht="12.8" customHeight="1" s="304"/>
    <row r="1047444" ht="12.8" customHeight="1" s="304"/>
    <row r="1047445" ht="12.8" customHeight="1" s="304"/>
    <row r="1047446" ht="12.8" customHeight="1" s="304"/>
    <row r="1047447" ht="12.8" customHeight="1" s="304"/>
    <row r="1047448" ht="12.8" customHeight="1" s="304"/>
    <row r="1047449" ht="12.8" customHeight="1" s="304"/>
    <row r="1047450" ht="12.8" customHeight="1" s="304"/>
    <row r="1047451" ht="12.8" customHeight="1" s="304"/>
    <row r="1047452" ht="12.8" customHeight="1" s="304"/>
    <row r="1047453" ht="12.8" customHeight="1" s="304"/>
    <row r="1047454" ht="12.8" customHeight="1" s="304"/>
    <row r="1047455" ht="12.8" customHeight="1" s="304"/>
    <row r="1047456" ht="12.8" customHeight="1" s="304"/>
    <row r="1047457" ht="12.8" customHeight="1" s="304"/>
    <row r="1047458" ht="12.8" customHeight="1" s="304"/>
    <row r="1047459" ht="12.8" customHeight="1" s="304"/>
    <row r="1047460" ht="12.8" customHeight="1" s="304"/>
    <row r="1047461" ht="12.8" customHeight="1" s="304"/>
    <row r="1047462" ht="12.8" customHeight="1" s="304"/>
    <row r="1047463" ht="12.8" customHeight="1" s="304"/>
    <row r="1047464" ht="12.8" customHeight="1" s="304"/>
    <row r="1047465" ht="12.8" customHeight="1" s="304"/>
    <row r="1047466" ht="12.8" customHeight="1" s="304"/>
    <row r="1047467" ht="12.8" customHeight="1" s="304"/>
    <row r="1047468" ht="12.8" customHeight="1" s="304"/>
    <row r="1047469" ht="12.8" customHeight="1" s="304"/>
    <row r="1047470" ht="12.8" customHeight="1" s="304"/>
    <row r="1047471" ht="12.8" customHeight="1" s="304"/>
    <row r="1047472" ht="12.8" customHeight="1" s="304"/>
    <row r="1047473" ht="12.8" customHeight="1" s="304"/>
    <row r="1047474" ht="12.8" customHeight="1" s="304"/>
    <row r="1047475" ht="12.8" customHeight="1" s="304"/>
    <row r="1047476" ht="12.8" customHeight="1" s="304"/>
    <row r="1047477" ht="12.8" customHeight="1" s="304"/>
    <row r="1047478" ht="12.8" customHeight="1" s="304"/>
    <row r="1047479" ht="12.8" customHeight="1" s="304"/>
    <row r="1047480" ht="12.8" customHeight="1" s="304"/>
    <row r="1047481" ht="12.8" customHeight="1" s="304"/>
    <row r="1047482" ht="12.8" customHeight="1" s="304"/>
    <row r="1047483" ht="12.8" customHeight="1" s="304"/>
    <row r="1047484" ht="12.8" customHeight="1" s="304"/>
    <row r="1047485" ht="12.8" customHeight="1" s="304"/>
    <row r="1047486" ht="12.8" customHeight="1" s="304"/>
    <row r="1047487" ht="12.8" customHeight="1" s="304"/>
    <row r="1047488" ht="12.8" customHeight="1" s="304"/>
    <row r="1047489" ht="12.8" customHeight="1" s="304"/>
    <row r="1047490" ht="12.8" customHeight="1" s="304"/>
    <row r="1047491" ht="12.8" customHeight="1" s="304"/>
    <row r="1047492" ht="12.8" customHeight="1" s="304"/>
    <row r="1047493" ht="12.8" customHeight="1" s="304"/>
    <row r="1047494" ht="12.8" customHeight="1" s="304"/>
    <row r="1047495" ht="12.8" customHeight="1" s="304"/>
    <row r="1047496" ht="12.8" customHeight="1" s="304"/>
    <row r="1047497" ht="12.8" customHeight="1" s="304"/>
    <row r="1047498" ht="12.8" customHeight="1" s="304"/>
    <row r="1047499" ht="12.8" customHeight="1" s="304"/>
    <row r="1047500" ht="12.8" customHeight="1" s="304"/>
    <row r="1047501" ht="12.8" customHeight="1" s="304"/>
    <row r="1047502" ht="12.8" customHeight="1" s="304"/>
    <row r="1047503" ht="12.8" customHeight="1" s="304"/>
    <row r="1047504" ht="12.8" customHeight="1" s="304"/>
    <row r="1047505" ht="12.8" customHeight="1" s="304"/>
    <row r="1047506" ht="12.8" customHeight="1" s="304"/>
    <row r="1047507" ht="12.8" customHeight="1" s="304"/>
    <row r="1047508" ht="12.8" customHeight="1" s="304"/>
    <row r="1047509" ht="12.8" customHeight="1" s="304"/>
    <row r="1047510" ht="12.8" customHeight="1" s="304"/>
    <row r="1047511" ht="12.8" customHeight="1" s="304"/>
    <row r="1047512" ht="12.8" customHeight="1" s="304"/>
    <row r="1047513" ht="12.8" customHeight="1" s="304"/>
    <row r="1047514" ht="12.8" customHeight="1" s="304"/>
    <row r="1047515" ht="12.8" customHeight="1" s="304"/>
    <row r="1047516" ht="12.8" customHeight="1" s="304"/>
    <row r="1047517" ht="12.8" customHeight="1" s="304"/>
    <row r="1047518" ht="12.8" customHeight="1" s="304"/>
    <row r="1047519" ht="12.8" customHeight="1" s="304"/>
    <row r="1047520" ht="12.8" customHeight="1" s="304"/>
    <row r="1047521" ht="12.8" customHeight="1" s="304"/>
    <row r="1047522" ht="12.8" customHeight="1" s="304"/>
    <row r="1047523" ht="12.8" customHeight="1" s="304"/>
    <row r="1047524" ht="12.8" customHeight="1" s="304"/>
    <row r="1047525" ht="12.8" customHeight="1" s="304"/>
    <row r="1047526" ht="12.8" customHeight="1" s="304"/>
    <row r="1047527" ht="12.8" customHeight="1" s="304"/>
    <row r="1047528" ht="12.8" customHeight="1" s="304"/>
    <row r="1047529" ht="12.8" customHeight="1" s="304"/>
    <row r="1047530" ht="12.8" customHeight="1" s="304"/>
    <row r="1047531" ht="12.8" customHeight="1" s="304"/>
    <row r="1047532" ht="12.8" customHeight="1" s="304"/>
    <row r="1047533" ht="12.8" customHeight="1" s="304"/>
    <row r="1047534" ht="12.8" customHeight="1" s="304"/>
    <row r="1047535" ht="12.8" customHeight="1" s="304"/>
    <row r="1047536" ht="12.8" customHeight="1" s="304"/>
    <row r="1047537" ht="12.8" customHeight="1" s="304"/>
    <row r="1047538" ht="12.8" customHeight="1" s="304"/>
    <row r="1047539" ht="12.8" customHeight="1" s="304"/>
    <row r="1047540" ht="12.8" customHeight="1" s="304"/>
    <row r="1047541" ht="12.8" customHeight="1" s="304"/>
    <row r="1047542" ht="12.8" customHeight="1" s="304"/>
    <row r="1047543" ht="12.8" customHeight="1" s="304"/>
    <row r="1047544" ht="12.8" customHeight="1" s="304"/>
    <row r="1047545" ht="12.8" customHeight="1" s="304"/>
    <row r="1047546" ht="12.8" customHeight="1" s="304"/>
    <row r="1047547" ht="12.8" customHeight="1" s="304"/>
    <row r="1047548" ht="12.8" customHeight="1" s="304"/>
    <row r="1047549" ht="12.8" customHeight="1" s="304"/>
    <row r="1047550" ht="12.8" customHeight="1" s="304"/>
    <row r="1047551" ht="12.8" customHeight="1" s="304"/>
    <row r="1047552" ht="12.8" customHeight="1" s="304"/>
    <row r="1047553" ht="12.8" customHeight="1" s="304"/>
    <row r="1047554" ht="12.8" customHeight="1" s="304"/>
    <row r="1047555" ht="12.8" customHeight="1" s="304"/>
    <row r="1047556" ht="12.8" customHeight="1" s="304"/>
    <row r="1047557" ht="12.8" customHeight="1" s="304"/>
    <row r="1047558" ht="12.8" customHeight="1" s="304"/>
    <row r="1047559" ht="12.8" customHeight="1" s="304"/>
    <row r="1047560" ht="12.8" customHeight="1" s="304"/>
    <row r="1047561" ht="12.8" customHeight="1" s="304"/>
    <row r="1047562" ht="12.8" customHeight="1" s="304"/>
    <row r="1047563" ht="12.8" customHeight="1" s="304"/>
    <row r="1047564" ht="12.8" customHeight="1" s="304"/>
    <row r="1047565" ht="12.8" customHeight="1" s="304"/>
    <row r="1047566" ht="12.8" customHeight="1" s="304"/>
    <row r="1047567" ht="12.8" customHeight="1" s="304"/>
    <row r="1047568" ht="12.8" customHeight="1" s="304"/>
    <row r="1047569" ht="12.8" customHeight="1" s="304"/>
    <row r="1047570" ht="12.8" customHeight="1" s="304"/>
    <row r="1047571" ht="12.8" customHeight="1" s="304"/>
    <row r="1047572" ht="12.8" customHeight="1" s="304"/>
    <row r="1047573" ht="12.8" customHeight="1" s="304"/>
    <row r="1047574" ht="12.8" customHeight="1" s="304"/>
    <row r="1047575" ht="12.8" customHeight="1" s="304"/>
    <row r="1047576" ht="12.8" customHeight="1" s="304"/>
    <row r="1047577" ht="12.8" customHeight="1" s="304"/>
    <row r="1047578" ht="12.8" customHeight="1" s="304"/>
    <row r="1047579" ht="12.8" customHeight="1" s="304"/>
    <row r="1047580" ht="12.8" customHeight="1" s="304"/>
    <row r="1047581" ht="12.8" customHeight="1" s="304"/>
    <row r="1047582" ht="12.8" customHeight="1" s="304"/>
    <row r="1047583" ht="12.8" customHeight="1" s="304"/>
    <row r="1047584" ht="12.8" customHeight="1" s="304"/>
    <row r="1047585" ht="12.8" customHeight="1" s="304"/>
    <row r="1047586" ht="12.8" customHeight="1" s="304"/>
    <row r="1047587" ht="12.8" customHeight="1" s="304"/>
    <row r="1047588" ht="12.8" customHeight="1" s="304"/>
    <row r="1047589" ht="12.8" customHeight="1" s="304"/>
    <row r="1047590" ht="12.8" customHeight="1" s="304"/>
    <row r="1047591" ht="12.8" customHeight="1" s="304"/>
    <row r="1047592" ht="12.8" customHeight="1" s="304"/>
    <row r="1047593" ht="12.8" customHeight="1" s="304"/>
    <row r="1047594" ht="12.8" customHeight="1" s="304"/>
    <row r="1047595" ht="12.8" customHeight="1" s="304"/>
    <row r="1047596" ht="12.8" customHeight="1" s="304"/>
    <row r="1047597" ht="12.8" customHeight="1" s="304"/>
    <row r="1047598" ht="12.8" customHeight="1" s="304"/>
    <row r="1047599" ht="12.8" customHeight="1" s="304"/>
    <row r="1047600" ht="12.8" customHeight="1" s="304"/>
    <row r="1047601" ht="12.8" customHeight="1" s="304"/>
    <row r="1047602" ht="12.8" customHeight="1" s="304"/>
    <row r="1047603" ht="12.8" customHeight="1" s="304"/>
    <row r="1047604" ht="12.8" customHeight="1" s="304"/>
    <row r="1047605" ht="12.8" customHeight="1" s="304"/>
    <row r="1047606" ht="12.8" customHeight="1" s="304"/>
    <row r="1047607" ht="12.8" customHeight="1" s="304"/>
    <row r="1047608" ht="12.8" customHeight="1" s="304"/>
    <row r="1047609" ht="12.8" customHeight="1" s="304"/>
    <row r="1047610" ht="12.8" customHeight="1" s="304"/>
    <row r="1047611" ht="12.8" customHeight="1" s="304"/>
    <row r="1047612" ht="12.8" customHeight="1" s="304"/>
    <row r="1047613" ht="12.8" customHeight="1" s="304"/>
    <row r="1047614" ht="12.8" customHeight="1" s="304"/>
    <row r="1047615" ht="12.8" customHeight="1" s="304"/>
    <row r="1047616" ht="12.8" customHeight="1" s="304"/>
    <row r="1047617" ht="12.8" customHeight="1" s="304"/>
    <row r="1047618" ht="12.8" customHeight="1" s="304"/>
    <row r="1047619" ht="12.8" customHeight="1" s="304"/>
    <row r="1047620" ht="12.8" customHeight="1" s="304"/>
    <row r="1047621" ht="12.8" customHeight="1" s="304"/>
    <row r="1047622" ht="12.8" customHeight="1" s="304"/>
    <row r="1047623" ht="12.8" customHeight="1" s="304"/>
    <row r="1047624" ht="12.8" customHeight="1" s="304"/>
    <row r="1047625" ht="12.8" customHeight="1" s="304"/>
    <row r="1047626" ht="12.8" customHeight="1" s="304"/>
    <row r="1047627" ht="12.8" customHeight="1" s="304"/>
    <row r="1047628" ht="12.8" customHeight="1" s="304"/>
    <row r="1047629" ht="12.8" customHeight="1" s="304"/>
    <row r="1047630" ht="12.8" customHeight="1" s="304"/>
    <row r="1047631" ht="12.8" customHeight="1" s="304"/>
    <row r="1047632" ht="12.8" customHeight="1" s="304"/>
    <row r="1047633" ht="12.8" customHeight="1" s="304"/>
    <row r="1047634" ht="12.8" customHeight="1" s="304"/>
    <row r="1047635" ht="12.8" customHeight="1" s="304"/>
    <row r="1047636" ht="12.8" customHeight="1" s="304"/>
    <row r="1047637" ht="12.8" customHeight="1" s="304"/>
    <row r="1047638" ht="12.8" customHeight="1" s="304"/>
    <row r="1047639" ht="12.8" customHeight="1" s="304"/>
    <row r="1047640" ht="12.8" customHeight="1" s="304"/>
    <row r="1047641" ht="12.8" customHeight="1" s="304"/>
    <row r="1047642" ht="12.8" customHeight="1" s="304"/>
    <row r="1047643" ht="12.8" customHeight="1" s="304"/>
    <row r="1047644" ht="12.8" customHeight="1" s="304"/>
    <row r="1047645" ht="12.8" customHeight="1" s="304"/>
    <row r="1047646" ht="12.8" customHeight="1" s="304"/>
    <row r="1047647" ht="12.8" customHeight="1" s="304"/>
    <row r="1047648" ht="12.8" customHeight="1" s="304"/>
    <row r="1047649" ht="12.8" customHeight="1" s="304"/>
    <row r="1047650" ht="12.8" customHeight="1" s="304"/>
    <row r="1047651" ht="12.8" customHeight="1" s="304"/>
    <row r="1047652" ht="12.8" customHeight="1" s="304"/>
    <row r="1047653" ht="12.8" customHeight="1" s="304"/>
    <row r="1047654" ht="12.8" customHeight="1" s="304"/>
    <row r="1047655" ht="12.8" customHeight="1" s="304"/>
    <row r="1047656" ht="12.8" customHeight="1" s="304"/>
    <row r="1047657" ht="12.8" customHeight="1" s="304"/>
    <row r="1047658" ht="12.8" customHeight="1" s="304"/>
    <row r="1047659" ht="12.8" customHeight="1" s="304"/>
    <row r="1047660" ht="12.8" customHeight="1" s="304"/>
    <row r="1047661" ht="12.8" customHeight="1" s="304"/>
    <row r="1047662" ht="12.8" customHeight="1" s="304"/>
    <row r="1047663" ht="12.8" customHeight="1" s="304"/>
    <row r="1047664" ht="12.8" customHeight="1" s="304"/>
    <row r="1047665" ht="12.8" customHeight="1" s="304"/>
    <row r="1047666" ht="12.8" customHeight="1" s="304"/>
    <row r="1047667" ht="12.8" customHeight="1" s="304"/>
    <row r="1047668" ht="12.8" customHeight="1" s="304"/>
    <row r="1047669" ht="12.8" customHeight="1" s="304"/>
    <row r="1047670" ht="12.8" customHeight="1" s="304"/>
    <row r="1047671" ht="12.8" customHeight="1" s="304"/>
    <row r="1047672" ht="12.8" customHeight="1" s="304"/>
    <row r="1047673" ht="12.8" customHeight="1" s="304"/>
    <row r="1047674" ht="12.8" customHeight="1" s="304"/>
    <row r="1047675" ht="12.8" customHeight="1" s="304"/>
    <row r="1047676" ht="12.8" customHeight="1" s="304"/>
    <row r="1047677" ht="12.8" customHeight="1" s="304"/>
    <row r="1047678" ht="12.8" customHeight="1" s="304"/>
    <row r="1047679" ht="12.8" customHeight="1" s="304"/>
    <row r="1047680" ht="12.8" customHeight="1" s="304"/>
    <row r="1047681" ht="12.8" customHeight="1" s="304"/>
    <row r="1047682" ht="12.8" customHeight="1" s="304"/>
    <row r="1047683" ht="12.8" customHeight="1" s="304"/>
    <row r="1047684" ht="12.8" customHeight="1" s="304"/>
    <row r="1047685" ht="12.8" customHeight="1" s="304"/>
    <row r="1047686" ht="12.8" customHeight="1" s="304"/>
    <row r="1047687" ht="12.8" customHeight="1" s="304"/>
    <row r="1047688" ht="12.8" customHeight="1" s="304"/>
    <row r="1047689" ht="12.8" customHeight="1" s="304"/>
    <row r="1047690" ht="12.8" customHeight="1" s="304"/>
    <row r="1047691" ht="12.8" customHeight="1" s="304"/>
    <row r="1047692" ht="12.8" customHeight="1" s="304"/>
    <row r="1047693" ht="12.8" customHeight="1" s="304"/>
    <row r="1047694" ht="12.8" customHeight="1" s="304"/>
    <row r="1047695" ht="12.8" customHeight="1" s="304"/>
    <row r="1047696" ht="12.8" customHeight="1" s="304"/>
    <row r="1047697" ht="12.8" customHeight="1" s="304"/>
    <row r="1047698" ht="12.8" customHeight="1" s="304"/>
    <row r="1047699" ht="12.8" customHeight="1" s="304"/>
    <row r="1047700" ht="12.8" customHeight="1" s="304"/>
    <row r="1047701" ht="12.8" customHeight="1" s="304"/>
    <row r="1047702" ht="12.8" customHeight="1" s="304"/>
    <row r="1047703" ht="12.8" customHeight="1" s="304"/>
    <row r="1047704" ht="12.8" customHeight="1" s="304"/>
    <row r="1047705" ht="12.8" customHeight="1" s="304"/>
    <row r="1047706" ht="12.8" customHeight="1" s="304"/>
    <row r="1047707" ht="12.8" customHeight="1" s="304"/>
    <row r="1047708" ht="12.8" customHeight="1" s="304"/>
    <row r="1047709" ht="12.8" customHeight="1" s="304"/>
    <row r="1047710" ht="12.8" customHeight="1" s="304"/>
    <row r="1047711" ht="12.8" customHeight="1" s="304"/>
    <row r="1047712" ht="12.8" customHeight="1" s="304"/>
    <row r="1047713" ht="12.8" customHeight="1" s="304"/>
    <row r="1047714" ht="12.8" customHeight="1" s="304"/>
    <row r="1047715" ht="12.8" customHeight="1" s="304"/>
    <row r="1047716" ht="12.8" customHeight="1" s="304"/>
    <row r="1047717" ht="12.8" customHeight="1" s="304"/>
    <row r="1047718" ht="12.8" customHeight="1" s="304"/>
    <row r="1047719" ht="12.8" customHeight="1" s="304"/>
    <row r="1047720" ht="12.8" customHeight="1" s="304"/>
    <row r="1047721" ht="12.8" customHeight="1" s="304"/>
    <row r="1047722" ht="12.8" customHeight="1" s="304"/>
    <row r="1047723" ht="12.8" customHeight="1" s="304"/>
    <row r="1047724" ht="12.8" customHeight="1" s="304"/>
    <row r="1047725" ht="12.8" customHeight="1" s="304"/>
    <row r="1047726" ht="12.8" customHeight="1" s="304"/>
    <row r="1047727" ht="12.8" customHeight="1" s="304"/>
    <row r="1047728" ht="12.8" customHeight="1" s="304"/>
    <row r="1047729" ht="12.8" customHeight="1" s="304"/>
    <row r="1047730" ht="12.8" customHeight="1" s="304"/>
    <row r="1047731" ht="12.8" customHeight="1" s="304"/>
    <row r="1047732" ht="12.8" customHeight="1" s="304"/>
    <row r="1047733" ht="12.8" customHeight="1" s="304"/>
    <row r="1047734" ht="12.8" customHeight="1" s="304"/>
    <row r="1047735" ht="12.8" customHeight="1" s="304"/>
    <row r="1047736" ht="12.8" customHeight="1" s="304"/>
    <row r="1047737" ht="12.8" customHeight="1" s="304"/>
    <row r="1047738" ht="12.8" customHeight="1" s="304"/>
    <row r="1047739" ht="12.8" customHeight="1" s="304"/>
    <row r="1047740" ht="12.8" customHeight="1" s="304"/>
    <row r="1047741" ht="12.8" customHeight="1" s="304"/>
    <row r="1047742" ht="12.8" customHeight="1" s="304"/>
    <row r="1047743" ht="12.8" customHeight="1" s="304"/>
    <row r="1047744" ht="12.8" customHeight="1" s="304"/>
    <row r="1047745" ht="12.8" customHeight="1" s="304"/>
    <row r="1047746" ht="12.8" customHeight="1" s="304"/>
    <row r="1047747" ht="12.8" customHeight="1" s="304"/>
    <row r="1047748" ht="12.8" customHeight="1" s="304"/>
    <row r="1047749" ht="12.8" customHeight="1" s="304"/>
    <row r="1047750" ht="12.8" customHeight="1" s="304"/>
    <row r="1047751" ht="12.8" customHeight="1" s="304"/>
    <row r="1047752" ht="12.8" customHeight="1" s="304"/>
    <row r="1047753" ht="12.8" customHeight="1" s="304"/>
    <row r="1047754" ht="12.8" customHeight="1" s="304"/>
    <row r="1047755" ht="12.8" customHeight="1" s="304"/>
    <row r="1047756" ht="12.8" customHeight="1" s="304"/>
    <row r="1047757" ht="12.8" customHeight="1" s="304"/>
    <row r="1047758" ht="12.8" customHeight="1" s="304"/>
    <row r="1047759" ht="12.8" customHeight="1" s="304"/>
    <row r="1047760" ht="12.8" customHeight="1" s="304"/>
    <row r="1047761" ht="12.8" customHeight="1" s="304"/>
    <row r="1047762" ht="12.8" customHeight="1" s="304"/>
    <row r="1047763" ht="12.8" customHeight="1" s="304"/>
    <row r="1047764" ht="12.8" customHeight="1" s="304"/>
    <row r="1047765" ht="12.8" customHeight="1" s="304"/>
    <row r="1047766" ht="12.8" customHeight="1" s="304"/>
    <row r="1047767" ht="12.8" customHeight="1" s="304"/>
    <row r="1047768" ht="12.8" customHeight="1" s="304"/>
    <row r="1047769" ht="12.8" customHeight="1" s="304"/>
    <row r="1047770" ht="12.8" customHeight="1" s="304"/>
    <row r="1047771" ht="12.8" customHeight="1" s="304"/>
    <row r="1047772" ht="12.8" customHeight="1" s="304"/>
    <row r="1047773" ht="12.8" customHeight="1" s="304"/>
    <row r="1047774" ht="12.8" customHeight="1" s="304"/>
    <row r="1047775" ht="12.8" customHeight="1" s="304"/>
    <row r="1047776" ht="12.8" customHeight="1" s="304"/>
    <row r="1047777" ht="12.8" customHeight="1" s="304"/>
    <row r="1047778" ht="12.8" customHeight="1" s="304"/>
    <row r="1047779" ht="12.8" customHeight="1" s="304"/>
    <row r="1047780" ht="12.8" customHeight="1" s="304"/>
    <row r="1047781" ht="12.8" customHeight="1" s="304"/>
    <row r="1047782" ht="12.8" customHeight="1" s="304"/>
    <row r="1047783" ht="12.8" customHeight="1" s="304"/>
    <row r="1047784" ht="12.8" customHeight="1" s="304"/>
    <row r="1047785" ht="12.8" customHeight="1" s="304"/>
    <row r="1047786" ht="12.8" customHeight="1" s="304"/>
    <row r="1047787" ht="12.8" customHeight="1" s="304"/>
    <row r="1047788" ht="12.8" customHeight="1" s="304"/>
    <row r="1047789" ht="12.8" customHeight="1" s="304"/>
    <row r="1047790" ht="12.8" customHeight="1" s="304"/>
    <row r="1047791" ht="12.8" customHeight="1" s="304"/>
    <row r="1047792" ht="12.8" customHeight="1" s="304"/>
    <row r="1047793" ht="12.8" customHeight="1" s="304"/>
    <row r="1047794" ht="12.8" customHeight="1" s="304"/>
    <row r="1047795" ht="12.8" customHeight="1" s="304"/>
    <row r="1047796" ht="12.8" customHeight="1" s="304"/>
    <row r="1047797" ht="12.8" customHeight="1" s="304"/>
    <row r="1047798" ht="12.8" customHeight="1" s="304"/>
    <row r="1047799" ht="12.8" customHeight="1" s="304"/>
    <row r="1047800" ht="12.8" customHeight="1" s="304"/>
    <row r="1047801" ht="12.8" customHeight="1" s="304"/>
    <row r="1047802" ht="12.8" customHeight="1" s="304"/>
    <row r="1047803" ht="12.8" customHeight="1" s="304"/>
    <row r="1047804" ht="12.8" customHeight="1" s="304"/>
    <row r="1047805" ht="12.8" customHeight="1" s="304"/>
    <row r="1047806" ht="12.8" customHeight="1" s="304"/>
    <row r="1047807" ht="12.8" customHeight="1" s="304"/>
    <row r="1047808" ht="12.8" customHeight="1" s="304"/>
    <row r="1047809" ht="12.8" customHeight="1" s="304"/>
    <row r="1047810" ht="12.8" customHeight="1" s="304"/>
    <row r="1047811" ht="12.8" customHeight="1" s="304"/>
    <row r="1047812" ht="12.8" customHeight="1" s="304"/>
    <row r="1047813" ht="12.8" customHeight="1" s="304"/>
    <row r="1047814" ht="12.8" customHeight="1" s="304"/>
    <row r="1047815" ht="12.8" customHeight="1" s="304"/>
    <row r="1047816" ht="12.8" customHeight="1" s="304"/>
    <row r="1047817" ht="12.8" customHeight="1" s="304"/>
    <row r="1047818" ht="12.8" customHeight="1" s="304"/>
    <row r="1047819" ht="12.8" customHeight="1" s="304"/>
    <row r="1047820" ht="12.8" customHeight="1" s="304"/>
    <row r="1047821" ht="12.8" customHeight="1" s="304"/>
    <row r="1047822" ht="12.8" customHeight="1" s="304"/>
    <row r="1047823" ht="12.8" customHeight="1" s="304"/>
    <row r="1047824" ht="12.8" customHeight="1" s="304"/>
    <row r="1047825" ht="12.8" customHeight="1" s="304"/>
    <row r="1047826" ht="12.8" customHeight="1" s="304"/>
    <row r="1047827" ht="12.8" customHeight="1" s="304"/>
    <row r="1047828" ht="12.8" customHeight="1" s="304"/>
    <row r="1047829" ht="12.8" customHeight="1" s="304"/>
    <row r="1047830" ht="12.8" customHeight="1" s="304"/>
    <row r="1047831" ht="12.8" customHeight="1" s="304"/>
    <row r="1047832" ht="12.8" customHeight="1" s="304"/>
    <row r="1047833" ht="12.8" customHeight="1" s="304"/>
    <row r="1047834" ht="12.8" customHeight="1" s="304"/>
    <row r="1047835" ht="12.8" customHeight="1" s="304"/>
    <row r="1047836" ht="12.8" customHeight="1" s="304"/>
    <row r="1047837" ht="12.8" customHeight="1" s="304"/>
    <row r="1047838" ht="12.8" customHeight="1" s="304"/>
    <row r="1047839" ht="12.8" customHeight="1" s="304"/>
    <row r="1047840" ht="12.8" customHeight="1" s="304"/>
    <row r="1047841" ht="12.8" customHeight="1" s="304"/>
    <row r="1047842" ht="12.8" customHeight="1" s="304"/>
    <row r="1047843" ht="12.8" customHeight="1" s="304"/>
    <row r="1047844" ht="12.8" customHeight="1" s="304"/>
    <row r="1047845" ht="12.8" customHeight="1" s="304"/>
    <row r="1047846" ht="12.8" customHeight="1" s="304"/>
    <row r="1047847" ht="12.8" customHeight="1" s="304"/>
    <row r="1047848" ht="12.8" customHeight="1" s="304"/>
    <row r="1047849" ht="12.8" customHeight="1" s="304"/>
    <row r="1047850" ht="12.8" customHeight="1" s="304"/>
    <row r="1047851" ht="12.8" customHeight="1" s="304"/>
    <row r="1047852" ht="12.8" customHeight="1" s="304"/>
    <row r="1047853" ht="12.8" customHeight="1" s="304"/>
    <row r="1047854" ht="12.8" customHeight="1" s="304"/>
    <row r="1047855" ht="12.8" customHeight="1" s="304"/>
    <row r="1047856" ht="12.8" customHeight="1" s="304"/>
    <row r="1047857" ht="12.8" customHeight="1" s="304"/>
    <row r="1047858" ht="12.8" customHeight="1" s="304"/>
    <row r="1047859" ht="12.8" customHeight="1" s="304"/>
    <row r="1047860" ht="12.8" customHeight="1" s="304"/>
    <row r="1047861" ht="12.8" customHeight="1" s="304"/>
    <row r="1047862" ht="12.8" customHeight="1" s="304"/>
    <row r="1047863" ht="12.8" customHeight="1" s="304"/>
    <row r="1047864" ht="12.8" customHeight="1" s="304"/>
    <row r="1047865" ht="12.8" customHeight="1" s="304"/>
    <row r="1047866" ht="12.8" customHeight="1" s="304"/>
    <row r="1047867" ht="12.8" customHeight="1" s="304"/>
    <row r="1047868" ht="12.8" customHeight="1" s="304"/>
    <row r="1047869" ht="12.8" customHeight="1" s="304"/>
    <row r="1047870" ht="12.8" customHeight="1" s="304"/>
    <row r="1047871" ht="12.8" customHeight="1" s="304"/>
    <row r="1047872" ht="12.8" customHeight="1" s="304"/>
    <row r="1047873" ht="12.8" customHeight="1" s="304"/>
    <row r="1047874" ht="12.8" customHeight="1" s="304"/>
    <row r="1047875" ht="12.8" customHeight="1" s="304"/>
    <row r="1047876" ht="12.8" customHeight="1" s="304"/>
    <row r="1047877" ht="12.8" customHeight="1" s="304"/>
    <row r="1047878" ht="12.8" customHeight="1" s="304"/>
    <row r="1047879" ht="12.8" customHeight="1" s="304"/>
    <row r="1047880" ht="12.8" customHeight="1" s="304"/>
    <row r="1047881" ht="12.8" customHeight="1" s="304"/>
    <row r="1047882" ht="12.8" customHeight="1" s="304"/>
    <row r="1047883" ht="12.8" customHeight="1" s="304"/>
    <row r="1047884" ht="12.8" customHeight="1" s="304"/>
    <row r="1047885" ht="12.8" customHeight="1" s="304"/>
    <row r="1047886" ht="12.8" customHeight="1" s="304"/>
    <row r="1047887" ht="12.8" customHeight="1" s="304"/>
    <row r="1047888" ht="12.8" customHeight="1" s="304"/>
    <row r="1047889" ht="12.8" customHeight="1" s="304"/>
    <row r="1047890" ht="12.8" customHeight="1" s="304"/>
    <row r="1047891" ht="12.8" customHeight="1" s="304"/>
    <row r="1047892" ht="12.8" customHeight="1" s="304"/>
    <row r="1047893" ht="12.8" customHeight="1" s="304"/>
    <row r="1047894" ht="12.8" customHeight="1" s="304"/>
    <row r="1047895" ht="12.8" customHeight="1" s="304"/>
    <row r="1047896" ht="12.8" customHeight="1" s="304"/>
    <row r="1047897" ht="12.8" customHeight="1" s="304"/>
    <row r="1047898" ht="12.8" customHeight="1" s="304"/>
    <row r="1047899" ht="12.8" customHeight="1" s="304"/>
    <row r="1047900" ht="12.8" customHeight="1" s="304"/>
    <row r="1047901" ht="12.8" customHeight="1" s="304"/>
    <row r="1047902" ht="12.8" customHeight="1" s="304"/>
    <row r="1047903" ht="12.8" customHeight="1" s="304"/>
    <row r="1047904" ht="12.8" customHeight="1" s="304"/>
    <row r="1047905" ht="12.8" customHeight="1" s="304"/>
    <row r="1047906" ht="12.8" customHeight="1" s="304"/>
    <row r="1047907" ht="12.8" customHeight="1" s="304"/>
    <row r="1047908" ht="12.8" customHeight="1" s="304"/>
    <row r="1047909" ht="12.8" customHeight="1" s="304"/>
    <row r="1047910" ht="12.8" customHeight="1" s="304"/>
    <row r="1047911" ht="12.8" customHeight="1" s="304"/>
    <row r="1047912" ht="12.8" customHeight="1" s="304"/>
    <row r="1047913" ht="12.8" customHeight="1" s="304"/>
    <row r="1047914" ht="12.8" customHeight="1" s="304"/>
    <row r="1047915" ht="12.8" customHeight="1" s="304"/>
    <row r="1047916" ht="12.8" customHeight="1" s="304"/>
    <row r="1047917" ht="12.8" customHeight="1" s="304"/>
    <row r="1047918" ht="12.8" customHeight="1" s="304"/>
    <row r="1047919" ht="12.8" customHeight="1" s="304"/>
    <row r="1047920" ht="12.8" customHeight="1" s="304"/>
    <row r="1047921" ht="12.8" customHeight="1" s="304"/>
    <row r="1047922" ht="12.8" customHeight="1" s="304"/>
    <row r="1047923" ht="12.8" customHeight="1" s="304"/>
    <row r="1047924" ht="12.8" customHeight="1" s="304"/>
    <row r="1047925" ht="12.8" customHeight="1" s="304"/>
    <row r="1047926" ht="12.8" customHeight="1" s="304"/>
    <row r="1047927" ht="12.8" customHeight="1" s="304"/>
    <row r="1047928" ht="12.8" customHeight="1" s="304"/>
    <row r="1047929" ht="12.8" customHeight="1" s="304"/>
    <row r="1047930" ht="12.8" customHeight="1" s="304"/>
    <row r="1047931" ht="12.8" customHeight="1" s="304"/>
    <row r="1047932" ht="12.8" customHeight="1" s="304"/>
    <row r="1047933" ht="12.8" customHeight="1" s="304"/>
    <row r="1047934" ht="12.8" customHeight="1" s="304"/>
    <row r="1047935" ht="12.8" customHeight="1" s="304"/>
    <row r="1047936" ht="12.8" customHeight="1" s="304"/>
    <row r="1047937" ht="12.8" customHeight="1" s="304"/>
    <row r="1047938" ht="12.8" customHeight="1" s="304"/>
    <row r="1047939" ht="12.8" customHeight="1" s="304"/>
    <row r="1047940" ht="12.8" customHeight="1" s="304"/>
    <row r="1047941" ht="12.8" customHeight="1" s="304"/>
    <row r="1047942" ht="12.8" customHeight="1" s="304"/>
    <row r="1047943" ht="12.8" customHeight="1" s="304"/>
    <row r="1047944" ht="12.8" customHeight="1" s="304"/>
    <row r="1047945" ht="12.8" customHeight="1" s="304"/>
    <row r="1047946" ht="12.8" customHeight="1" s="304"/>
    <row r="1047947" ht="12.8" customHeight="1" s="304"/>
    <row r="1047948" ht="12.8" customHeight="1" s="304"/>
    <row r="1047949" ht="12.8" customHeight="1" s="304"/>
    <row r="1047950" ht="12.8" customHeight="1" s="304"/>
    <row r="1047951" ht="12.8" customHeight="1" s="304"/>
    <row r="1047952" ht="12.8" customHeight="1" s="304"/>
    <row r="1047953" ht="12.8" customHeight="1" s="304"/>
    <row r="1047954" ht="12.8" customHeight="1" s="304"/>
    <row r="1047955" ht="12.8" customHeight="1" s="304"/>
    <row r="1047956" ht="12.8" customHeight="1" s="304"/>
    <row r="1047957" ht="12.8" customHeight="1" s="304"/>
    <row r="1047958" ht="12.8" customHeight="1" s="304"/>
    <row r="1047959" ht="12.8" customHeight="1" s="304"/>
    <row r="1047960" ht="12.8" customHeight="1" s="304"/>
    <row r="1047961" ht="12.8" customHeight="1" s="304"/>
    <row r="1047962" ht="12.8" customHeight="1" s="304"/>
    <row r="1047963" ht="12.8" customHeight="1" s="304"/>
    <row r="1047964" ht="12.8" customHeight="1" s="304"/>
    <row r="1047965" ht="12.8" customHeight="1" s="304"/>
    <row r="1047966" ht="12.8" customHeight="1" s="304"/>
    <row r="1047967" ht="12.8" customHeight="1" s="304"/>
    <row r="1047968" ht="12.8" customHeight="1" s="304"/>
    <row r="1047969" ht="12.8" customHeight="1" s="304"/>
    <row r="1047970" ht="12.8" customHeight="1" s="304"/>
    <row r="1047971" ht="12.8" customHeight="1" s="304"/>
    <row r="1047972" ht="12.8" customHeight="1" s="304"/>
    <row r="1047973" ht="12.8" customHeight="1" s="304"/>
    <row r="1047974" ht="12.8" customHeight="1" s="304"/>
    <row r="1047975" ht="12.8" customHeight="1" s="304"/>
    <row r="1047976" ht="12.8" customHeight="1" s="304"/>
    <row r="1047977" ht="12.8" customHeight="1" s="304"/>
    <row r="1047978" ht="12.8" customHeight="1" s="304"/>
    <row r="1047979" ht="12.8" customHeight="1" s="304"/>
    <row r="1047980" ht="12.8" customHeight="1" s="304"/>
    <row r="1047981" ht="12.8" customHeight="1" s="304"/>
    <row r="1047982" ht="12.8" customHeight="1" s="304"/>
    <row r="1047983" ht="12.8" customHeight="1" s="304"/>
    <row r="1047984" ht="12.8" customHeight="1" s="304"/>
    <row r="1047985" ht="12.8" customHeight="1" s="304"/>
    <row r="1047986" ht="12.8" customHeight="1" s="304"/>
    <row r="1047987" ht="12.8" customHeight="1" s="304"/>
    <row r="1047988" ht="12.8" customHeight="1" s="304"/>
    <row r="1047989" ht="12.8" customHeight="1" s="304"/>
    <row r="1047990" ht="12.8" customHeight="1" s="304"/>
    <row r="1047991" ht="12.8" customHeight="1" s="304"/>
    <row r="1047992" ht="12.8" customHeight="1" s="304"/>
    <row r="1047993" ht="12.8" customHeight="1" s="304"/>
    <row r="1047994" ht="12.8" customHeight="1" s="304"/>
    <row r="1047995" ht="12.8" customHeight="1" s="304"/>
    <row r="1047996" ht="12.8" customHeight="1" s="304"/>
    <row r="1047997" ht="12.8" customHeight="1" s="304"/>
    <row r="1047998" ht="12.8" customHeight="1" s="304"/>
    <row r="1047999" ht="12.8" customHeight="1" s="304"/>
    <row r="1048000" ht="12.8" customHeight="1" s="304"/>
    <row r="1048001" ht="12.8" customHeight="1" s="304"/>
    <row r="1048002" ht="12.8" customHeight="1" s="304"/>
    <row r="1048003" ht="12.8" customHeight="1" s="304"/>
    <row r="1048004" ht="12.8" customHeight="1" s="304"/>
    <row r="1048005" ht="12.8" customHeight="1" s="304"/>
    <row r="1048006" ht="12.8" customHeight="1" s="304"/>
    <row r="1048007" ht="12.8" customHeight="1" s="304"/>
    <row r="1048008" ht="12.8" customHeight="1" s="304"/>
    <row r="1048009" ht="12.8" customHeight="1" s="304"/>
    <row r="1048010" ht="12.8" customHeight="1" s="304"/>
    <row r="1048011" ht="12.8" customHeight="1" s="304"/>
    <row r="1048012" ht="12.8" customHeight="1" s="304"/>
    <row r="1048013" ht="12.8" customHeight="1" s="304"/>
    <row r="1048014" ht="12.8" customHeight="1" s="304"/>
    <row r="1048015" ht="12.8" customHeight="1" s="304"/>
    <row r="1048016" ht="12.8" customHeight="1" s="304"/>
    <row r="1048017" ht="12.8" customHeight="1" s="304"/>
    <row r="1048018" ht="12.8" customHeight="1" s="304"/>
    <row r="1048019" ht="12.8" customHeight="1" s="304"/>
    <row r="1048020" ht="12.8" customHeight="1" s="304"/>
    <row r="1048021" ht="12.8" customHeight="1" s="304"/>
    <row r="1048022" ht="12.8" customHeight="1" s="304"/>
    <row r="1048023" ht="12.8" customHeight="1" s="304"/>
    <row r="1048024" ht="12.8" customHeight="1" s="304"/>
    <row r="1048025" ht="12.8" customHeight="1" s="304"/>
    <row r="1048026" ht="12.8" customHeight="1" s="304"/>
    <row r="1048027" ht="12.8" customHeight="1" s="304"/>
    <row r="1048028" ht="12.8" customHeight="1" s="304"/>
    <row r="1048029" ht="12.8" customHeight="1" s="304"/>
    <row r="1048030" ht="12.8" customHeight="1" s="304"/>
    <row r="1048031" ht="12.8" customHeight="1" s="304"/>
    <row r="1048032" ht="12.8" customHeight="1" s="304"/>
    <row r="1048033" ht="12.8" customHeight="1" s="304"/>
    <row r="1048034" ht="12.8" customHeight="1" s="304"/>
    <row r="1048035" ht="12.8" customHeight="1" s="304"/>
    <row r="1048036" ht="12.8" customHeight="1" s="304"/>
    <row r="1048037" ht="12.8" customHeight="1" s="304"/>
    <row r="1048038" ht="12.8" customHeight="1" s="304"/>
    <row r="1048039" ht="12.8" customHeight="1" s="304"/>
    <row r="1048040" ht="12.8" customHeight="1" s="304"/>
    <row r="1048041" ht="12.8" customHeight="1" s="304"/>
    <row r="1048042" ht="12.8" customHeight="1" s="304"/>
    <row r="1048043" ht="12.8" customHeight="1" s="304"/>
    <row r="1048044" ht="12.8" customHeight="1" s="304"/>
    <row r="1048045" ht="12.8" customHeight="1" s="304"/>
    <row r="1048046" ht="12.8" customHeight="1" s="304"/>
    <row r="1048047" ht="12.8" customHeight="1" s="304"/>
    <row r="1048048" ht="12.8" customHeight="1" s="304"/>
    <row r="1048049" ht="12.8" customHeight="1" s="304"/>
    <row r="1048050" ht="12.8" customHeight="1" s="304"/>
    <row r="1048051" ht="12.8" customHeight="1" s="304"/>
    <row r="1048052" ht="12.8" customHeight="1" s="304"/>
    <row r="1048053" ht="12.8" customHeight="1" s="304"/>
    <row r="1048054" ht="12.8" customHeight="1" s="304"/>
    <row r="1048055" ht="12.8" customHeight="1" s="304"/>
    <row r="1048056" ht="12.8" customHeight="1" s="304"/>
    <row r="1048057" ht="12.8" customHeight="1" s="304"/>
    <row r="1048058" ht="12.8" customHeight="1" s="304"/>
    <row r="1048059" ht="12.8" customHeight="1" s="304"/>
    <row r="1048060" ht="12.8" customHeight="1" s="304"/>
    <row r="1048061" ht="12.8" customHeight="1" s="304"/>
    <row r="1048062" ht="12.8" customHeight="1" s="304"/>
    <row r="1048063" ht="12.8" customHeight="1" s="304"/>
    <row r="1048064" ht="12.8" customHeight="1" s="304"/>
    <row r="1048065" ht="12.8" customHeight="1" s="304"/>
    <row r="1048066" ht="12.8" customHeight="1" s="304"/>
    <row r="1048067" ht="12.8" customHeight="1" s="304"/>
    <row r="1048068" ht="12.8" customHeight="1" s="304"/>
    <row r="1048069" ht="12.8" customHeight="1" s="304"/>
    <row r="1048070" ht="12.8" customHeight="1" s="304"/>
    <row r="1048071" ht="12.8" customHeight="1" s="304"/>
    <row r="1048072" ht="12.8" customHeight="1" s="304"/>
    <row r="1048073" ht="12.8" customHeight="1" s="304"/>
    <row r="1048074" ht="12.8" customHeight="1" s="304"/>
    <row r="1048075" ht="12.8" customHeight="1" s="304"/>
    <row r="1048076" ht="12.8" customHeight="1" s="304"/>
    <row r="1048077" ht="12.8" customHeight="1" s="304"/>
    <row r="1048078" ht="12.8" customHeight="1" s="304"/>
    <row r="1048079" ht="12.8" customHeight="1" s="304"/>
    <row r="1048080" ht="12.8" customHeight="1" s="304"/>
    <row r="1048081" ht="12.8" customHeight="1" s="304"/>
    <row r="1048082" ht="12.8" customHeight="1" s="304"/>
    <row r="1048083" ht="12.8" customHeight="1" s="304"/>
    <row r="1048084" ht="12.8" customHeight="1" s="304"/>
    <row r="1048085" ht="12.8" customHeight="1" s="304"/>
    <row r="1048086" ht="12.8" customHeight="1" s="304"/>
    <row r="1048087" ht="12.8" customHeight="1" s="304"/>
    <row r="1048088" ht="12.8" customHeight="1" s="304"/>
    <row r="1048089" ht="12.8" customHeight="1" s="304"/>
    <row r="1048090" ht="12.8" customHeight="1" s="304"/>
    <row r="1048091" ht="12.8" customHeight="1" s="304"/>
    <row r="1048092" ht="12.8" customHeight="1" s="304"/>
    <row r="1048093" ht="12.8" customHeight="1" s="304"/>
    <row r="1048094" ht="12.8" customHeight="1" s="304"/>
    <row r="1048095" ht="12.8" customHeight="1" s="304"/>
    <row r="1048096" ht="12.8" customHeight="1" s="304"/>
    <row r="1048097" ht="12.8" customHeight="1" s="304"/>
    <row r="1048098" ht="12.8" customHeight="1" s="304"/>
    <row r="1048099" ht="12.8" customHeight="1" s="304"/>
    <row r="1048100" ht="12.8" customHeight="1" s="304"/>
    <row r="1048101" ht="12.8" customHeight="1" s="304"/>
    <row r="1048102" ht="12.8" customHeight="1" s="304"/>
    <row r="1048103" ht="12.8" customHeight="1" s="304"/>
    <row r="1048104" ht="12.8" customHeight="1" s="304"/>
    <row r="1048105" ht="12.8" customHeight="1" s="304"/>
    <row r="1048106" ht="12.8" customHeight="1" s="304"/>
    <row r="1048107" ht="12.8" customHeight="1" s="304"/>
    <row r="1048108" ht="12.8" customHeight="1" s="304"/>
    <row r="1048109" ht="12.8" customHeight="1" s="304"/>
    <row r="1048110" ht="12.8" customHeight="1" s="304"/>
    <row r="1048111" ht="12.8" customHeight="1" s="304"/>
    <row r="1048112" ht="12.8" customHeight="1" s="304"/>
    <row r="1048113" ht="12.8" customHeight="1" s="304"/>
    <row r="1048114" ht="12.8" customHeight="1" s="304"/>
    <row r="1048115" ht="12.8" customHeight="1" s="304"/>
    <row r="1048116" ht="12.8" customHeight="1" s="304"/>
    <row r="1048117" ht="12.8" customHeight="1" s="304"/>
    <row r="1048118" ht="12.8" customHeight="1" s="304"/>
    <row r="1048119" ht="12.8" customHeight="1" s="304"/>
    <row r="1048120" ht="12.8" customHeight="1" s="304"/>
    <row r="1048121" ht="12.8" customHeight="1" s="304"/>
    <row r="1048122" ht="12.8" customHeight="1" s="304"/>
    <row r="1048123" ht="12.8" customHeight="1" s="304"/>
    <row r="1048124" ht="12.8" customHeight="1" s="304"/>
    <row r="1048125" ht="12.8" customHeight="1" s="304"/>
    <row r="1048126" ht="12.8" customHeight="1" s="304"/>
    <row r="1048127" ht="12.8" customHeight="1" s="304"/>
    <row r="1048128" ht="12.8" customHeight="1" s="304"/>
    <row r="1048129" ht="12.8" customHeight="1" s="304"/>
    <row r="1048130" ht="12.8" customHeight="1" s="304"/>
    <row r="1048131" ht="12.8" customHeight="1" s="304"/>
    <row r="1048132" ht="12.8" customHeight="1" s="304"/>
    <row r="1048133" ht="12.8" customHeight="1" s="304"/>
    <row r="1048134" ht="12.8" customHeight="1" s="304"/>
    <row r="1048135" ht="12.8" customHeight="1" s="304"/>
    <row r="1048136" ht="12.8" customHeight="1" s="304"/>
    <row r="1048137" ht="12.8" customHeight="1" s="304"/>
    <row r="1048138" ht="12.8" customHeight="1" s="304"/>
    <row r="1048139" ht="12.8" customHeight="1" s="304"/>
    <row r="1048140" ht="12.8" customHeight="1" s="304"/>
    <row r="1048141" ht="12.8" customHeight="1" s="304"/>
    <row r="1048142" ht="12.8" customHeight="1" s="304"/>
    <row r="1048143" ht="12.8" customHeight="1" s="304"/>
    <row r="1048144" ht="12.8" customHeight="1" s="304"/>
    <row r="1048145" ht="12.8" customHeight="1" s="304"/>
    <row r="1048146" ht="12.8" customHeight="1" s="304"/>
    <row r="1048147" ht="12.8" customHeight="1" s="304"/>
    <row r="1048148" ht="12.8" customHeight="1" s="304"/>
    <row r="1048149" ht="12.8" customHeight="1" s="304"/>
    <row r="1048150" ht="12.8" customHeight="1" s="304"/>
    <row r="1048151" ht="12.8" customHeight="1" s="304"/>
    <row r="1048152" ht="12.8" customHeight="1" s="304"/>
    <row r="1048153" ht="12.8" customHeight="1" s="304"/>
    <row r="1048154" ht="12.8" customHeight="1" s="304"/>
    <row r="1048155" ht="12.8" customHeight="1" s="304"/>
    <row r="1048156" ht="12.8" customHeight="1" s="304"/>
    <row r="1048157" ht="12.8" customHeight="1" s="304"/>
    <row r="1048158" ht="12.8" customHeight="1" s="304"/>
    <row r="1048159" ht="12.8" customHeight="1" s="304"/>
    <row r="1048160" ht="12.8" customHeight="1" s="304"/>
    <row r="1048161" ht="12.8" customHeight="1" s="304"/>
    <row r="1048162" ht="12.8" customHeight="1" s="304"/>
    <row r="1048163" ht="12.8" customHeight="1" s="304"/>
    <row r="1048164" ht="12.8" customHeight="1" s="304"/>
    <row r="1048165" ht="12.8" customHeight="1" s="304"/>
    <row r="1048166" ht="12.8" customHeight="1" s="304"/>
    <row r="1048167" ht="12.8" customHeight="1" s="304"/>
    <row r="1048168" ht="12.8" customHeight="1" s="304"/>
    <row r="1048169" ht="12.8" customHeight="1" s="304"/>
    <row r="1048170" ht="12.8" customHeight="1" s="304"/>
    <row r="1048171" ht="12.8" customHeight="1" s="304"/>
    <row r="1048172" ht="12.8" customHeight="1" s="304"/>
    <row r="1048173" ht="12.8" customHeight="1" s="304"/>
    <row r="1048174" ht="12.8" customHeight="1" s="304"/>
    <row r="1048175" ht="12.8" customHeight="1" s="304"/>
    <row r="1048176" ht="12.8" customHeight="1" s="304"/>
    <row r="1048177" ht="12.8" customHeight="1" s="304"/>
    <row r="1048178" ht="12.8" customHeight="1" s="304"/>
    <row r="1048179" ht="12.8" customHeight="1" s="304"/>
    <row r="1048180" ht="12.8" customHeight="1" s="304"/>
    <row r="1048181" ht="12.8" customHeight="1" s="304"/>
    <row r="1048182" ht="12.8" customHeight="1" s="304"/>
    <row r="1048183" ht="12.8" customHeight="1" s="304"/>
    <row r="1048184" ht="12.8" customHeight="1" s="304"/>
    <row r="1048185" ht="12.8" customHeight="1" s="304"/>
    <row r="1048186" ht="12.8" customHeight="1" s="304"/>
    <row r="1048187" ht="12.8" customHeight="1" s="304"/>
    <row r="1048188" ht="12.8" customHeight="1" s="304"/>
    <row r="1048189" ht="12.8" customHeight="1" s="304"/>
    <row r="1048190" ht="12.8" customHeight="1" s="304"/>
    <row r="1048191" ht="12.8" customHeight="1" s="304"/>
    <row r="1048192" ht="12.8" customHeight="1" s="304"/>
    <row r="1048193" ht="12.8" customHeight="1" s="304"/>
    <row r="1048194" ht="12.8" customHeight="1" s="304"/>
    <row r="1048195" ht="12.8" customHeight="1" s="304"/>
    <row r="1048196" ht="12.8" customHeight="1" s="304"/>
    <row r="1048197" ht="12.8" customHeight="1" s="304"/>
    <row r="1048198" ht="12.8" customHeight="1" s="304"/>
    <row r="1048199" ht="12.8" customHeight="1" s="304"/>
    <row r="1048200" ht="12.8" customHeight="1" s="304"/>
    <row r="1048201" ht="12.8" customHeight="1" s="304"/>
    <row r="1048202" ht="12.8" customHeight="1" s="304"/>
    <row r="1048203" ht="12.8" customHeight="1" s="304"/>
    <row r="1048204" ht="12.8" customHeight="1" s="304"/>
    <row r="1048205" ht="12.8" customHeight="1" s="304"/>
    <row r="1048206" ht="12.8" customHeight="1" s="304"/>
    <row r="1048207" ht="12.8" customHeight="1" s="304"/>
    <row r="1048208" ht="12.8" customHeight="1" s="304"/>
    <row r="1048209" ht="12.8" customHeight="1" s="304"/>
    <row r="1048210" ht="12.8" customHeight="1" s="304"/>
    <row r="1048211" ht="12.8" customHeight="1" s="304"/>
    <row r="1048212" ht="12.8" customHeight="1" s="304"/>
    <row r="1048213" ht="12.8" customHeight="1" s="304"/>
    <row r="1048214" ht="12.8" customHeight="1" s="304"/>
    <row r="1048215" ht="12.8" customHeight="1" s="304"/>
    <row r="1048216" ht="12.8" customHeight="1" s="304"/>
    <row r="1048217" ht="12.8" customHeight="1" s="304"/>
    <row r="1048218" ht="12.8" customHeight="1" s="304"/>
    <row r="1048219" ht="12.8" customHeight="1" s="304"/>
    <row r="1048220" ht="12.8" customHeight="1" s="304"/>
    <row r="1048221" ht="12.8" customHeight="1" s="304"/>
    <row r="1048222" ht="12.8" customHeight="1" s="304"/>
    <row r="1048223" ht="12.8" customHeight="1" s="304"/>
    <row r="1048224" ht="12.8" customHeight="1" s="304"/>
    <row r="1048225" ht="12.8" customHeight="1" s="304"/>
    <row r="1048226" ht="12.8" customHeight="1" s="304"/>
    <row r="1048227" ht="12.8" customHeight="1" s="304"/>
    <row r="1048228" ht="12.8" customHeight="1" s="304"/>
    <row r="1048229" ht="12.8" customHeight="1" s="304"/>
    <row r="1048230" ht="12.8" customHeight="1" s="304"/>
    <row r="1048231" ht="12.8" customHeight="1" s="304"/>
    <row r="1048232" ht="12.8" customHeight="1" s="304"/>
    <row r="1048233" ht="12.8" customHeight="1" s="304"/>
    <row r="1048234" ht="12.8" customHeight="1" s="304"/>
    <row r="1048235" ht="12.8" customHeight="1" s="304"/>
    <row r="1048236" ht="12.8" customHeight="1" s="304"/>
    <row r="1048237" ht="12.8" customHeight="1" s="304"/>
    <row r="1048238" ht="12.8" customHeight="1" s="304"/>
    <row r="1048239" ht="12.8" customHeight="1" s="304"/>
    <row r="1048240" ht="12.8" customHeight="1" s="304"/>
    <row r="1048241" ht="12.8" customHeight="1" s="304"/>
    <row r="1048242" ht="12.8" customHeight="1" s="304"/>
    <row r="1048243" ht="12.8" customHeight="1" s="304"/>
    <row r="1048244" ht="12.8" customHeight="1" s="304"/>
    <row r="1048245" ht="12.8" customHeight="1" s="304"/>
    <row r="1048246" ht="12.8" customHeight="1" s="304"/>
    <row r="1048247" ht="12.8" customHeight="1" s="304"/>
    <row r="1048248" ht="12.8" customHeight="1" s="304"/>
    <row r="1048249" ht="12.8" customHeight="1" s="304"/>
    <row r="1048250" ht="12.8" customHeight="1" s="304"/>
    <row r="1048251" ht="12.8" customHeight="1" s="304"/>
    <row r="1048252" ht="12.8" customHeight="1" s="304"/>
    <row r="1048253" ht="12.8" customHeight="1" s="304"/>
    <row r="1048254" ht="12.8" customHeight="1" s="304"/>
    <row r="1048255" ht="12.8" customHeight="1" s="304"/>
    <row r="1048256" ht="12.8" customHeight="1" s="304"/>
    <row r="1048257" ht="12.8" customHeight="1" s="304"/>
    <row r="1048258" ht="12.8" customHeight="1" s="304"/>
    <row r="1048259" ht="12.8" customHeight="1" s="304"/>
    <row r="1048260" ht="12.8" customHeight="1" s="304"/>
    <row r="1048261" ht="12.8" customHeight="1" s="304"/>
    <row r="1048262" ht="12.8" customHeight="1" s="304"/>
    <row r="1048263" ht="12.8" customHeight="1" s="304"/>
    <row r="1048264" ht="12.8" customHeight="1" s="304"/>
    <row r="1048265" ht="12.8" customHeight="1" s="304"/>
    <row r="1048266" ht="12.8" customHeight="1" s="304"/>
    <row r="1048267" ht="12.8" customHeight="1" s="304"/>
    <row r="1048268" ht="12.8" customHeight="1" s="304"/>
    <row r="1048269" ht="12.8" customHeight="1" s="304"/>
    <row r="1048270" ht="12.8" customHeight="1" s="304"/>
    <row r="1048271" ht="12.8" customHeight="1" s="304"/>
    <row r="1048272" ht="12.8" customHeight="1" s="304"/>
    <row r="1048273" ht="12.8" customHeight="1" s="304"/>
    <row r="1048274" ht="12.8" customHeight="1" s="304"/>
    <row r="1048275" ht="12.8" customHeight="1" s="304"/>
    <row r="1048276" ht="12.8" customHeight="1" s="304"/>
    <row r="1048277" ht="12.8" customHeight="1" s="304"/>
    <row r="1048278" ht="12.8" customHeight="1" s="304"/>
    <row r="1048279" ht="12.8" customHeight="1" s="304"/>
    <row r="1048280" ht="12.8" customHeight="1" s="304"/>
    <row r="1048281" ht="12.8" customHeight="1" s="304"/>
    <row r="1048282" ht="12.8" customHeight="1" s="304"/>
    <row r="1048283" ht="12.8" customHeight="1" s="304"/>
    <row r="1048284" ht="12.8" customHeight="1" s="304"/>
    <row r="1048285" ht="12.8" customHeight="1" s="304"/>
    <row r="1048286" ht="12.8" customHeight="1" s="304"/>
    <row r="1048287" ht="12.8" customHeight="1" s="304"/>
    <row r="1048288" ht="12.8" customHeight="1" s="304"/>
    <row r="1048289" ht="12.8" customHeight="1" s="304"/>
    <row r="1048290" ht="12.8" customHeight="1" s="304"/>
    <row r="1048291" ht="12.8" customHeight="1" s="304"/>
    <row r="1048292" ht="12.8" customHeight="1" s="304"/>
    <row r="1048293" ht="12.8" customHeight="1" s="304"/>
    <row r="1048294" ht="12.8" customHeight="1" s="304"/>
    <row r="1048295" ht="12.8" customHeight="1" s="304"/>
    <row r="1048296" ht="12.8" customHeight="1" s="304"/>
    <row r="1048297" ht="12.8" customHeight="1" s="304"/>
    <row r="1048298" ht="12.8" customHeight="1" s="304"/>
    <row r="1048299" ht="12.8" customHeight="1" s="304"/>
    <row r="1048300" ht="12.8" customHeight="1" s="304"/>
    <row r="1048301" ht="12.8" customHeight="1" s="304"/>
    <row r="1048302" ht="12.8" customHeight="1" s="304"/>
    <row r="1048303" ht="12.8" customHeight="1" s="304"/>
    <row r="1048304" ht="12.8" customHeight="1" s="304"/>
    <row r="1048305" ht="12.8" customHeight="1" s="304"/>
    <row r="1048306" ht="12.8" customHeight="1" s="304"/>
    <row r="1048307" ht="12.8" customHeight="1" s="304"/>
    <row r="1048308" ht="12.8" customHeight="1" s="304"/>
    <row r="1048309" ht="12.8" customHeight="1" s="304"/>
    <row r="1048310" ht="12.8" customHeight="1" s="304"/>
    <row r="1048311" ht="12.8" customHeight="1" s="304"/>
    <row r="1048312" ht="12.8" customHeight="1" s="304"/>
    <row r="1048313" ht="12.8" customHeight="1" s="304"/>
    <row r="1048314" ht="12.8" customHeight="1" s="304"/>
    <row r="1048315" ht="12.8" customHeight="1" s="304"/>
    <row r="1048316" ht="12.8" customHeight="1" s="304"/>
    <row r="1048317" ht="12.8" customHeight="1" s="304"/>
    <row r="1048318" ht="12.8" customHeight="1" s="304"/>
    <row r="1048319" ht="12.8" customHeight="1" s="304"/>
    <row r="1048320" ht="12.8" customHeight="1" s="304"/>
    <row r="1048321" ht="12.8" customHeight="1" s="304"/>
    <row r="1048322" ht="12.8" customHeight="1" s="304"/>
    <row r="1048323" ht="12.8" customHeight="1" s="304"/>
    <row r="1048324" ht="12.8" customHeight="1" s="304"/>
    <row r="1048325" ht="12.8" customHeight="1" s="304"/>
    <row r="1048326" ht="12.8" customHeight="1" s="304"/>
    <row r="1048327" ht="12.8" customHeight="1" s="304"/>
    <row r="1048328" ht="12.8" customHeight="1" s="304"/>
    <row r="1048329" ht="12.8" customHeight="1" s="304"/>
    <row r="1048330" ht="12.8" customHeight="1" s="304"/>
    <row r="1048331" ht="12.8" customHeight="1" s="304"/>
    <row r="1048332" ht="12.8" customHeight="1" s="304"/>
    <row r="1048333" ht="12.8" customHeight="1" s="304"/>
    <row r="1048334" ht="12.8" customHeight="1" s="304"/>
    <row r="1048335" ht="12.8" customHeight="1" s="304"/>
    <row r="1048336" ht="12.8" customHeight="1" s="304"/>
    <row r="1048337" ht="12.8" customHeight="1" s="304"/>
    <row r="1048338" ht="12.8" customHeight="1" s="304"/>
    <row r="1048339" ht="12.8" customHeight="1" s="304"/>
    <row r="1048340" ht="12.8" customHeight="1" s="304"/>
    <row r="1048341" ht="12.8" customHeight="1" s="304"/>
    <row r="1048342" ht="12.8" customHeight="1" s="304"/>
    <row r="1048343" ht="12.8" customHeight="1" s="304"/>
    <row r="1048344" ht="12.8" customHeight="1" s="304"/>
    <row r="1048345" ht="12.8" customHeight="1" s="304"/>
    <row r="1048346" ht="12.8" customHeight="1" s="304"/>
    <row r="1048347" ht="12.8" customHeight="1" s="304"/>
    <row r="1048348" ht="12.8" customHeight="1" s="304"/>
    <row r="1048349" ht="12.8" customHeight="1" s="304"/>
    <row r="1048350" ht="12.8" customHeight="1" s="304"/>
    <row r="1048351" ht="12.8" customHeight="1" s="304"/>
    <row r="1048352" ht="12.8" customHeight="1" s="304"/>
    <row r="1048353" ht="12.8" customHeight="1" s="304"/>
    <row r="1048354" ht="12.8" customHeight="1" s="304"/>
    <row r="1048355" ht="12.8" customHeight="1" s="304"/>
    <row r="1048356" ht="12.8" customHeight="1" s="304"/>
    <row r="1048357" ht="12.8" customHeight="1" s="304"/>
    <row r="1048358" ht="12.8" customHeight="1" s="304"/>
    <row r="1048359" ht="12.8" customHeight="1" s="304"/>
    <row r="1048360" ht="12.8" customHeight="1" s="304"/>
    <row r="1048361" ht="12.8" customHeight="1" s="304"/>
    <row r="1048362" ht="12.8" customHeight="1" s="304"/>
    <row r="1048363" ht="12.8" customHeight="1" s="304"/>
    <row r="1048364" ht="12.8" customHeight="1" s="304"/>
    <row r="1048365" ht="12.8" customHeight="1" s="304"/>
    <row r="1048366" ht="12.8" customHeight="1" s="304"/>
    <row r="1048367" ht="12.8" customHeight="1" s="304"/>
    <row r="1048368" ht="12.8" customHeight="1" s="304"/>
    <row r="1048369" ht="12.8" customHeight="1" s="304"/>
    <row r="1048370" ht="12.8" customHeight="1" s="304"/>
    <row r="1048371" ht="12.8" customHeight="1" s="304"/>
    <row r="1048372" ht="12.8" customHeight="1" s="304"/>
    <row r="1048373" ht="12.8" customHeight="1" s="304"/>
    <row r="1048374" ht="12.8" customHeight="1" s="304"/>
    <row r="1048375" ht="12.8" customHeight="1" s="304"/>
    <row r="1048376" ht="12.8" customHeight="1" s="304"/>
    <row r="1048377" ht="12.8" customHeight="1" s="304"/>
    <row r="1048378" ht="12.8" customHeight="1" s="304"/>
    <row r="1048379" ht="12.8" customHeight="1" s="304"/>
    <row r="1048380" ht="12.8" customHeight="1" s="304"/>
    <row r="1048381" ht="12.8" customHeight="1" s="304"/>
    <row r="1048382" ht="12.8" customHeight="1" s="304"/>
    <row r="1048383" ht="12.8" customHeight="1" s="304"/>
    <row r="1048384" ht="12.8" customHeight="1" s="304"/>
    <row r="1048385" ht="12.8" customHeight="1" s="304"/>
    <row r="1048386" ht="12.8" customHeight="1" s="304"/>
    <row r="1048387" ht="12.8" customHeight="1" s="304"/>
    <row r="1048388" ht="12.8" customHeight="1" s="304"/>
    <row r="1048389" ht="12.8" customHeight="1" s="304"/>
    <row r="1048390" ht="12.8" customHeight="1" s="304"/>
    <row r="1048391" ht="12.8" customHeight="1" s="304"/>
    <row r="1048392" ht="12.8" customHeight="1" s="304"/>
    <row r="1048393" ht="12.8" customHeight="1" s="304"/>
    <row r="1048394" ht="12.8" customHeight="1" s="304"/>
    <row r="1048395" ht="12.8" customHeight="1" s="304"/>
    <row r="1048396" ht="12.8" customHeight="1" s="304"/>
    <row r="1048397" ht="12.8" customHeight="1" s="304"/>
    <row r="1048398" ht="12.8" customHeight="1" s="304"/>
    <row r="1048399" ht="12.8" customHeight="1" s="304"/>
    <row r="1048400" ht="12.8" customHeight="1" s="304"/>
    <row r="1048401" ht="12.8" customHeight="1" s="304"/>
    <row r="1048402" ht="12.8" customHeight="1" s="304"/>
    <row r="1048403" ht="12.8" customHeight="1" s="304"/>
    <row r="1048404" ht="12.8" customHeight="1" s="304"/>
    <row r="1048405" ht="12.8" customHeight="1" s="304"/>
    <row r="1048406" ht="12.8" customHeight="1" s="304"/>
    <row r="1048407" ht="12.8" customHeight="1" s="304"/>
    <row r="1048408" ht="12.8" customHeight="1" s="304"/>
    <row r="1048409" ht="12.8" customHeight="1" s="304"/>
    <row r="1048410" ht="12.8" customHeight="1" s="304"/>
    <row r="1048411" ht="12.8" customHeight="1" s="304"/>
    <row r="1048412" ht="12.8" customHeight="1" s="304"/>
    <row r="1048413" ht="12.8" customHeight="1" s="304"/>
    <row r="1048414" ht="12.8" customHeight="1" s="304"/>
    <row r="1048415" ht="12.8" customHeight="1" s="304"/>
    <row r="1048416" ht="12.8" customHeight="1" s="304"/>
    <row r="1048417" ht="12.8" customHeight="1" s="304"/>
    <row r="1048418" ht="12.8" customHeight="1" s="304"/>
    <row r="1048419" ht="12.8" customHeight="1" s="304"/>
    <row r="1048420" ht="12.8" customHeight="1" s="304"/>
    <row r="1048421" ht="12.8" customHeight="1" s="304"/>
    <row r="1048422" ht="12.8" customHeight="1" s="304"/>
    <row r="1048423" ht="12.8" customHeight="1" s="304"/>
    <row r="1048424" ht="12.8" customHeight="1" s="304"/>
    <row r="1048425" ht="12.8" customHeight="1" s="304"/>
    <row r="1048426" ht="12.8" customHeight="1" s="304"/>
    <row r="1048427" ht="12.8" customHeight="1" s="304"/>
    <row r="1048428" ht="12.8" customHeight="1" s="304"/>
    <row r="1048429" ht="12.8" customHeight="1" s="304"/>
    <row r="1048430" ht="12.8" customHeight="1" s="304"/>
    <row r="1048431" ht="12.8" customHeight="1" s="304"/>
    <row r="1048432" ht="12.8" customHeight="1" s="304"/>
    <row r="1048433" ht="12.8" customHeight="1" s="304"/>
    <row r="1048434" ht="12.8" customHeight="1" s="304"/>
    <row r="1048435" ht="12.8" customHeight="1" s="304"/>
    <row r="1048436" ht="12.8" customHeight="1" s="304"/>
    <row r="1048437" ht="12.8" customHeight="1" s="304"/>
    <row r="1048438" ht="12.8" customHeight="1" s="304"/>
    <row r="1048439" ht="12.8" customHeight="1" s="304"/>
    <row r="1048440" ht="12.8" customHeight="1" s="304"/>
    <row r="1048441" ht="12.8" customHeight="1" s="304"/>
    <row r="1048442" ht="12.8" customHeight="1" s="304"/>
    <row r="1048443" ht="12.8" customHeight="1" s="304"/>
    <row r="1048444" ht="12.8" customHeight="1" s="304"/>
    <row r="1048445" ht="12.8" customHeight="1" s="304"/>
    <row r="1048446" ht="12.8" customHeight="1" s="304"/>
    <row r="1048447" ht="12.8" customHeight="1" s="304"/>
    <row r="1048448" ht="12.8" customHeight="1" s="304"/>
    <row r="1048449" ht="12.8" customHeight="1" s="304"/>
    <row r="1048450" ht="12.8" customHeight="1" s="304"/>
    <row r="1048451" ht="12.8" customHeight="1" s="304"/>
    <row r="1048452" ht="12.8" customHeight="1" s="304"/>
    <row r="1048453" ht="12.8" customHeight="1" s="304"/>
    <row r="1048454" ht="12.8" customHeight="1" s="304"/>
    <row r="1048455" ht="12.8" customHeight="1" s="304"/>
    <row r="1048456" ht="12.8" customHeight="1" s="304"/>
    <row r="1048457" ht="12.8" customHeight="1" s="304"/>
    <row r="1048458" ht="12.8" customHeight="1" s="304"/>
    <row r="1048459" ht="12.8" customHeight="1" s="304"/>
    <row r="1048460" ht="12.8" customHeight="1" s="304"/>
    <row r="1048461" ht="12.8" customHeight="1" s="304"/>
    <row r="1048462" ht="12.8" customHeight="1" s="304"/>
    <row r="1048463" ht="12.8" customHeight="1" s="304"/>
    <row r="1048464" ht="12.8" customHeight="1" s="304"/>
    <row r="1048465" ht="12.8" customHeight="1" s="304"/>
    <row r="1048466" ht="12.8" customHeight="1" s="304"/>
    <row r="1048467" ht="12.8" customHeight="1" s="304"/>
    <row r="1048468" ht="12.8" customHeight="1" s="304"/>
    <row r="1048469" ht="12.8" customHeight="1" s="304"/>
    <row r="1048470" ht="12.8" customHeight="1" s="304"/>
    <row r="1048471" ht="12.8" customHeight="1" s="304"/>
    <row r="1048472" ht="12.8" customHeight="1" s="304"/>
    <row r="1048473" ht="12.8" customHeight="1" s="304"/>
    <row r="1048474" ht="12.8" customHeight="1" s="304"/>
    <row r="1048475" ht="12.8" customHeight="1" s="304"/>
    <row r="1048476" ht="12.8" customHeight="1" s="304"/>
    <row r="1048477" ht="12.8" customHeight="1" s="304"/>
    <row r="1048478" ht="12.8" customHeight="1" s="304"/>
    <row r="1048479" ht="12.8" customHeight="1" s="304"/>
    <row r="1048480" ht="12.8" customHeight="1" s="304"/>
    <row r="1048481" ht="12.8" customHeight="1" s="304"/>
    <row r="1048482" ht="12.8" customHeight="1" s="304"/>
    <row r="1048483" ht="12.8" customHeight="1" s="304"/>
    <row r="1048484" ht="12.8" customHeight="1" s="304"/>
    <row r="1048485" ht="12.8" customHeight="1" s="304"/>
    <row r="1048486" ht="12.8" customHeight="1" s="304"/>
    <row r="1048487" ht="12.8" customHeight="1" s="304"/>
    <row r="1048488" ht="12.8" customHeight="1" s="304"/>
    <row r="1048489" ht="12.8" customHeight="1" s="304"/>
    <row r="1048490" ht="12.8" customHeight="1" s="304"/>
    <row r="1048491" ht="12.8" customHeight="1" s="304"/>
    <row r="1048492" ht="12.8" customHeight="1" s="304"/>
    <row r="1048493" ht="12.8" customHeight="1" s="304"/>
    <row r="1048494" ht="12.8" customHeight="1" s="304"/>
    <row r="1048495" ht="12.8" customHeight="1" s="304"/>
    <row r="1048496" ht="12.8" customHeight="1" s="304"/>
    <row r="1048497" ht="12.8" customHeight="1" s="304"/>
    <row r="1048498" ht="12.8" customHeight="1" s="304"/>
    <row r="1048499" ht="12.8" customHeight="1" s="304"/>
    <row r="1048500" ht="12.8" customHeight="1" s="304"/>
    <row r="1048501" ht="12.8" customHeight="1" s="304"/>
    <row r="1048502" ht="12.8" customHeight="1" s="304"/>
    <row r="1048503" ht="12.8" customHeight="1" s="304"/>
    <row r="1048504" ht="12.8" customHeight="1" s="304"/>
    <row r="1048505" ht="12.8" customHeight="1" s="304"/>
    <row r="1048506" ht="12.8" customHeight="1" s="304"/>
    <row r="1048507" ht="12.8" customHeight="1" s="304"/>
    <row r="1048508" ht="12.8" customHeight="1" s="304"/>
    <row r="1048509" ht="12.8" customHeight="1" s="304"/>
    <row r="1048510" ht="12.8" customHeight="1" s="304"/>
    <row r="1048511" ht="12.8" customHeight="1" s="304"/>
    <row r="1048512" ht="12.8" customHeight="1" s="304"/>
    <row r="1048513" ht="12.8" customHeight="1" s="304"/>
    <row r="1048514" ht="12.8" customHeight="1" s="304"/>
    <row r="1048515" ht="12.8" customHeight="1" s="304"/>
    <row r="1048516" ht="12.8" customHeight="1" s="304"/>
    <row r="1048517" ht="12.8" customHeight="1" s="304"/>
    <row r="1048518" ht="12.8" customHeight="1" s="304"/>
    <row r="1048519" ht="12.8" customHeight="1" s="304"/>
    <row r="1048520" ht="12.8" customHeight="1" s="304"/>
    <row r="1048521" ht="12.8" customHeight="1" s="304"/>
    <row r="1048522" ht="12.8" customHeight="1" s="304"/>
    <row r="1048523" ht="12.8" customHeight="1" s="304"/>
    <row r="1048524" ht="12.8" customHeight="1" s="304"/>
    <row r="1048525" ht="12.8" customHeight="1" s="304"/>
    <row r="1048526" ht="12.8" customHeight="1" s="304"/>
    <row r="1048527" ht="12.8" customHeight="1" s="304"/>
    <row r="1048528" ht="12.8" customHeight="1" s="304"/>
    <row r="1048529" ht="12.8" customHeight="1" s="304"/>
    <row r="1048530" ht="12.8" customHeight="1" s="304"/>
    <row r="1048531" ht="12.8" customHeight="1" s="304"/>
    <row r="1048532" ht="12.8" customHeight="1" s="304"/>
    <row r="1048533" ht="12.8" customHeight="1" s="304"/>
    <row r="1048534" ht="12.8" customHeight="1" s="304"/>
    <row r="1048535" ht="12.8" customHeight="1" s="304"/>
    <row r="1048536" ht="12.8" customHeight="1" s="304"/>
    <row r="1048537" ht="12.8" customHeight="1" s="304"/>
    <row r="1048538" ht="12.8" customHeight="1" s="304"/>
    <row r="1048539" ht="12.8" customHeight="1" s="304"/>
    <row r="1048540" ht="12.8" customHeight="1" s="304"/>
    <row r="1048541" ht="12.8" customHeight="1" s="304"/>
    <row r="1048542" ht="12.8" customHeight="1" s="304"/>
    <row r="1048543" ht="12.8" customHeight="1" s="304"/>
    <row r="1048544" ht="12.8" customHeight="1" s="304"/>
    <row r="1048545" ht="12.8" customHeight="1" s="304"/>
    <row r="1048546" ht="12.8" customHeight="1" s="304"/>
    <row r="1048547" ht="12.8" customHeight="1" s="304"/>
    <row r="1048548" ht="12.8" customHeight="1" s="304"/>
    <row r="1048549" ht="12.8" customHeight="1" s="304"/>
    <row r="1048550" ht="12.8" customHeight="1" s="304"/>
    <row r="1048551" ht="12.8" customHeight="1" s="304"/>
    <row r="1048552" ht="12.8" customHeight="1" s="304"/>
    <row r="1048553" ht="12.8" customHeight="1" s="304"/>
    <row r="1048554" ht="12.8" customHeight="1" s="304"/>
    <row r="1048555" ht="12.8" customHeight="1" s="304"/>
    <row r="1048556" ht="12.8" customHeight="1" s="304"/>
    <row r="1048557" ht="12.8" customHeight="1" s="304"/>
    <row r="1048558" ht="12.8" customHeight="1" s="304"/>
    <row r="1048559" ht="12.8" customHeight="1" s="304"/>
    <row r="1048560" ht="12.8" customHeight="1" s="304"/>
    <row r="1048561" ht="12.8" customHeight="1" s="304"/>
    <row r="1048562" ht="12.8" customHeight="1" s="304"/>
    <row r="1048563" ht="12.8" customHeight="1" s="304"/>
    <row r="1048564" ht="12.8" customHeight="1" s="304"/>
    <row r="1048565" ht="12.8" customHeight="1" s="304"/>
    <row r="1048566" ht="12.8" customHeight="1" s="304"/>
    <row r="1048567" ht="12.8" customHeight="1" s="304"/>
    <row r="1048568" ht="12.8" customHeight="1" s="304"/>
    <row r="1048569" ht="12.8" customHeight="1" s="304"/>
    <row r="1048570" ht="12.8" customHeight="1" s="304"/>
    <row r="1048571" ht="12.8" customHeight="1" s="304"/>
    <row r="1048572" ht="12.8" customHeight="1" s="304"/>
    <row r="1048573" ht="12.8" customHeight="1" s="304"/>
    <row r="1048574" ht="12.8" customHeight="1" s="304"/>
    <row r="1048575" ht="12.8" customHeight="1" s="304"/>
    <row r="1048576" ht="12.8" customHeight="1" s="304"/>
  </sheetData>
  <autoFilter ref="A3:I4"/>
  <conditionalFormatting sqref="F1:F357 F359:F1711 F1716:F1746 F1748:F1843 F1845:F1850 F1852:F1964 F1966:F1967 F1969:F4249">
    <cfRule type="cellIs" rank="0" priority="2" equalAverage="0" operator="equal" aboveAverage="0" dxfId="11" text="" percent="0" bottom="0">
      <formula>"-"</formula>
    </cfRule>
  </conditionalFormatting>
  <conditionalFormatting sqref="H1:H3 H5:H11 H14:H123 H127:H253 H257:H312 H314 H316:H475 H479:H642 H646:H698 H701:H748 H750:H759 H792 H794 H797:H803 H865:H867 H869 H916:H919 H1029:H1030 H1697:H1700 H1848:H1851 H1890 H2071 H2232:H2233">
    <cfRule type="cellIs" rank="0" priority="3" equalAverage="0" operator="equal" aboveAverage="0" dxfId="12" text="" percent="0" bottom="0">
      <formula>"Hors compte"</formula>
    </cfRule>
  </conditionalFormatting>
  <conditionalFormatting sqref="B2">
    <cfRule type="expression" rank="0" priority="4" equalAverage="0" aboveAverage="0" dxfId="1" text="" percent="0" bottom="0">
      <formula>NOT(ISERROR(FIND("✗",INDIRECT("RC",0))))</formula>
    </cfRule>
    <cfRule type="expression" rank="0" priority="5" equalAverage="0" aboveAverage="0" dxfId="2" text="" percent="0" bottom="0">
      <formula>NOT(ISERROR(FIND("⚠",INDIRECT("RC",0))))</formula>
    </cfRule>
  </conditionalFormatting>
  <printOptions horizontalCentered="0" verticalCentered="0" headings="0" gridLines="0" gridLinesSet="1"/>
  <pageMargins left="0.75" right="0.75" top="0.5" bottom="0.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XFD48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9.1640625" defaultRowHeight="15" customHeight="1" zeroHeight="0" outlineLevelRow="0"/>
  <cols>
    <col width="31.57" customWidth="1" style="347" min="1" max="1"/>
    <col width="7.67" customWidth="1" style="348" min="2" max="2"/>
    <col width="13.16" customWidth="1" style="348" min="3" max="3"/>
    <col width="9.52" customWidth="1" style="348" min="4" max="4"/>
    <col width="11.89" customWidth="1" style="348" min="5" max="5"/>
    <col width="14.89" customWidth="1" style="348" min="6" max="7"/>
    <col width="14.89" customWidth="1" style="347" min="8" max="9"/>
    <col width="14.83" customWidth="1" style="347" min="10" max="10"/>
    <col width="9.33" customWidth="1" style="348" min="11" max="11"/>
    <col width="8" customWidth="1" style="348" min="12" max="12"/>
    <col width="41.42" customWidth="1" style="386" min="13" max="13"/>
    <col width="14.98" customWidth="1" style="386" min="14" max="14"/>
    <col width="11" customWidth="1" style="386" min="15" max="15"/>
    <col width="15.51" customWidth="1" style="386" min="16" max="16"/>
    <col width="19.16" customWidth="1" style="386" min="19" max="16371"/>
    <col width="11.53" customWidth="1" style="303" min="16372" max="16382"/>
    <col width="11.53" customWidth="1" style="386" min="16383" max="16384"/>
  </cols>
  <sheetData>
    <row r="1" ht="16.5" customHeight="1" s="304">
      <c r="A1" s="542">
        <f>$N$48</f>
        <v/>
      </c>
      <c r="B1" s="315" t="n"/>
      <c r="C1" s="315" t="inlineStr">
        <is>
          <t>✓</t>
        </is>
      </c>
      <c r="D1" s="315" t="n"/>
      <c r="E1" s="315" t="n"/>
      <c r="F1" s="315" t="n"/>
      <c r="G1" s="315" t="n"/>
      <c r="H1" s="543" t="n"/>
      <c r="I1" s="317" t="n"/>
      <c r="J1" s="317" t="n"/>
      <c r="K1" s="490" t="n"/>
      <c r="L1" s="490" t="n"/>
    </row>
    <row r="2" ht="28.5" customHeight="1" s="304">
      <c r="A2" s="544" t="inlineStr">
        <is>
          <t xml:space="preserve">Compte </t>
        </is>
      </c>
      <c r="B2" s="545" t="inlineStr">
        <is>
          <t>Devise</t>
        </is>
      </c>
      <c r="C2" s="545" t="inlineStr">
        <is>
          <t>Début</t>
        </is>
      </c>
      <c r="D2" s="545" t="inlineStr">
        <is>
          <t># Déb.</t>
        </is>
      </c>
      <c r="E2" s="545" t="inlineStr">
        <is>
          <t>Fin</t>
        </is>
      </c>
      <c r="F2" s="545" t="inlineStr">
        <is>
          <t>Fin – début</t>
        </is>
      </c>
      <c r="G2" s="545" t="inlineStr">
        <is>
          <t>Montant Déb.</t>
        </is>
      </c>
      <c r="H2" s="329" t="inlineStr">
        <is>
          <t>Solde Fin calculé</t>
        </is>
      </c>
      <c r="I2" s="329" t="inlineStr">
        <is>
          <t>Solde relevé</t>
        </is>
      </c>
      <c r="J2" s="329" t="inlineStr">
        <is>
          <t>Écart</t>
        </is>
      </c>
      <c r="K2" s="361" t="inlineStr">
        <is>
          <t>Contrôle écart</t>
        </is>
      </c>
      <c r="L2" s="329" t="inlineStr">
        <is>
          <t>Reports # Fin</t>
        </is>
      </c>
    </row>
    <row r="3" ht="16.5" customHeight="1" s="304">
      <c r="A3" s="391" t="n"/>
      <c r="B3" s="392" t="n"/>
      <c r="C3" s="546" t="n"/>
      <c r="D3" s="547" t="n"/>
      <c r="E3" s="546" t="n"/>
      <c r="F3" s="547" t="n"/>
      <c r="G3" s="324" t="n"/>
      <c r="H3" s="324" t="n"/>
      <c r="I3" s="324" t="n"/>
      <c r="J3" s="324" t="n"/>
      <c r="K3" s="548" t="n"/>
      <c r="L3" s="547" t="n"/>
      <c r="XFC3" s="303" t="n"/>
      <c r="XFD3" s="303" t="n"/>
    </row>
    <row r="4" ht="16.5" customHeight="1" s="304">
      <c r="A4" s="391">
        <f>Avoirs!A5</f>
        <v/>
      </c>
      <c r="B4" s="392" t="inlineStr">
        <is>
          <t>EUR</t>
        </is>
      </c>
      <c r="C4" s="546">
        <f>_xlfn.MINIFS(OPdate,OPcompte,$A4,OPdevise,$B4,OPcatégorie,Solde)</f>
        <v/>
      </c>
      <c r="D4" s="547">
        <f>COUNTIFS(OPdate,C4,OPcompte,$A4,OPdevise,$B4,OPcatégorie,Solde)</f>
        <v/>
      </c>
      <c r="E4" s="546">
        <f>SUMIF(AVRintitulé,$A4,AVRdate_solde)</f>
        <v/>
      </c>
      <c r="F4" s="547">
        <f>E4-C4</f>
        <v/>
      </c>
      <c r="G4" s="324">
        <f>SUMIFS(OPmontant,OPdate,$C4,OPcompte,$A4,OPdevise,$B4,OPcatégorie,Solde)</f>
        <v/>
      </c>
      <c r="H4" s="324">
        <f>SUMIFS(OPmontant,OPcompte,$A4,OPdevise,$B4,OPcatégorie,"&lt;&gt;"&amp;Spéciale,OPdate,"&gt;"&amp;C4) + $G4</f>
        <v/>
      </c>
      <c r="I4" s="324">
        <f>SUMIF(AVRintitulé,$A4,AVRmontant_solde)</f>
        <v/>
      </c>
      <c r="J4" s="324">
        <f>ROUND($I4-$H4,2)</f>
        <v/>
      </c>
      <c r="K4" s="548" t="inlineStr">
        <is>
          <t>Non</t>
        </is>
      </c>
      <c r="L4" s="547">
        <f>COUNTIFS(OPcompte,$A4,OPdate,$E4,OPdevise,$B4,OPcatégorie,Solde)</f>
        <v/>
      </c>
      <c r="M4" s="386" t="n"/>
      <c r="N4" s="386" t="n"/>
      <c r="XFC4" s="303" t="n"/>
      <c r="XFD4" s="303" t="n"/>
    </row>
    <row r="5" ht="16.5" customHeight="1" s="304">
      <c r="A5" s="391">
        <f>Avoirs!A6</f>
        <v/>
      </c>
      <c r="B5" s="392" t="inlineStr">
        <is>
          <t>EUR</t>
        </is>
      </c>
      <c r="C5" s="546">
        <f>_xlfn.MINIFS(OPdate,OPcompte,$A5,OPdevise,$B5,OPcatégorie,Solde)</f>
        <v/>
      </c>
      <c r="D5" s="547">
        <f>COUNTIFS(OPdate,C5,OPcompte,$A5,OPdevise,$B5,OPcatégorie,Solde)</f>
        <v/>
      </c>
      <c r="E5" s="546">
        <f>SUMIF(AVRintitulé,$A5,AVRdate_solde)</f>
        <v/>
      </c>
      <c r="F5" s="547">
        <f>E5-C5</f>
        <v/>
      </c>
      <c r="G5" s="324">
        <f>SUMIFS(OPmontant,OPdate,$C5,OPcompte,$A5,OPdevise,$B5,OPcatégorie,Solde)</f>
        <v/>
      </c>
      <c r="H5" s="324">
        <f>SUMIFS(OPmontant,OPcompte,$A5,OPdevise,$B5,OPcatégorie,"&lt;&gt;"&amp;Spéciale,OPdate,"&gt;"&amp;C5) + $G5</f>
        <v/>
      </c>
      <c r="I5" s="324">
        <f>SUMIF(AVRintitulé,$A5,AVRmontant_solde)</f>
        <v/>
      </c>
      <c r="J5" s="324">
        <f>ROUND($I5-$H5,2)</f>
        <v/>
      </c>
      <c r="K5" s="548" t="inlineStr">
        <is>
          <t>Non</t>
        </is>
      </c>
      <c r="L5" s="547">
        <f>COUNTIFS(OPcompte,$A5,OPdate,$E5,OPdevise,$B5,OPcatégorie,Solde)</f>
        <v/>
      </c>
      <c r="M5" s="386" t="n"/>
      <c r="N5" s="386" t="n"/>
    </row>
    <row r="6" ht="16.5" customHeight="1" s="304">
      <c r="A6" s="391">
        <f>Avoirs!A7</f>
        <v/>
      </c>
      <c r="B6" s="392" t="inlineStr">
        <is>
          <t>EUR</t>
        </is>
      </c>
      <c r="C6" s="546">
        <f>_xlfn.MINIFS(OPdate,OPcompte,$A6,OPdevise,$B6,OPcatégorie,Solde)</f>
        <v/>
      </c>
      <c r="D6" s="547">
        <f>COUNTIFS(OPdate,C6,OPcompte,$A6,OPdevise,$B6,OPcatégorie,Solde)</f>
        <v/>
      </c>
      <c r="E6" s="546">
        <f>SUMIF(AVRintitulé,$A6,AVRdate_solde)</f>
        <v/>
      </c>
      <c r="F6" s="547">
        <f>E6-C6</f>
        <v/>
      </c>
      <c r="G6" s="324">
        <f>SUMIFS(OPmontant,OPdate,$C6,OPcompte,$A6,OPdevise,$B6,OPcatégorie,Solde)</f>
        <v/>
      </c>
      <c r="H6" s="324">
        <f>SUMIFS(OPmontant,OPcompte,$A6,OPdevise,$B6,OPcatégorie,"&lt;&gt;"&amp;Spéciale,OPdate,"&gt;"&amp;C6) + $G6</f>
        <v/>
      </c>
      <c r="I6" s="324">
        <f>SUMIF(AVRintitulé,$A6,AVRmontant_solde)</f>
        <v/>
      </c>
      <c r="J6" s="324">
        <f>ROUND($I6-$H6,2)</f>
        <v/>
      </c>
      <c r="K6" s="548" t="inlineStr">
        <is>
          <t>Non</t>
        </is>
      </c>
      <c r="L6" s="547">
        <f>COUNTIFS(OPcompte,$A6,OPdate,$E6,OPdevise,$B6,OPcatégorie,Solde)</f>
        <v/>
      </c>
      <c r="M6" s="386" t="n"/>
      <c r="N6" s="386" t="n"/>
    </row>
    <row r="7" ht="16.5" customHeight="1" s="304">
      <c r="A7" s="391">
        <f>Avoirs!A8</f>
        <v/>
      </c>
      <c r="B7" s="392" t="inlineStr">
        <is>
          <t>EUR</t>
        </is>
      </c>
      <c r="C7" s="546">
        <f>_xlfn.MINIFS(OPdate,OPcompte,$A7,OPdevise,$B7,OPcatégorie,Solde)</f>
        <v/>
      </c>
      <c r="D7" s="547">
        <f>COUNTIFS(OPdate,C7,OPcompte,$A7,OPdevise,$B7,OPcatégorie,Solde)</f>
        <v/>
      </c>
      <c r="E7" s="546">
        <f>SUMIF(AVRintitulé,$A7,AVRdate_solde)</f>
        <v/>
      </c>
      <c r="F7" s="547">
        <f>E7-C7</f>
        <v/>
      </c>
      <c r="G7" s="324">
        <f>SUMIFS(OPmontant,OPdate,$C7,OPcompte,$A7,OPdevise,$B7,OPcatégorie,Solde)</f>
        <v/>
      </c>
      <c r="H7" s="324">
        <f>SUMIFS(OPmontant,OPcompte,$A7,OPdevise,$B7,OPcatégorie,"&lt;&gt;"&amp;Spéciale,OPdate,"&gt;"&amp;C7) + $G7</f>
        <v/>
      </c>
      <c r="I7" s="324">
        <f>SUMIF(AVRintitulé,$A7,AVRmontant_solde)</f>
        <v/>
      </c>
      <c r="J7" s="324">
        <f>ROUND($I7-$H7,2)</f>
        <v/>
      </c>
      <c r="K7" s="548" t="inlineStr">
        <is>
          <t>Non</t>
        </is>
      </c>
      <c r="L7" s="547">
        <f>COUNTIFS(OPcompte,$A7,OPdate,$E7,OPdevise,$B7,OPcatégorie,Solde)</f>
        <v/>
      </c>
      <c r="M7" s="386" t="n"/>
      <c r="N7" s="386" t="n"/>
    </row>
    <row r="8" ht="16.5" customHeight="1" s="304">
      <c r="A8" s="391">
        <f>Avoirs!A9</f>
        <v/>
      </c>
      <c r="B8" s="392" t="inlineStr">
        <is>
          <t>USD</t>
        </is>
      </c>
      <c r="C8" s="546">
        <f>_xlfn.MINIFS(OPdate,OPcompte,$A8,OPdevise,$B8,OPcatégorie,Solde)</f>
        <v/>
      </c>
      <c r="D8" s="547">
        <f>COUNTIFS(OPdate,C8,OPcompte,$A8,OPdevise,$B8,OPcatégorie,Solde)</f>
        <v/>
      </c>
      <c r="E8" s="546">
        <f>SUMIF(AVRintitulé,$A8,AVRdate_solde)</f>
        <v/>
      </c>
      <c r="F8" s="547">
        <f>E8-C8</f>
        <v/>
      </c>
      <c r="G8" s="549">
        <f>SUMIFS(OPmontant,OPdate,$C8,OPcompte,$A8,OPdevise,$B8,OPcatégorie,Solde)</f>
        <v/>
      </c>
      <c r="H8" s="549">
        <f>SUMIFS(OPmontant,OPcompte,$A8,OPdevise,$B8,OPcatégorie,"&lt;&gt;"&amp;Spéciale,OPdate,"&gt;"&amp;C8) + $G8</f>
        <v/>
      </c>
      <c r="I8" s="549">
        <f>SUMIF(AVRintitulé,$A8,AVRmontant_solde)</f>
        <v/>
      </c>
      <c r="J8" s="549">
        <f>ROUND($I8-$H8,2)</f>
        <v/>
      </c>
      <c r="K8" s="548" t="inlineStr">
        <is>
          <t>Non</t>
        </is>
      </c>
      <c r="L8" s="547">
        <f>COUNTIFS(OPcompte,$A8,OPdate,$E8,OPdevise,$B8,OPcatégorie,Solde)</f>
        <v/>
      </c>
      <c r="M8" s="386" t="n"/>
      <c r="N8" s="386" t="n"/>
    </row>
    <row r="9" ht="16.5" customHeight="1" s="304">
      <c r="A9" s="391">
        <f>Avoirs!A10</f>
        <v/>
      </c>
      <c r="B9" s="392" t="inlineStr">
        <is>
          <t>EUR</t>
        </is>
      </c>
      <c r="C9" s="546">
        <f>_xlfn.MINIFS(OPdate,OPcompte,$A9,OPdevise,$B9,OPcatégorie,Solde)</f>
        <v/>
      </c>
      <c r="D9" s="547">
        <f>COUNTIFS(OPdate,C9,OPcompte,$A9,OPdevise,$B9,OPcatégorie,Solde)</f>
        <v/>
      </c>
      <c r="E9" s="546">
        <f>SUMIF(AVRintitulé,$A9,AVRdate_solde)</f>
        <v/>
      </c>
      <c r="F9" s="547">
        <f>E9-C9</f>
        <v/>
      </c>
      <c r="G9" s="324">
        <f>SUMIFS(OPmontant,OPdate,$C9,OPcompte,$A9,OPdevise,$B9,OPcatégorie,Solde)</f>
        <v/>
      </c>
      <c r="H9" s="324">
        <f>SUMIFS(OPmontant,OPcompte,$A9,OPdevise,$B9,OPcatégorie,"&lt;&gt;"&amp;Spéciale,OPdate,"&gt;"&amp;C9) + $G9</f>
        <v/>
      </c>
      <c r="I9" s="324">
        <f>SUMIF(AVRintitulé,$A9,AVRmontant_solde)</f>
        <v/>
      </c>
      <c r="J9" s="324">
        <f>ROUND($I9-$H9,2)</f>
        <v/>
      </c>
      <c r="K9" s="548" t="inlineStr">
        <is>
          <t>Oui</t>
        </is>
      </c>
      <c r="L9" s="547">
        <f>COUNTIFS(OPcompte,$A9,OPdate,$E9,OPdevise,$B9,OPcatégorie,Solde)</f>
        <v/>
      </c>
      <c r="M9" s="386" t="n"/>
      <c r="N9" s="386" t="n"/>
    </row>
    <row r="10" ht="16.5" customHeight="1" s="304">
      <c r="A10" s="391">
        <f>Avoirs!A11</f>
        <v/>
      </c>
      <c r="B10" s="392" t="inlineStr">
        <is>
          <t>EUR</t>
        </is>
      </c>
      <c r="C10" s="546">
        <f>_xlfn.MINIFS(OPdate,OPcompte,$A10,OPdevise,$B10,OPcatégorie,Solde)</f>
        <v/>
      </c>
      <c r="D10" s="547">
        <f>COUNTIFS(OPdate,C10,OPcompte,$A10,OPdevise,$B10,OPcatégorie,Solde)</f>
        <v/>
      </c>
      <c r="E10" s="546">
        <f>SUMIF(AVRintitulé,$A10,AVRdate_solde)</f>
        <v/>
      </c>
      <c r="F10" s="547">
        <f>E10-C10</f>
        <v/>
      </c>
      <c r="G10" s="324">
        <f>SUMIFS(OPmontant,OPdate,$C10,OPcompte,$A10,OPdevise,$B10,OPcatégorie,Solde)</f>
        <v/>
      </c>
      <c r="H10" s="324">
        <f>SUMIFS(OPmontant,OPcompte,$A10,OPdevise,$B10,OPcatégorie,"&lt;&gt;"&amp;Spéciale,OPdate,"&gt;"&amp;C10) + $G10</f>
        <v/>
      </c>
      <c r="I10" s="324">
        <f>SUMIF(AVRintitulé,$A10,AVRmontant_solde)</f>
        <v/>
      </c>
      <c r="J10" s="324">
        <f>ROUND($I10-$H10,2)</f>
        <v/>
      </c>
      <c r="K10" s="548" t="inlineStr">
        <is>
          <t>Oui</t>
        </is>
      </c>
      <c r="L10" s="547">
        <f>COUNTIFS(OPcompte,$A10,OPdate,$E10,OPdevise,$B10,OPcatégorie,Solde)</f>
        <v/>
      </c>
      <c r="M10" s="386" t="n"/>
      <c r="N10" s="386" t="n"/>
    </row>
    <row r="11" ht="16.5" customHeight="1" s="304">
      <c r="A11" s="391">
        <f>Avoirs!A12</f>
        <v/>
      </c>
      <c r="B11" s="392" t="inlineStr">
        <is>
          <t>EUR</t>
        </is>
      </c>
      <c r="C11" s="546">
        <f>_xlfn.MINIFS(OPdate,OPcompte,$A11,OPdevise,$B11,OPcatégorie,Solde)</f>
        <v/>
      </c>
      <c r="D11" s="547">
        <f>COUNTIFS(OPdate,C11,OPcompte,$A11,OPdevise,$B11,OPcatégorie,Solde)</f>
        <v/>
      </c>
      <c r="E11" s="546">
        <f>SUMIF(AVRintitulé,$A11,AVRdate_solde)</f>
        <v/>
      </c>
      <c r="F11" s="547">
        <f>E11-C11</f>
        <v/>
      </c>
      <c r="G11" s="324">
        <f>SUMIFS(OPmontant,OPdate,$C11,OPcompte,$A11,OPdevise,$B11,OPcatégorie,Solde)</f>
        <v/>
      </c>
      <c r="H11" s="324">
        <f>SUMIFS(OPmontant,OPcompte,$A11,OPdevise,$B11,OPcatégorie,"&lt;&gt;"&amp;Spéciale,OPdate,"&gt;"&amp;C11) + $G11</f>
        <v/>
      </c>
      <c r="I11" s="324">
        <f>SUMIF(AVRintitulé,$A11,AVRmontant_solde)</f>
        <v/>
      </c>
      <c r="J11" s="324">
        <f>ROUND($I11-$H11,2)</f>
        <v/>
      </c>
      <c r="K11" s="548" t="inlineStr">
        <is>
          <t>Oui</t>
        </is>
      </c>
      <c r="L11" s="547">
        <f>COUNTIFS(OPcompte,$A11,OPdate,$E11,OPdevise,$B11,OPcatégorie,Solde)</f>
        <v/>
      </c>
      <c r="M11" s="386" t="n"/>
      <c r="N11" s="386" t="n"/>
    </row>
    <row r="12" ht="16.5" customHeight="1" s="304">
      <c r="A12" s="391">
        <f>Avoirs!A13</f>
        <v/>
      </c>
      <c r="B12" s="392" t="inlineStr">
        <is>
          <t>EUR</t>
        </is>
      </c>
      <c r="C12" s="546">
        <f>_xlfn.MINIFS(OPdate,OPcompte,$A12,OPdevise,$B12,OPcatégorie,Solde)</f>
        <v/>
      </c>
      <c r="D12" s="547">
        <f>COUNTIFS(OPdate,C12,OPcompte,$A12,OPdevise,$B12,OPcatégorie,Solde)</f>
        <v/>
      </c>
      <c r="E12" s="546">
        <f>SUMIF(AVRintitulé,$A12,AVRdate_solde)</f>
        <v/>
      </c>
      <c r="F12" s="547">
        <f>E12-C12</f>
        <v/>
      </c>
      <c r="G12" s="324">
        <f>SUMIFS(OPmontant,OPdate,$C12,OPcompte,$A12,OPdevise,$B12,OPcatégorie,Solde)</f>
        <v/>
      </c>
      <c r="H12" s="324">
        <f>SUMIFS(OPmontant,OPcompte,$A12,OPdevise,$B12,OPcatégorie,"&lt;&gt;"&amp;Spéciale,OPdate,"&gt;"&amp;C12) + $G12</f>
        <v/>
      </c>
      <c r="I12" s="324">
        <f>SUMIF(AVRintitulé,$A12,AVRmontant_solde)</f>
        <v/>
      </c>
      <c r="J12" s="324">
        <f>ROUND($I12-$H12,2)</f>
        <v/>
      </c>
      <c r="K12" s="548" t="inlineStr">
        <is>
          <t>Oui</t>
        </is>
      </c>
      <c r="L12" s="547">
        <f>COUNTIFS(OPcompte,$A12,OPdate,$E12,OPdevise,$B12,OPcatégorie,Solde)</f>
        <v/>
      </c>
      <c r="M12" s="386" t="n"/>
      <c r="N12" s="386" t="n"/>
    </row>
    <row r="13" ht="16.5" customHeight="1" s="304">
      <c r="A13" s="391">
        <f>Avoirs!A14</f>
        <v/>
      </c>
      <c r="B13" s="392" t="inlineStr">
        <is>
          <t>EUR</t>
        </is>
      </c>
      <c r="C13" s="546">
        <f>_xlfn.MINIFS(OPdate,OPcompte,$A13,OPdevise,$B13,OPcatégorie,Solde)</f>
        <v/>
      </c>
      <c r="D13" s="547">
        <f>COUNTIFS(OPdate,C13,OPcompte,$A13,OPdevise,$B13,OPcatégorie,Solde)</f>
        <v/>
      </c>
      <c r="E13" s="546">
        <f>SUMIF(AVRintitulé,$A13,AVRdate_solde)</f>
        <v/>
      </c>
      <c r="F13" s="547">
        <f>E13-C13</f>
        <v/>
      </c>
      <c r="G13" s="324">
        <f>SUMIFS(OPmontant,OPdate,$C13,OPcompte,$A13,OPdevise,$B13,OPcatégorie,Solde)</f>
        <v/>
      </c>
      <c r="H13" s="324">
        <f>SUMIFS(OPmontant,OPcompte,$A13,OPdevise,$B13,OPcatégorie,"&lt;&gt;"&amp;Spéciale,OPdate,"&gt;"&amp;C13) + $G13</f>
        <v/>
      </c>
      <c r="I13" s="324">
        <f>SUMIF(AVRintitulé,$A13,AVRmontant_solde)</f>
        <v/>
      </c>
      <c r="J13" s="324">
        <f>ROUND($I13-$H13,2)</f>
        <v/>
      </c>
      <c r="K13" s="548" t="inlineStr">
        <is>
          <t>Oui</t>
        </is>
      </c>
      <c r="L13" s="547">
        <f>COUNTIFS(OPcompte,$A13,OPdate,$E13,OPdevise,$B13,OPcatégorie,Solde)</f>
        <v/>
      </c>
      <c r="M13" s="386" t="n"/>
      <c r="N13" s="386" t="n"/>
    </row>
    <row r="14" ht="16.5" customHeight="1" s="304">
      <c r="A14" s="391">
        <f>Avoirs!A15</f>
        <v/>
      </c>
      <c r="B14" s="392" t="inlineStr">
        <is>
          <t>EUR</t>
        </is>
      </c>
      <c r="C14" s="546">
        <f>_xlfn.MINIFS(OPdate,OPcompte,$A14,OPdevise,$B14,OPcatégorie,Solde)</f>
        <v/>
      </c>
      <c r="D14" s="547">
        <f>COUNTIFS(OPdate,C14,OPcompte,$A14,OPdevise,$B14,OPcatégorie,Solde)</f>
        <v/>
      </c>
      <c r="E14" s="546">
        <f>SUMIF(AVRintitulé,$A14,AVRdate_solde)</f>
        <v/>
      </c>
      <c r="F14" s="547">
        <f>E14-C14</f>
        <v/>
      </c>
      <c r="G14" s="324">
        <f>SUMIFS(OPmontant,OPdate,$C14,OPcompte,$A14,OPdevise,$B14,OPcatégorie,Solde)</f>
        <v/>
      </c>
      <c r="H14" s="324">
        <f>SUMIFS(OPmontant,OPcompte,$A14,OPdevise,$B14,OPcatégorie,"&lt;&gt;"&amp;Spéciale,OPdate,"&gt;"&amp;C14) + $G14</f>
        <v/>
      </c>
      <c r="I14" s="324">
        <f>SUMIF(AVRintitulé,$A14,AVRmontant_solde)</f>
        <v/>
      </c>
      <c r="J14" s="324">
        <f>ROUND($I14-$H14,2)</f>
        <v/>
      </c>
      <c r="K14" s="548" t="inlineStr">
        <is>
          <t>Oui</t>
        </is>
      </c>
      <c r="L14" s="547">
        <f>COUNTIFS(OPcompte,$A14,OPdate,$E14,OPdevise,$B14,OPcatégorie,Solde)</f>
        <v/>
      </c>
      <c r="M14" s="386" t="n"/>
      <c r="N14" s="386" t="n"/>
    </row>
    <row r="15" ht="16.5" customHeight="1" s="304">
      <c r="A15" s="391">
        <f>Avoirs!A16</f>
        <v/>
      </c>
      <c r="B15" s="392" t="inlineStr">
        <is>
          <t>EUR</t>
        </is>
      </c>
      <c r="C15" s="546">
        <f>_xlfn.MINIFS(OPdate,OPcompte,$A15,OPdevise,$B15,OPcatégorie,Solde)</f>
        <v/>
      </c>
      <c r="D15" s="547">
        <f>COUNTIFS(OPdate,C15,OPcompte,$A15,OPdevise,$B15,OPcatégorie,Solde)</f>
        <v/>
      </c>
      <c r="E15" s="546">
        <f>SUMIF(AVRintitulé,$A15,AVRdate_solde)</f>
        <v/>
      </c>
      <c r="F15" s="547">
        <f>E15-C15</f>
        <v/>
      </c>
      <c r="G15" s="324">
        <f>SUMIFS(OPmontant,OPdate,$C15,OPcompte,$A15,OPdevise,$B15,OPcatégorie,Solde)</f>
        <v/>
      </c>
      <c r="H15" s="324">
        <f>SUMIFS(OPmontant,OPcompte,$A15,OPdevise,$B15,OPcatégorie,"&lt;&gt;"&amp;Spéciale,OPdate,"&gt;"&amp;C15) + $G15</f>
        <v/>
      </c>
      <c r="I15" s="324">
        <f>SUMIF(AVRintitulé,$A15,AVRmontant_solde)</f>
        <v/>
      </c>
      <c r="J15" s="324">
        <f>ROUND($I15-$H15,2)</f>
        <v/>
      </c>
      <c r="K15" s="548" t="inlineStr">
        <is>
          <t>Oui</t>
        </is>
      </c>
      <c r="L15" s="547">
        <f>COUNTIFS(OPcompte,$A15,OPdate,$E15,OPdevise,$B15,OPcatégorie,Solde)</f>
        <v/>
      </c>
      <c r="M15" s="386" t="n"/>
      <c r="N15" s="386" t="n"/>
    </row>
    <row r="16" ht="16.5" customHeight="1" s="304">
      <c r="A16" s="391">
        <f>Avoirs!A17</f>
        <v/>
      </c>
      <c r="B16" s="392" t="inlineStr">
        <is>
          <t>EUR</t>
        </is>
      </c>
      <c r="C16" s="546">
        <f>_xlfn.MINIFS(OPdate,OPcompte,$A16,OPdevise,$B16,OPcatégorie,Solde)</f>
        <v/>
      </c>
      <c r="D16" s="547">
        <f>COUNTIFS(OPdate,C16,OPcompte,$A16,OPdevise,$B16,OPcatégorie,Solde)</f>
        <v/>
      </c>
      <c r="E16" s="546">
        <f>SUMIF(AVRintitulé,$A16,AVRdate_solde)</f>
        <v/>
      </c>
      <c r="F16" s="547">
        <f>E16-C16</f>
        <v/>
      </c>
      <c r="G16" s="324">
        <f>SUMIFS(OPmontant,OPdate,$C16,OPcompte,$A16,OPdevise,$B16,OPcatégorie,Solde)</f>
        <v/>
      </c>
      <c r="H16" s="324">
        <f>SUMIFS(OPmontant,OPcompte,$A16,OPdevise,$B16,OPcatégorie,"&lt;&gt;"&amp;Spéciale,OPdate,"&gt;"&amp;C16) + $G16</f>
        <v/>
      </c>
      <c r="I16" s="324">
        <f>SUMIF(AVRintitulé,$A16,AVRmontant_solde)</f>
        <v/>
      </c>
      <c r="J16" s="324">
        <f>ROUND($I16-$H16,2)</f>
        <v/>
      </c>
      <c r="K16" s="548" t="inlineStr">
        <is>
          <t>Oui</t>
        </is>
      </c>
      <c r="L16" s="547">
        <f>COUNTIFS(OPcompte,$A16,OPdate,$E16,OPdevise,$B16,OPcatégorie,Solde)</f>
        <v/>
      </c>
      <c r="M16" s="386" t="n"/>
      <c r="N16" s="386" t="n"/>
    </row>
    <row r="17" ht="16.5" customHeight="1" s="304">
      <c r="A17" s="391">
        <f>Avoirs!A18</f>
        <v/>
      </c>
      <c r="B17" s="392" t="inlineStr">
        <is>
          <t>EUR</t>
        </is>
      </c>
      <c r="C17" s="546">
        <f>_xlfn.MINIFS(OPdate,OPcompte,$A17,OPdevise,$B17,OPcatégorie,Solde)</f>
        <v/>
      </c>
      <c r="D17" s="547">
        <f>COUNTIFS(OPdate,C17,OPcompte,$A17,OPdevise,$B17,OPcatégorie,Solde)</f>
        <v/>
      </c>
      <c r="E17" s="546">
        <f>SUMIF(AVRintitulé,$A17,AVRdate_solde)</f>
        <v/>
      </c>
      <c r="F17" s="547">
        <f>E17-C17</f>
        <v/>
      </c>
      <c r="G17" s="324">
        <f>SUMIFS(OPmontant,OPdate,$C17,OPcompte,$A17,OPdevise,$B17,OPcatégorie,Solde)</f>
        <v/>
      </c>
      <c r="H17" s="324">
        <f>SUMIFS(OPmontant,OPcompte,$A17,OPdevise,$B17,OPcatégorie,"&lt;&gt;"&amp;Spéciale,OPdate,"&gt;"&amp;C17) + $G17</f>
        <v/>
      </c>
      <c r="I17" s="324">
        <f>SUMIF(AVRintitulé,$A17,AVRmontant_solde)</f>
        <v/>
      </c>
      <c r="J17" s="324">
        <f>ROUND($I17-$H17,2)</f>
        <v/>
      </c>
      <c r="K17" s="548" t="inlineStr">
        <is>
          <t>Oui</t>
        </is>
      </c>
      <c r="L17" s="547">
        <f>COUNTIFS(OPcompte,$A17,OPdate,$E17,OPdevise,$B17,OPcatégorie,Solde)</f>
        <v/>
      </c>
      <c r="M17" s="386" t="n"/>
      <c r="N17" s="386" t="n"/>
    </row>
    <row r="18" ht="16.5" customHeight="1" s="304">
      <c r="A18" s="391">
        <f>Avoirs!A19</f>
        <v/>
      </c>
      <c r="B18" s="392" t="inlineStr">
        <is>
          <t>USD</t>
        </is>
      </c>
      <c r="C18" s="546">
        <f>_xlfn.MINIFS(OPdate,OPcompte,$A18,OPdevise,$B18,OPcatégorie,Solde)</f>
        <v/>
      </c>
      <c r="D18" s="547">
        <f>COUNTIFS(OPdate,C18,OPcompte,$A18,OPdevise,$B18,OPcatégorie,Solde)</f>
        <v/>
      </c>
      <c r="E18" s="546">
        <f>SUMIF(AVRintitulé,$A18,AVRdate_solde)</f>
        <v/>
      </c>
      <c r="F18" s="547">
        <f>E18-C18</f>
        <v/>
      </c>
      <c r="G18" s="549">
        <f>SUMIFS(OPmontant,OPdate,$C18,OPcompte,$A18,OPdevise,$B18,OPcatégorie,Solde)</f>
        <v/>
      </c>
      <c r="H18" s="549">
        <f>SUMIFS(OPmontant,OPcompte,$A18,OPdevise,$B18,OPcatégorie,"&lt;&gt;"&amp;Spéciale,OPdate,"&gt;"&amp;C18) + $G18</f>
        <v/>
      </c>
      <c r="I18" s="549">
        <f>SUMIF(AVRintitulé,$A18,AVRmontant_solde)</f>
        <v/>
      </c>
      <c r="J18" s="549">
        <f>ROUND($I18-$H18,2)</f>
        <v/>
      </c>
      <c r="K18" s="548" t="inlineStr">
        <is>
          <t>Oui</t>
        </is>
      </c>
      <c r="L18" s="547">
        <f>COUNTIFS(OPcompte,$A18,OPdate,$E18,OPdevise,$B18,OPcatégorie,Solde)</f>
        <v/>
      </c>
      <c r="M18" s="386" t="n"/>
      <c r="N18" s="386" t="n"/>
    </row>
    <row r="19" ht="16.5" customHeight="1" s="304">
      <c r="A19" s="391">
        <f>Avoirs!A20</f>
        <v/>
      </c>
      <c r="B19" s="392" t="inlineStr">
        <is>
          <t>SGD</t>
        </is>
      </c>
      <c r="C19" s="546">
        <f>_xlfn.MINIFS(OPdate,OPcompte,$A19,OPdevise,$B19,OPcatégorie,Solde)</f>
        <v/>
      </c>
      <c r="D19" s="547">
        <f>COUNTIFS(OPdate,C19,OPcompte,$A19,OPdevise,$B19,OPcatégorie,Solde)</f>
        <v/>
      </c>
      <c r="E19" s="546">
        <f>SUMIF(AVRintitulé,$A19,AVRdate_solde)</f>
        <v/>
      </c>
      <c r="F19" s="547">
        <f>E19-C19</f>
        <v/>
      </c>
      <c r="G19" s="550">
        <f>SUMIFS(OPmontant,OPdate,$C19,OPcompte,$A19,OPdevise,$B19,OPcatégorie,Solde)</f>
        <v/>
      </c>
      <c r="H19" s="550">
        <f>SUMIFS(OPmontant,OPcompte,$A19,OPdevise,$B19,OPcatégorie,"&lt;&gt;"&amp;Spéciale,OPdate,"&gt;"&amp;C19) + $G19</f>
        <v/>
      </c>
      <c r="I19" s="550">
        <f>SUMIF(AVRintitulé,$A19,AVRmontant_solde)</f>
        <v/>
      </c>
      <c r="J19" s="550">
        <f>ROUND($I19-$H19,2)</f>
        <v/>
      </c>
      <c r="K19" s="548" t="inlineStr">
        <is>
          <t>Oui</t>
        </is>
      </c>
      <c r="L19" s="547">
        <f>COUNTIFS(OPcompte,$A19,OPdate,$E19,OPdevise,$B19,OPcatégorie,Solde)</f>
        <v/>
      </c>
      <c r="M19" s="386" t="n"/>
      <c r="N19" s="386" t="n"/>
    </row>
    <row r="20" ht="16.5" customHeight="1" s="304">
      <c r="A20" s="391">
        <f>Avoirs!A21</f>
        <v/>
      </c>
      <c r="B20" s="392" t="inlineStr">
        <is>
          <t>USD</t>
        </is>
      </c>
      <c r="C20" s="546">
        <f>_xlfn.MINIFS(OPdate,OPcompte,$A20,OPdevise,$B20,OPcatégorie,Solde)</f>
        <v/>
      </c>
      <c r="D20" s="547">
        <f>COUNTIFS(OPdate,C20,OPcompte,$A20,OPdevise,$B20,OPcatégorie,Solde)</f>
        <v/>
      </c>
      <c r="E20" s="546">
        <f>SUMIF(AVRintitulé,$A20,AVRdate_solde)</f>
        <v/>
      </c>
      <c r="F20" s="547">
        <f>E20-C20</f>
        <v/>
      </c>
      <c r="G20" s="549">
        <f>SUMIFS(OPmontant,OPdate,$C20,OPcompte,$A20,OPdevise,$B20,OPcatégorie,Solde)</f>
        <v/>
      </c>
      <c r="H20" s="549">
        <f>SUMIFS(OPmontant,OPcompte,$A20,OPdevise,$B20,OPcatégorie,"&lt;&gt;"&amp;Spéciale,OPdate,"&gt;"&amp;C20) + $G20</f>
        <v/>
      </c>
      <c r="I20" s="549">
        <f>SUMIF(AVRintitulé,$A20,AVRmontant_solde)</f>
        <v/>
      </c>
      <c r="J20" s="549">
        <f>ROUND($I20-$H20,2)</f>
        <v/>
      </c>
      <c r="K20" s="548" t="inlineStr">
        <is>
          <t>Oui</t>
        </is>
      </c>
      <c r="L20" s="547">
        <f>COUNTIFS(OPcompte,$A20,OPdate,$E20,OPdevise,$B20,OPcatégorie,Solde)</f>
        <v/>
      </c>
      <c r="M20" s="386" t="n"/>
      <c r="N20" s="386" t="n"/>
    </row>
    <row r="21" ht="16.5" customHeight="1" s="304">
      <c r="A21" s="391">
        <f>Avoirs!A22</f>
        <v/>
      </c>
      <c r="B21" s="392" t="inlineStr">
        <is>
          <t>EUR</t>
        </is>
      </c>
      <c r="C21" s="546">
        <f>_xlfn.MINIFS(OPdate,OPcompte,$A21,OPdevise,$B21,OPcatégorie,Solde)</f>
        <v/>
      </c>
      <c r="D21" s="547">
        <f>COUNTIFS(OPdate,C21,OPcompte,$A21,OPdevise,$B21,OPcatégorie,Solde)</f>
        <v/>
      </c>
      <c r="E21" s="546">
        <f>SUMIF(AVRintitulé,$A21,AVRdate_solde)</f>
        <v/>
      </c>
      <c r="F21" s="547">
        <f>E21-C21</f>
        <v/>
      </c>
      <c r="G21" s="324">
        <f>SUMIFS(OPmontant,OPdate,$C21,OPcompte,$A21,OPdevise,$B21,OPcatégorie,Solde)</f>
        <v/>
      </c>
      <c r="H21" s="324">
        <f>SUMIFS(OPmontant,OPcompte,$A21,OPdevise,$B21,OPcatégorie,"&lt;&gt;"&amp;Spéciale,OPdate,"&gt;"&amp;C21) + $G21</f>
        <v/>
      </c>
      <c r="I21" s="324">
        <f>SUMIF(AVRintitulé,$A21,AVRmontant_solde)</f>
        <v/>
      </c>
      <c r="J21" s="324">
        <f>ROUND($I21-$H21,2)</f>
        <v/>
      </c>
      <c r="K21" s="548" t="inlineStr">
        <is>
          <t>Oui</t>
        </is>
      </c>
      <c r="L21" s="547">
        <f>COUNTIFS(OPcompte,$A21,OPdate,$E21,OPdevise,$B21,OPcatégorie,Solde)</f>
        <v/>
      </c>
      <c r="M21" s="386" t="n"/>
      <c r="N21" s="386" t="n"/>
    </row>
    <row r="22" ht="16.5" customHeight="1" s="304">
      <c r="A22" s="391">
        <f>Avoirs!A23</f>
        <v/>
      </c>
      <c r="B22" s="392" t="inlineStr">
        <is>
          <t>SAT</t>
        </is>
      </c>
      <c r="C22" s="546">
        <f>_xlfn.MINIFS(OPdate,OPcompte,$A22,OPdevise,$B22,OPcatégorie,Solde)</f>
        <v/>
      </c>
      <c r="D22" s="547">
        <f>COUNTIFS(OPdate,C22,OPcompte,$A22,OPdevise,$B22,OPcatégorie,Solde)</f>
        <v/>
      </c>
      <c r="E22" s="546">
        <f>SUMIF(AVRintitulé,$A22,AVRdate_solde)</f>
        <v/>
      </c>
      <c r="F22" s="547">
        <f>E22-C22</f>
        <v/>
      </c>
      <c r="G22" s="551">
        <f>SUMIFS(OPmontant,OPdate,$C22,OPcompte,$A22,OPdevise,$B22,OPcatégorie,Solde)</f>
        <v/>
      </c>
      <c r="H22" s="551">
        <f>SUMIFS(OPmontant,OPcompte,$A22,OPdevise,$B22,OPcatégorie,"&lt;&gt;"&amp;Spéciale,OPdate,"&gt;"&amp;C22) + $G22</f>
        <v/>
      </c>
      <c r="I22" s="551">
        <f>SUMIF(AVRintitulé,$A22,AVRmontant_solde)</f>
        <v/>
      </c>
      <c r="J22" s="551">
        <f>ROUND($I22-$H22,2)</f>
        <v/>
      </c>
      <c r="K22" s="548" t="inlineStr">
        <is>
          <t>Oui</t>
        </is>
      </c>
      <c r="L22" s="547">
        <f>COUNTIFS(OPcompte,$A22,OPdate,$E22,OPdevise,$B22,OPcatégorie,Solde)</f>
        <v/>
      </c>
      <c r="M22" s="386" t="n"/>
      <c r="N22" s="386" t="n"/>
    </row>
    <row r="23" ht="16.5" customHeight="1" s="304">
      <c r="A23" s="391">
        <f>Avoirs!A24</f>
        <v/>
      </c>
      <c r="B23" s="392" t="inlineStr">
        <is>
          <t>SAT</t>
        </is>
      </c>
      <c r="C23" s="546">
        <f>_xlfn.MINIFS(OPdate,OPcompte,$A23,OPdevise,$B23,OPcatégorie,Solde)</f>
        <v/>
      </c>
      <c r="D23" s="547">
        <f>COUNTIFS(OPdate,C23,OPcompte,$A23,OPdevise,$B23,OPcatégorie,Solde)</f>
        <v/>
      </c>
      <c r="E23" s="546">
        <f>SUMIF(AVRintitulé,$A23,AVRdate_solde)</f>
        <v/>
      </c>
      <c r="F23" s="547">
        <f>E23-C23</f>
        <v/>
      </c>
      <c r="G23" s="551">
        <f>SUMIFS(OPmontant,OPdate,$C23,OPcompte,$A23,OPdevise,$B23,OPcatégorie,Solde)</f>
        <v/>
      </c>
      <c r="H23" s="551">
        <f>SUMIFS(OPmontant,OPcompte,$A23,OPdevise,$B23,OPcatégorie,"&lt;&gt;"&amp;Spéciale,OPdate,"&gt;"&amp;C23) + $G23</f>
        <v/>
      </c>
      <c r="I23" s="551">
        <f>SUMIF(AVRintitulé,$A23,AVRmontant_solde)</f>
        <v/>
      </c>
      <c r="J23" s="551">
        <f>ROUND($I23-$H23,2)</f>
        <v/>
      </c>
      <c r="K23" s="548" t="inlineStr">
        <is>
          <t>Oui</t>
        </is>
      </c>
      <c r="L23" s="547">
        <f>COUNTIFS(OPcompte,$A23,OPdate,$E23,OPdevise,$B23,OPcatégorie,Solde)</f>
        <v/>
      </c>
      <c r="M23" s="386" t="n"/>
      <c r="N23" s="386" t="n"/>
    </row>
    <row r="24" ht="16.5" customHeight="1" s="304">
      <c r="A24" s="391">
        <f>Avoirs!A25</f>
        <v/>
      </c>
      <c r="B24" s="392" t="inlineStr">
        <is>
          <t>SAT</t>
        </is>
      </c>
      <c r="C24" s="546">
        <f>_xlfn.MINIFS(OPdate,OPcompte,$A24,OPdevise,$B24,OPcatégorie,Solde)</f>
        <v/>
      </c>
      <c r="D24" s="547">
        <f>COUNTIFS(OPdate,C24,OPcompte,$A24,OPdevise,$B24,OPcatégorie,Solde)</f>
        <v/>
      </c>
      <c r="E24" s="546">
        <f>SUMIF(AVRintitulé,$A24,AVRdate_solde)</f>
        <v/>
      </c>
      <c r="F24" s="547">
        <f>E24-C24</f>
        <v/>
      </c>
      <c r="G24" s="551">
        <f>SUMIFS(OPmontant,OPdate,$C24,OPcompte,$A24,OPdevise,$B24,OPcatégorie,Solde)</f>
        <v/>
      </c>
      <c r="H24" s="551">
        <f>SUMIFS(OPmontant,OPcompte,$A24,OPdevise,$B24,OPcatégorie,"&lt;&gt;"&amp;Spéciale,OPdate,"&gt;"&amp;C24) + $G24</f>
        <v/>
      </c>
      <c r="I24" s="551">
        <f>SUMIF(AVRintitulé,$A24,AVRmontant_solde)</f>
        <v/>
      </c>
      <c r="J24" s="551">
        <f>ROUND($I24-$H24,2)</f>
        <v/>
      </c>
      <c r="K24" s="548" t="inlineStr">
        <is>
          <t>Oui</t>
        </is>
      </c>
      <c r="L24" s="547">
        <f>COUNTIFS(OPcompte,$A24,OPdate,$E24,OPdevise,$B24,OPcatégorie,Solde)</f>
        <v/>
      </c>
      <c r="M24" s="386" t="n"/>
      <c r="N24" s="386" t="n"/>
    </row>
    <row r="25" ht="16.5" customHeight="1" s="304">
      <c r="A25" s="391">
        <f>Avoirs!A26</f>
        <v/>
      </c>
      <c r="B25" s="392" t="inlineStr">
        <is>
          <t>XMR</t>
        </is>
      </c>
      <c r="C25" s="546">
        <f>_xlfn.MINIFS(OPdate,OPcompte,$A25,OPdevise,$B25,OPcatégorie,Solde)</f>
        <v/>
      </c>
      <c r="D25" s="547">
        <f>COUNTIFS(OPdate,C25,OPcompte,$A25,OPdevise,$B25,OPcatégorie,Solde)</f>
        <v/>
      </c>
      <c r="E25" s="546">
        <f>SUMIF(AVRintitulé,$A25,AVRdate_solde)</f>
        <v/>
      </c>
      <c r="F25" s="547">
        <f>E25-C25</f>
        <v/>
      </c>
      <c r="G25" s="552">
        <f>SUMIFS(OPmontant,OPdate,$C25,OPcompte,$A25,OPdevise,$B25,OPcatégorie,Solde)</f>
        <v/>
      </c>
      <c r="H25" s="552">
        <f>SUMIFS(OPmontant,OPcompte,$A25,OPdevise,$B25,OPcatégorie,"&lt;&gt;"&amp;Spéciale,OPdate,"&gt;"&amp;C25) + $G25</f>
        <v/>
      </c>
      <c r="I25" s="552">
        <f>SUMIF(AVRintitulé,$A25,AVRmontant_solde)</f>
        <v/>
      </c>
      <c r="J25" s="552">
        <f>ROUND($I25-$H25,2)</f>
        <v/>
      </c>
      <c r="K25" s="548" t="inlineStr">
        <is>
          <t>Oui</t>
        </is>
      </c>
      <c r="L25" s="547">
        <f>COUNTIFS(OPcompte,$A25,OPdate,$E25,OPdevise,$B25,OPcatégorie,Solde)</f>
        <v/>
      </c>
      <c r="M25" s="386" t="n"/>
      <c r="N25" s="386" t="n"/>
    </row>
    <row r="26" ht="16.5" customHeight="1" s="304">
      <c r="A26" s="391">
        <f>Avoirs!A27</f>
        <v/>
      </c>
      <c r="B26" s="392" t="inlineStr">
        <is>
          <t>OrPr</t>
        </is>
      </c>
      <c r="C26" s="546">
        <f>_xlfn.MINIFS(OPdate,OPcompte,$A26,OPdevise,$B26,OPcatégorie,Solde)</f>
        <v/>
      </c>
      <c r="D26" s="547">
        <f>COUNTIFS(OPdate,C26,OPcompte,$A26,OPdevise,$B26,OPcatégorie,Solde)</f>
        <v/>
      </c>
      <c r="E26" s="546">
        <f>SUMIF(AVRintitulé,$A26,AVRdate_solde)</f>
        <v/>
      </c>
      <c r="F26" s="547">
        <f>E26-C26</f>
        <v/>
      </c>
      <c r="G26" s="553">
        <f>SUMIFS(OPmontant,OPdate,$C26,OPcompte,$A26,OPdevise,$B26,OPcatégorie,Solde)</f>
        <v/>
      </c>
      <c r="H26" s="553">
        <f>SUMIFS(OPmontant,OPcompte,$A26,OPdevise,$B26,OPcatégorie,"&lt;&gt;"&amp;Spéciale,OPdate,"&gt;"&amp;C26) + $G26</f>
        <v/>
      </c>
      <c r="I26" s="553">
        <f>SUMIF(AVRintitulé,$A26,AVRmontant_solde)</f>
        <v/>
      </c>
      <c r="J26" s="553">
        <f>ROUND($I26-$H26,2)</f>
        <v/>
      </c>
      <c r="K26" s="548" t="inlineStr">
        <is>
          <t>Oui</t>
        </is>
      </c>
      <c r="L26" s="547">
        <f>COUNTIFS(OPcompte,$A26,OPdate,$E26,OPdevise,$B26,OPcatégorie,Solde)</f>
        <v/>
      </c>
      <c r="M26" s="386" t="n"/>
      <c r="N26" s="386" t="n"/>
    </row>
    <row r="27" ht="16.5" customHeight="1" s="304">
      <c r="A27" s="391">
        <f>Avoirs!A28</f>
        <v/>
      </c>
      <c r="B27" s="392" t="n"/>
      <c r="C27" s="546">
        <f>_xlfn.MINIFS(OPdate,OPcompte,$A27,OPdevise,$B27,OPcatégorie,Solde)</f>
        <v/>
      </c>
      <c r="D27" s="547">
        <f>COUNTIFS(OPdate,C27,OPcompte,$A27,OPdevise,$B27,OPcatégorie,Solde)</f>
        <v/>
      </c>
      <c r="E27" s="546">
        <f>SUMIF(AVRintitulé,$A27,AVRdate_solde)</f>
        <v/>
      </c>
      <c r="F27" s="547">
        <f>E27-C27</f>
        <v/>
      </c>
      <c r="G27" s="324">
        <f>SUMIFS(OPmontant,OPdate,$C27,OPcompte,$A27,OPdevise,$B27,OPcatégorie,Solde)</f>
        <v/>
      </c>
      <c r="H27" s="324">
        <f>SUMIFS(OPmontant,OPcompte,$A27,OPdevise,$B27,OPcatégorie,"&lt;&gt;"&amp;Spéciale,OPdate,"&gt;"&amp;C27) + $G27</f>
        <v/>
      </c>
      <c r="I27" s="324">
        <f>SUMIF(AVRintitulé,$A27,AVRmontant_solde)</f>
        <v/>
      </c>
      <c r="J27" s="324">
        <f>ROUND($I27-$H27,2)</f>
        <v/>
      </c>
      <c r="K27" s="548" t="inlineStr">
        <is>
          <t>Non</t>
        </is>
      </c>
      <c r="L27" s="547">
        <f>COUNTIFS(OPcompte,$A27,OPdate,$E27,OPdevise,$B27,OPcatégorie,Solde)</f>
        <v/>
      </c>
      <c r="M27" s="386" t="n"/>
      <c r="N27" s="386" t="n"/>
    </row>
    <row r="28" ht="16.5" customHeight="1" s="304">
      <c r="A28" s="391">
        <f>Avoirs!A29</f>
        <v/>
      </c>
      <c r="B28" s="392" t="n"/>
      <c r="C28" s="546">
        <f>_xlfn.MINIFS(OPdate,OPcompte,$A28,OPdevise,$B28,OPcatégorie,Solde)</f>
        <v/>
      </c>
      <c r="D28" s="547">
        <f>COUNTIFS(OPdate,C28,OPcompte,$A28,OPdevise,$B28,OPcatégorie,Solde)</f>
        <v/>
      </c>
      <c r="E28" s="546">
        <f>SUMIF(AVRintitulé,$A28,AVRdate_solde)</f>
        <v/>
      </c>
      <c r="F28" s="547">
        <f>E28-C28</f>
        <v/>
      </c>
      <c r="G28" s="324">
        <f>SUMIFS(OPmontant,OPdate,$C28,OPcompte,$A28,OPdevise,$B28,OPcatégorie,Solde)</f>
        <v/>
      </c>
      <c r="H28" s="324">
        <f>SUMIFS(OPmontant,OPcompte,$A28,OPdevise,$B28,OPcatégorie,"&lt;&gt;"&amp;Spéciale,OPdate,"&gt;"&amp;C28) + $G28</f>
        <v/>
      </c>
      <c r="I28" s="324">
        <f>SUMIF(AVRintitulé,$A28,AVRmontant_solde)</f>
        <v/>
      </c>
      <c r="J28" s="324">
        <f>ROUND($I28-$H28,2)</f>
        <v/>
      </c>
      <c r="K28" s="548" t="inlineStr">
        <is>
          <t>Non</t>
        </is>
      </c>
      <c r="L28" s="547">
        <f>COUNTIFS(OPcompte,$A28,OPdate,$E28,OPdevise,$B28,OPcatégorie,Solde)</f>
        <v/>
      </c>
      <c r="M28" s="386" t="n"/>
      <c r="N28" s="386" t="n"/>
    </row>
    <row r="29" ht="16.5" customHeight="1" s="304">
      <c r="A29" s="391">
        <f>Avoirs!A30</f>
        <v/>
      </c>
      <c r="B29" s="392" t="n"/>
      <c r="C29" s="546">
        <f>_xlfn.MINIFS(OPdate,OPcompte,$A29,OPdevise,$B29,OPcatégorie,Solde)</f>
        <v/>
      </c>
      <c r="D29" s="547">
        <f>COUNTIFS(OPdate,C29,OPcompte,$A29,OPdevise,$B29,OPcatégorie,Solde)</f>
        <v/>
      </c>
      <c r="E29" s="546">
        <f>SUMIF(AVRintitulé,$A29,AVRdate_solde)</f>
        <v/>
      </c>
      <c r="F29" s="547">
        <f>E29-C29</f>
        <v/>
      </c>
      <c r="G29" s="324">
        <f>SUMIFS(OPmontant,OPdate,$C29,OPcompte,$A29,OPdevise,$B29,OPcatégorie,Solde)</f>
        <v/>
      </c>
      <c r="H29" s="324">
        <f>SUMIFS(OPmontant,OPcompte,$A29,OPdevise,$B29,OPcatégorie,"&lt;&gt;"&amp;Spéciale,OPdate,"&gt;"&amp;C29) + $G29</f>
        <v/>
      </c>
      <c r="I29" s="324">
        <f>SUMIF(AVRintitulé,$A29,AVRmontant_solde)</f>
        <v/>
      </c>
      <c r="J29" s="324">
        <f>ROUND($I29-$H29,2)</f>
        <v/>
      </c>
      <c r="K29" s="548" t="inlineStr">
        <is>
          <t>Non</t>
        </is>
      </c>
      <c r="L29" s="547">
        <f>COUNTIFS(OPcompte,$A29,OPdate,$E29,OPdevise,$B29,OPcatégorie,Solde)</f>
        <v/>
      </c>
      <c r="M29" s="386" t="n"/>
      <c r="N29" s="386" t="n"/>
    </row>
    <row r="30" ht="16.5" customHeight="1" s="304">
      <c r="A30" s="554" t="n"/>
      <c r="B30" s="547" t="n"/>
      <c r="C30" s="547" t="n"/>
      <c r="D30" s="547" t="n"/>
      <c r="E30" s="547" t="n"/>
      <c r="F30" s="547" t="n"/>
      <c r="G30" s="547" t="n"/>
      <c r="H30" s="555" t="n"/>
      <c r="I30" s="556" t="n"/>
      <c r="J30" s="556" t="n"/>
      <c r="K30" s="547" t="n"/>
      <c r="L30" s="547" t="n"/>
    </row>
    <row r="31" ht="17.25" customHeight="1" s="304">
      <c r="A31" s="378" t="n"/>
      <c r="B31" s="382" t="n"/>
      <c r="C31" s="378" t="n"/>
      <c r="D31" s="382">
        <f>SUMPRODUCT(($K4:$K29="Oui")*(D4:D29&lt;&gt;1)*(D4:D29&lt;&gt;""))</f>
        <v/>
      </c>
      <c r="E31" s="378" t="n"/>
      <c r="F31" s="382">
        <f>SUMPRODUCT(($K4:$K29="Oui")*($F4:$F29=0))</f>
        <v/>
      </c>
      <c r="G31" s="378" t="n"/>
      <c r="H31" s="378" t="n"/>
      <c r="I31" s="378" t="n"/>
      <c r="J31" s="378" t="n"/>
      <c r="K31" s="379" t="n"/>
      <c r="L31" s="382">
        <f>SUMPRODUCT(($K4:$K29="Oui")*(L4:L29&lt;&gt;1)*(L4:L29&lt;&gt;""))</f>
        <v/>
      </c>
    </row>
    <row r="33" ht="18.75" customHeight="1" s="304">
      <c r="M33" s="409" t="inlineStr">
        <is>
          <t>CONTRÔLES</t>
        </is>
      </c>
    </row>
    <row r="34" ht="19.5" customHeight="1" s="304">
      <c r="M34" s="329" t="inlineStr">
        <is>
          <t>Type de contrôle</t>
        </is>
      </c>
      <c r="N34" s="329" t="inlineStr">
        <is>
          <t xml:space="preserve">Affichage  </t>
        </is>
      </c>
      <c r="O34" s="329" t="inlineStr">
        <is>
          <t>Général</t>
        </is>
      </c>
      <c r="P34" s="329" t="inlineStr">
        <is>
          <t>EUR</t>
        </is>
      </c>
      <c r="Q34" s="360" t="inlineStr">
        <is>
          <t>XAU</t>
        </is>
      </c>
      <c r="R34" s="360" t="inlineStr">
        <is>
          <t>BTC</t>
        </is>
      </c>
      <c r="S34" s="557" t="inlineStr">
        <is>
          <t>USD</t>
        </is>
      </c>
      <c r="T34" s="557" t="inlineStr">
        <is>
          <t>SGD</t>
        </is>
      </c>
      <c r="U34" s="557" t="inlineStr">
        <is>
          <t>OrPr</t>
        </is>
      </c>
      <c r="V34" s="557" t="inlineStr">
        <is>
          <t>SAT</t>
        </is>
      </c>
      <c r="W34" s="557" t="inlineStr">
        <is>
          <t>XMR</t>
        </is>
      </c>
    </row>
    <row r="35" ht="16.5" customHeight="1" s="304">
      <c r="M35" s="329" t="n"/>
      <c r="N35" s="329" t="n"/>
      <c r="O35" s="543" t="n"/>
      <c r="P35" s="558" t="n"/>
      <c r="Q35" s="559">
        <f>Cotations!$D$4</f>
        <v/>
      </c>
      <c r="R35" s="559">
        <f>Cotations!$D$10</f>
        <v/>
      </c>
      <c r="S35" s="560">
        <f>Cotations!$D$9</f>
        <v/>
      </c>
      <c r="T35" s="560">
        <f>Cotations!$D$8</f>
        <v/>
      </c>
      <c r="U35" s="560">
        <f>Cotations!$D$7</f>
        <v/>
      </c>
      <c r="V35" s="560">
        <f>Cotations!$D$6</f>
        <v/>
      </c>
      <c r="W35" s="560">
        <f>Cotations!$D$5</f>
        <v/>
      </c>
    </row>
    <row r="36" ht="16.5" customHeight="1" s="304">
      <c r="M36" s="391" t="inlineStr">
        <is>
          <t>COMPTES (de début #Solde à fin #Solde)</t>
        </is>
      </c>
      <c r="N36" s="561">
        <f>IF(SUM($O36:$P36)=0,"✓","✗")</f>
        <v/>
      </c>
      <c r="O36" s="562">
        <f>$D$31+$L$31+$F$31</f>
        <v/>
      </c>
      <c r="P36" s="563">
        <f>COUNTIFS($B4:$B29,P$34,$K4:$K29,"Oui")-COUNTIFS($B4:$B29,P$34,$K4:$K29,"Oui",$J4:$J29,0)</f>
        <v/>
      </c>
      <c r="Q36" s="564">
        <f>COUNTIFS($B4:$B29,Q$34,$K4:$K29,"Oui")-COUNTIFS($B4:$B29,Q$34,$K4:$K29,"Oui",$J4:$J29,0)</f>
        <v/>
      </c>
      <c r="R36" s="564">
        <f>COUNTIFS($B4:$B29,R$34,$K4:$K29,"Oui")-COUNTIFS($B4:$B29,R$34,$K4:$K29,"Oui",$J4:$J29,0)</f>
        <v/>
      </c>
      <c r="S36" s="565">
        <f>COUNTIFS($B4:$B29,S$34,$K4:$K29,"Oui")-COUNTIFS($B4:$B29,S$34,$K4:$K29,"Oui",$J4:$J29,0)</f>
        <v/>
      </c>
      <c r="T36" s="565">
        <f>COUNTIFS($B4:$B29,T$34,$K4:$K29,"Oui")-COUNTIFS($B4:$B29,T$34,$K4:$K29,"Oui",$J4:$J29,0)</f>
        <v/>
      </c>
      <c r="U36" s="565">
        <f>COUNTIFS($B4:$B29,U$34,$K4:$K29,"Oui")-COUNTIFS($B4:$B29,U$34,$K4:$K29,"Oui",$J4:$J29,0)</f>
        <v/>
      </c>
      <c r="V36" s="565">
        <f>COUNTIFS($B4:$B29,V$34,$K4:$K29,"Oui")-COUNTIFS($B4:$B29,V$34,$K4:$K29,"Oui",$J4:$J29,0)</f>
        <v/>
      </c>
      <c r="W36" s="565">
        <f>COUNTIFS($B4:$B29,W$34,$K4:$K29,"Oui")-COUNTIFS($B4:$B29,W$34,$K4:$K29,"Oui",$J4:$J29,0)</f>
        <v/>
      </c>
    </row>
    <row r="37" ht="16.5" customHeight="1" s="304">
      <c r="M37" s="391" t="inlineStr">
        <is>
          <t>CATÉGORIES (année glissante)</t>
        </is>
      </c>
      <c r="N37" s="566">
        <f>IF(SUM($O37:$P37)=0,"✓","✗")</f>
        <v/>
      </c>
      <c r="O37" s="562" t="n"/>
      <c r="P37" s="508">
        <f>Budget!F$38</f>
        <v/>
      </c>
      <c r="Q37" s="567">
        <f>Budget!G$38</f>
        <v/>
      </c>
      <c r="R37" s="568">
        <f>Budget!H$38</f>
        <v/>
      </c>
      <c r="S37" s="569">
        <f>Budget!I$38</f>
        <v/>
      </c>
      <c r="T37" s="570">
        <f>Budget!J$38</f>
        <v/>
      </c>
      <c r="U37" s="571">
        <f>Budget!K$38</f>
        <v/>
      </c>
      <c r="V37" s="572">
        <f>Budget!L$38</f>
        <v/>
      </c>
      <c r="W37" s="573">
        <f>Budget!M$38</f>
        <v/>
      </c>
    </row>
    <row r="38" ht="16.5" customHeight="1" s="304">
      <c r="M38" s="391" t="inlineStr">
        <is>
          <t>Date</t>
        </is>
      </c>
      <c r="N38" s="566">
        <f>IF(O38=0,"✓","⚠")</f>
        <v/>
      </c>
      <c r="O38" s="562">
        <f>COUNTIF(OPdate,"&lt;"&amp;DATE(2020,1,1))+COUNTIF(OPdate,"&gt;"&amp;DATE(année_courante,12,31))</f>
        <v/>
      </c>
      <c r="P38" s="563" t="n"/>
      <c r="Q38" s="564" t="n"/>
      <c r="R38" s="564" t="n"/>
      <c r="S38" s="565" t="n"/>
      <c r="T38" s="565" t="n"/>
      <c r="U38" s="565" t="n"/>
      <c r="V38" s="565" t="n"/>
      <c r="W38" s="565" t="n"/>
    </row>
    <row r="39" ht="16.5" customHeight="1" s="304">
      <c r="M39" s="391" t="inlineStr">
        <is>
          <t xml:space="preserve">Appariements </t>
        </is>
      </c>
      <c r="N39" s="566">
        <f>IF(O39=0,"✓","⚠")</f>
        <v/>
      </c>
      <c r="O39" s="562">
        <f>COUNTIFS(OPréf,"-")</f>
        <v/>
      </c>
      <c r="P39" s="563">
        <f>COUNTIFS(OPréf,"-",OPdevise,P$34)</f>
        <v/>
      </c>
      <c r="Q39" s="564">
        <f>COUNTIFS(OPréf,"-",OPdevise,Q$34)</f>
        <v/>
      </c>
      <c r="R39" s="564">
        <f>COUNTIFS(OPréf,"-",OPdevise,R$34)</f>
        <v/>
      </c>
      <c r="S39" s="565">
        <f>COUNTIFS(OPréf,"-",OPdevise,S$34)</f>
        <v/>
      </c>
      <c r="T39" s="565">
        <f>COUNTIFS(OPréf,"-",OPdevise,T$34)</f>
        <v/>
      </c>
      <c r="U39" s="565">
        <f>COUNTIFS(OPréf,"-",OPdevise,U$34)</f>
        <v/>
      </c>
      <c r="V39" s="565">
        <f>COUNTIFS(OPréf,"-",OPdevise,V$34)</f>
        <v/>
      </c>
      <c r="W39" s="565">
        <f>COUNTIFS(OPréf,"-",OPdevise,W$34)</f>
        <v/>
      </c>
    </row>
    <row r="40" ht="16.5" customHeight="1" s="304">
      <c r="M40" s="554" t="inlineStr">
        <is>
          <t>Balances</t>
        </is>
      </c>
      <c r="N40" s="566">
        <f>IF(O40=0,"✓","⚠")</f>
        <v/>
      </c>
      <c r="O40" s="562">
        <f>3-COUNTIFS(O41:O45,0)</f>
        <v/>
      </c>
      <c r="P40" s="563">
        <f>COUNTA($M41:$M43)-COUNTIFS(P41:P43,0)</f>
        <v/>
      </c>
      <c r="Q40" s="564">
        <f>COUNTA($M41:$M43)-COUNTIFS(Q41:Q43,0)</f>
        <v/>
      </c>
      <c r="R40" s="564">
        <f>COUNTA($M41:$M43)-COUNTIFS(R41:R43,0)</f>
        <v/>
      </c>
      <c r="S40" s="565">
        <f>COUNTA($M41:$M43)-COUNTIFS(S41:S43,0)</f>
        <v/>
      </c>
      <c r="T40" s="565">
        <f>COUNTA($M41:$M43)-COUNTIFS(T41:T43,0)</f>
        <v/>
      </c>
      <c r="U40" s="565">
        <f>COUNTA($M41:$M43)-COUNTIFS(U41:U43,0)</f>
        <v/>
      </c>
      <c r="V40" s="565">
        <f>COUNTA($M41:$M43)-COUNTIFS(V41:V43,0)</f>
        <v/>
      </c>
      <c r="W40" s="565">
        <f>COUNTA($M41:$M43)-COUNTIFS(W41:W43,0)</f>
        <v/>
      </c>
    </row>
    <row r="41" ht="16.5" customHeight="1" s="304">
      <c r="M41" s="574" t="inlineStr">
        <is>
          <t>Virements</t>
        </is>
      </c>
      <c r="N41" s="322" t="n"/>
      <c r="O41" s="436" t="n"/>
      <c r="P41" s="575">
        <f>ROUND(SUMIFS(OPmontant,OPdevise,P$34,OPcatégorie,"Virement*"),0)</f>
        <v/>
      </c>
      <c r="Q41" s="576">
        <f>ROUND(SUMIFS(OPmontant,OPdevise,Q$34,OPcatégorie,"Virement*"),0)</f>
        <v/>
      </c>
      <c r="R41" s="577">
        <f>ROUND(SUMIFS(OPmontant,OPdevise,R$34,OPcatégorie,"Virement*"),0)</f>
        <v/>
      </c>
      <c r="S41" s="578">
        <f>ROUND(SUMIFS(OPmontant,OPdevise,S$34,OPcatégorie,"Virement*"),0)</f>
        <v/>
      </c>
      <c r="T41" s="579">
        <f>ROUND(SUMIFS(OPmontant,OPdevise,T$34,OPcatégorie,"Virement*"),0)</f>
        <v/>
      </c>
      <c r="U41" s="580">
        <f>ROUND(SUMIFS(OPmontant,OPdevise,U$34,OPcatégorie,"Virement*"),0)</f>
        <v/>
      </c>
      <c r="V41" s="581">
        <f>ROUND(SUMIFS(OPmontant,OPdevise,V$34,OPcatégorie,"Virement*"),0)</f>
        <v/>
      </c>
      <c r="W41" s="582">
        <f>ROUND(SUMIFS(OPmontant,OPdevise,W$34,OPcatégorie,"Virement*"),0)</f>
        <v/>
      </c>
    </row>
    <row r="42" ht="16.5" customHeight="1" s="304">
      <c r="M42" s="583" t="inlineStr">
        <is>
          <t>€</t>
        </is>
      </c>
      <c r="N42" s="322" t="n"/>
      <c r="O42" s="436">
        <f>SUM(P42)</f>
        <v/>
      </c>
      <c r="P42" s="508">
        <f>ROUND(SUMIFS(OPmontant,OPdevise,P$34,OPcatégorie,"Virement*"),0)</f>
        <v/>
      </c>
      <c r="Q42" s="584">
        <f>ROUND(SUMIFS(OPmontant,OPdevise,Q$34,OPcatégorie,"Virement*"),0)*Q$35</f>
        <v/>
      </c>
      <c r="R42" s="584">
        <f>ROUND(SUMIFS(OPmontant,OPdevise,R$34,OPcatégorie,"Virement*"),0)*R$35</f>
        <v/>
      </c>
      <c r="S42" s="585">
        <f>ROUND(SUMIFS(OPmontant,OPdevise,S$34,OPcatégorie,"Virement*"),0)*S$35</f>
        <v/>
      </c>
      <c r="T42" s="585">
        <f>ROUND(SUMIFS(OPmontant,OPdevise,T$34,OPcatégorie,"Virement*"),0)*T$35</f>
        <v/>
      </c>
      <c r="U42" s="585">
        <f>ROUND(SUMIFS(OPmontant,OPdevise,U$34,OPcatégorie,"Virement*"),0)*U$35</f>
        <v/>
      </c>
      <c r="V42" s="585">
        <f>ROUND(SUMIFS(OPmontant,OPdevise,V$34,OPcatégorie,"Virement*"),0)*V$35</f>
        <v/>
      </c>
      <c r="W42" s="585">
        <f>ROUND(SUMIFS(OPmontant,OPdevise,W$34,OPcatégorie,"Virement*"),0)*W$35</f>
        <v/>
      </c>
    </row>
    <row r="43" ht="16.5" customHeight="1" s="304">
      <c r="M43" s="574" t="inlineStr">
        <is>
          <t>Titres</t>
        </is>
      </c>
      <c r="N43" s="322" t="n"/>
      <c r="O43" s="436" t="n"/>
      <c r="P43" s="508">
        <f>ROUND(SUMIFS(OPmontant,OPdevise,P$34,OPcatégorie,"*titres"),0)</f>
        <v/>
      </c>
      <c r="Q43" s="567">
        <f>ROUND(SUMIFS(OPmontant,OPdevise,Q$34,OPcatégorie,"*titres"),0)</f>
        <v/>
      </c>
      <c r="R43" s="568">
        <f>ROUND(SUMIFS(OPmontant,OPdevise,R$34,OPcatégorie,"*titres"),0)</f>
        <v/>
      </c>
      <c r="S43" s="569">
        <f>ROUND(SUMIFS(OPmontant,OPdevise,S$34,OPcatégorie,"*titres"),0)</f>
        <v/>
      </c>
      <c r="T43" s="570">
        <f>ROUND(SUMIFS(OPmontant,OPdevise,T$34,OPcatégorie,"*titres"),0)</f>
        <v/>
      </c>
      <c r="U43" s="571">
        <f>ROUND(SUMIFS(OPmontant,OPdevise,U$34,OPcatégorie,"*titres"),0)</f>
        <v/>
      </c>
      <c r="V43" s="572">
        <f>ROUND(SUMIFS(OPmontant,OPdevise,V$34,OPcatégorie,"*titres"),0)</f>
        <v/>
      </c>
      <c r="W43" s="573">
        <f>ROUND(SUMIFS(OPmontant,OPdevise,W$34,OPcatégorie,"*titres"),0)</f>
        <v/>
      </c>
    </row>
    <row r="44" ht="16.5" customHeight="1" s="304">
      <c r="M44" s="583" t="inlineStr">
        <is>
          <t>€</t>
        </is>
      </c>
      <c r="N44" s="322" t="n"/>
      <c r="O44" s="436">
        <f>SUM(P44)</f>
        <v/>
      </c>
      <c r="P44" s="508">
        <f>ROUND(SUMIFS(OPmontant,OPdevise,P$34,OPcatégorie,"*titres"),0)</f>
        <v/>
      </c>
      <c r="Q44" s="584">
        <f>ROUND(SUMIFS(OPmontant,OPdevise,Q$34,OPcatégorie,"*titres"),0)*Q$35</f>
        <v/>
      </c>
      <c r="R44" s="584">
        <f>ROUND(SUMIFS(OPmontant,OPdevise,R$34,OPcatégorie,"*titres"),0)*R$35</f>
        <v/>
      </c>
      <c r="S44" s="585">
        <f>ROUND(SUMIFS(OPmontant,OPdevise,S$34,OPcatégorie,"*titres"),0)*S$35</f>
        <v/>
      </c>
      <c r="T44" s="585">
        <f>ROUND(SUMIFS(OPmontant,OPdevise,T$34,OPcatégorie,"*titres"),0)*T$35</f>
        <v/>
      </c>
      <c r="U44" s="585">
        <f>ROUND(SUMIFS(OPmontant,OPdevise,U$34,OPcatégorie,"*titres"),0)*U$35</f>
        <v/>
      </c>
      <c r="V44" s="585">
        <f>ROUND(SUMIFS(OPmontant,OPdevise,V$34,OPcatégorie,"*titres"),0)*V$35</f>
        <v/>
      </c>
      <c r="W44" s="585">
        <f>ROUND(SUMIFS(OPmontant,OPdevise,W$34,OPcatégorie,"*titres"),0)*W$35</f>
        <v/>
      </c>
    </row>
    <row r="45" ht="16.5" customHeight="1" s="304">
      <c r="M45" s="574" t="inlineStr">
        <is>
          <t>Changes Eq €</t>
        </is>
      </c>
      <c r="N45" s="322" t="n"/>
      <c r="O45" s="436">
        <f>SUMIFS(OPequiv_euro,OPcatégorie,"Change") + SUMIFS(OPequiv_euro,OPcatégorie,"Achat métaux")</f>
        <v/>
      </c>
      <c r="P45" s="508">
        <f>SUMIFS(OPequiv_euro,OPdevise,P$34,OPcatégorie,"Change")+SUMIFS(OPequiv_euro,OPdevise,P$34,OPcatégorie,"Achat métaux")</f>
        <v/>
      </c>
      <c r="Q45" s="584">
        <f>SUMIFS(OPequiv_euro,OPdevise,Q$34,OPcatégorie,"Change")+SUMIFS(OPequiv_euro,OPdevise,Q$34,OPcatégorie,"Achat métaux")</f>
        <v/>
      </c>
      <c r="R45" s="584">
        <f>SUMIFS(OPequiv_euro,OPdevise,R$34,OPcatégorie,"Change")+SUMIFS(OPequiv_euro,OPdevise,R$34,OPcatégorie,"Achat métaux")</f>
        <v/>
      </c>
      <c r="S45" s="585">
        <f>SUMIFS(OPequiv_euro,OPdevise,S$34,OPcatégorie,"Change")+SUMIFS(OPequiv_euro,OPdevise,S$34,OPcatégorie,"Achat métaux")</f>
        <v/>
      </c>
      <c r="T45" s="585">
        <f>SUMIFS(OPequiv_euro,OPdevise,T$34,OPcatégorie,"Change")+SUMIFS(OPequiv_euro,OPdevise,T$34,OPcatégorie,"Achat métaux")</f>
        <v/>
      </c>
      <c r="U45" s="585">
        <f>SUMIFS(OPequiv_euro,OPdevise,U$34,OPcatégorie,"Change")+SUMIFS(OPequiv_euro,OPdevise,U$34,OPcatégorie,"Achat métaux")</f>
        <v/>
      </c>
      <c r="V45" s="585">
        <f>SUMIFS(OPequiv_euro,OPdevise,V$34,OPcatégorie,"Change")+SUMIFS(OPequiv_euro,OPdevise,V$34,OPcatégorie,"Achat métaux")</f>
        <v/>
      </c>
      <c r="W45" s="585">
        <f>SUMIFS(OPequiv_euro,OPdevise,W$34,OPcatégorie,"Change")+SUMIFS(OPequiv_euro,OPdevise,W$34,OPcatégorie,"Achat métaux")</f>
        <v/>
      </c>
    </row>
    <row r="46" ht="16.5" customHeight="1" s="304">
      <c r="M46" s="586" t="inlineStr">
        <is>
          <t>Total €</t>
        </is>
      </c>
      <c r="N46" s="322" t="n"/>
      <c r="O46" s="587">
        <f>O42+O44+O45</f>
        <v/>
      </c>
      <c r="P46" s="508">
        <f>P42+P44+P45</f>
        <v/>
      </c>
      <c r="Q46" s="584">
        <f>Q42+Q44+Q45</f>
        <v/>
      </c>
      <c r="R46" s="584">
        <f>R42+R44+R45</f>
        <v/>
      </c>
      <c r="S46" s="585">
        <f>S42+S44+S45</f>
        <v/>
      </c>
      <c r="T46" s="585">
        <f>T42+T44+T45</f>
        <v/>
      </c>
      <c r="U46" s="585">
        <f>U42+U44+U45</f>
        <v/>
      </c>
      <c r="V46" s="585">
        <f>V42+V44+V45</f>
        <v/>
      </c>
      <c r="W46" s="585">
        <f>W42+W44+W45</f>
        <v/>
      </c>
    </row>
    <row r="47" ht="16.5" customHeight="1" s="304">
      <c r="M47" s="554" t="inlineStr">
        <is>
          <t>INCONNUS (Comptes)</t>
        </is>
      </c>
      <c r="N47" s="566">
        <f>IF(O47=0,"✓","✗")</f>
        <v/>
      </c>
      <c r="O47" s="562">
        <f>SUMPRODUCT((COUNTIF(AVRintitulé,OPcompte)=0)*(OPcompte&lt;&gt;""))</f>
        <v/>
      </c>
      <c r="P47" s="436" t="n"/>
      <c r="Q47" s="588" t="n"/>
      <c r="R47" s="588" t="n"/>
      <c r="S47" s="589" t="n"/>
      <c r="T47" s="589" t="n"/>
      <c r="U47" s="589" t="n"/>
      <c r="V47" s="589" t="n"/>
      <c r="W47" s="589" t="n"/>
    </row>
    <row r="48" ht="16.5" customHeight="1" s="304">
      <c r="M48" s="379" t="inlineStr">
        <is>
          <t>Synthèse des contrôles</t>
        </is>
      </c>
      <c r="N48" s="382">
        <f>IF(N36&amp;N37&amp;N38&amp;$N39&amp;$N40&amp;$N47="✓✓✓✓✓✓","✓",$N36&amp;$N37&amp;N38&amp;$N39&amp;$N40&amp;$N47)</f>
        <v/>
      </c>
      <c r="O48" s="590">
        <f>O44+O46+O47</f>
        <v/>
      </c>
      <c r="P48" s="379" t="n"/>
      <c r="Q48" s="380" t="n"/>
      <c r="R48" s="380" t="n"/>
      <c r="S48" s="591" t="n"/>
      <c r="T48" s="591" t="n"/>
      <c r="U48" s="591" t="n"/>
      <c r="V48" s="591" t="n"/>
      <c r="W48" s="591" t="n"/>
    </row>
    <row r="1048543" ht="12.75" customHeight="1" s="304"/>
    <row r="1048544" ht="12.75" customHeight="1" s="304"/>
    <row r="1048545" ht="12.75" customHeight="1" s="304"/>
    <row r="1048546" ht="12.75" customHeight="1" s="304"/>
    <row r="1048547" ht="12.75" customHeight="1" s="304"/>
    <row r="1048548" ht="12.75" customHeight="1" s="304"/>
    <row r="1048549" ht="12.8" customHeight="1" s="304"/>
    <row r="1048550" ht="12.8" customHeight="1" s="304"/>
    <row r="1048551" ht="12.8" customHeight="1" s="304"/>
    <row r="1048552" ht="12.8" customHeight="1" s="304"/>
    <row r="1048553" ht="12.8" customHeight="1" s="304"/>
    <row r="1048554" ht="12.8" customHeight="1" s="304"/>
    <row r="1048555" ht="12.8" customHeight="1" s="304"/>
    <row r="1048556" ht="12.8" customHeight="1" s="304"/>
    <row r="1048557" ht="12.8" customHeight="1" s="304"/>
    <row r="1048558" ht="12.8" customHeight="1" s="304"/>
    <row r="1048559" ht="12.8" customHeight="1" s="304"/>
    <row r="1048560" ht="12.8" customHeight="1" s="304"/>
    <row r="1048561" ht="12.8" customHeight="1" s="304"/>
    <row r="1048562" ht="12.8" customHeight="1" s="304"/>
    <row r="1048563" ht="12.8" customHeight="1" s="304"/>
    <row r="1048564" ht="12.8" customHeight="1" s="304"/>
    <row r="1048565" ht="12.8" customHeight="1" s="304"/>
    <row r="1048566" ht="12.8" customHeight="1" s="304"/>
    <row r="1048567" ht="12.8" customHeight="1" s="304"/>
    <row r="1048568" ht="12.8" customHeight="1" s="304"/>
    <row r="1048569" ht="12.8" customHeight="1" s="304"/>
    <row r="1048570" ht="12.8" customHeight="1" s="304"/>
    <row r="1048571" ht="12.8" customHeight="1" s="304"/>
    <row r="1048572" ht="12.8" customHeight="1" s="304"/>
    <row r="1048573" ht="12.8" customHeight="1" s="304"/>
    <row r="1048574" ht="12.8" customHeight="1" s="304"/>
    <row r="1048575" ht="12.8" customHeight="1" s="304"/>
    <row r="1048576" ht="12.8" customHeight="1" s="304"/>
  </sheetData>
  <mergeCells count="1">
    <mergeCell ref="M33:P33"/>
  </mergeCells>
  <conditionalFormatting sqref="O42:P42 O44:O46 P37 P41 P43:P44">
    <cfRule type="cellIs" rank="0" priority="2" equalAverage="0" operator="notEqual" aboveAverage="0" dxfId="0" text="" percent="0" bottom="0">
      <formula>0</formula>
    </cfRule>
  </conditionalFormatting>
  <conditionalFormatting sqref="O36:P36 O38 O48 P39:P40">
    <cfRule type="cellIs" rank="0" priority="3" equalAverage="0" operator="notEqual" aboveAverage="0" dxfId="0" text="" percent="0" bottom="0">
      <formula>0</formula>
    </cfRule>
  </conditionalFormatting>
  <conditionalFormatting sqref="N48">
    <cfRule type="cellIs" rank="0" priority="4" equalAverage="0" operator="notEqual" aboveAverage="0" dxfId="0" text="" percent="0" bottom="0">
      <formula>"."</formula>
    </cfRule>
  </conditionalFormatting>
  <conditionalFormatting sqref="N35">
    <cfRule type="expression" rank="0" priority="5" equalAverage="0" aboveAverage="0" dxfId="1" text="" percent="0" bottom="0">
      <formula>NOT(ISERROR(FIND("✗",INDIRECT("RC",0))))</formula>
    </cfRule>
    <cfRule type="expression" rank="0" priority="6" equalAverage="0" aboveAverage="0" dxfId="2" text="" percent="0" bottom="0">
      <formula>NOT(ISERROR(FIND("⚠",INDIRECT("RC",0))))</formula>
    </cfRule>
  </conditionalFormatting>
  <conditionalFormatting sqref="N36">
    <cfRule type="expression" rank="0" priority="7" equalAverage="0" aboveAverage="0" dxfId="1" text="" percent="0" bottom="0">
      <formula>NOT(ISERROR(FIND("✗",INDIRECT("RC",0))))</formula>
    </cfRule>
    <cfRule type="expression" rank="0" priority="8" equalAverage="0" aboveAverage="0" dxfId="2" text="" percent="0" bottom="0">
      <formula>NOT(ISERROR(FIND("⚠",INDIRECT("RC",0))))</formula>
    </cfRule>
  </conditionalFormatting>
  <conditionalFormatting sqref="N37">
    <cfRule type="expression" rank="0" priority="9" equalAverage="0" aboveAverage="0" dxfId="1" text="" percent="0" bottom="0">
      <formula>NOT(ISERROR(FIND("✗",INDIRECT("RC",0))))</formula>
    </cfRule>
    <cfRule type="expression" rank="0" priority="10" equalAverage="0" aboveAverage="0" dxfId="2" text="" percent="0" bottom="0">
      <formula>NOT(ISERROR(FIND("⚠",INDIRECT("RC",0))))</formula>
    </cfRule>
  </conditionalFormatting>
  <conditionalFormatting sqref="N38">
    <cfRule type="expression" rank="0" priority="11" equalAverage="0" aboveAverage="0" dxfId="1" text="" percent="0" bottom="0">
      <formula>NOT(ISERROR(FIND("✗",INDIRECT("RC",0))))</formula>
    </cfRule>
    <cfRule type="expression" rank="0" priority="12" equalAverage="0" aboveAverage="0" dxfId="2" text="" percent="0" bottom="0">
      <formula>NOT(ISERROR(FIND("⚠",INDIRECT("RC",0))))</formula>
    </cfRule>
  </conditionalFormatting>
  <conditionalFormatting sqref="N47">
    <cfRule type="expression" rank="0" priority="13" equalAverage="0" aboveAverage="0" dxfId="1" text="" percent="0" bottom="0">
      <formula>NOT(ISERROR(FIND("✗",INDIRECT("RC",0))))</formula>
    </cfRule>
    <cfRule type="expression" rank="0" priority="14" equalAverage="0" aboveAverage="0" dxfId="2" text="" percent="0" bottom="0">
      <formula>NOT(ISERROR(FIND("⚠",INDIRECT("RC",0))))</formula>
    </cfRule>
  </conditionalFormatting>
  <conditionalFormatting sqref="A1">
    <cfRule type="expression" rank="0" priority="15" equalAverage="0" aboveAverage="0" dxfId="1" text="" percent="0" bottom="0">
      <formula>NOT(ISERROR(FIND("✗",INDIRECT("RC",0))))</formula>
    </cfRule>
    <cfRule type="expression" rank="0" priority="16" equalAverage="0" aboveAverage="0" dxfId="2" text="" percent="0" bottom="0">
      <formula>NOT(ISERROR(FIND("⚠",INDIRECT("RC",0))))</formula>
    </cfRule>
  </conditionalFormatting>
  <conditionalFormatting sqref="C1">
    <cfRule type="expression" rank="0" priority="17" equalAverage="0" aboveAverage="0" dxfId="1" text="" percent="0" bottom="0">
      <formula>NOT(ISERROR(FIND("✗",INDIRECT("RC",0))))</formula>
    </cfRule>
    <cfRule type="expression" rank="0" priority="18" equalAverage="0" aboveAverage="0" dxfId="2" text="" percent="0" bottom="0">
      <formula>NOT(ISERROR(FIND("⚠",INDIRECT("RC",0))))</formula>
    </cfRule>
  </conditionalFormatting>
  <conditionalFormatting sqref="N39:N40">
    <cfRule type="expression" rank="0" priority="19" equalAverage="0" aboveAverage="0" dxfId="1" text="" percent="0" bottom="0">
      <formula>NOT(ISERROR(FIND("✗",INDIRECT("RC",0))))</formula>
    </cfRule>
    <cfRule type="expression" rank="0" priority="20" equalAverage="0" aboveAverage="0" dxfId="2" text="" percent="0" bottom="0">
      <formula>NOT(ISERROR(FIND("⚠",INDIRECT("RC",0))))</formula>
    </cfRule>
  </conditionalFormatting>
  <conditionalFormatting sqref="O39:O40">
    <cfRule type="cellIs" rank="0" priority="21" equalAverage="0" operator="notEqual" aboveAverage="0" dxfId="0" text="" percent="0" bottom="0">
      <formula>0</formula>
    </cfRule>
  </conditionalFormatting>
  <printOptions horizontalCentered="0" verticalCentered="0" headings="0" gridLines="0" gridLinesSet="1"/>
  <pageMargins left="1" right="1" top="0.25" bottom="0.402777777777778" header="0.511811023622047" footer="0.2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&amp;C&amp;"Helvetica Neue,Normal"&amp;11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13.1640625" defaultRowHeight="15" customHeight="1" zeroHeight="0" outlineLevelRow="0"/>
  <cols>
    <col width="45.77" customWidth="1" style="386" min="1" max="1"/>
    <col width="9" customWidth="1" style="386" min="2" max="2"/>
    <col width="9" customWidth="1" style="487" min="3" max="3"/>
    <col width="14.47" customWidth="1" style="386" min="4" max="4"/>
    <col width="15.33" customWidth="1" style="386" min="5" max="5"/>
    <col width="17.52" customWidth="1" style="386" min="6" max="6"/>
    <col width="9.83" customWidth="1" style="347" min="7" max="7"/>
    <col width="9.52" customWidth="1" style="347" min="8" max="8"/>
    <col width="3.5" customWidth="1" style="347" min="9" max="9"/>
    <col width="67.16" customWidth="1" style="347" min="10" max="10"/>
    <col width="13.16" customWidth="1" style="347" min="11" max="16381"/>
    <col width="11.5" customWidth="1" style="303" min="16382" max="16382"/>
    <col width="11.53" customWidth="1" style="303" min="16383" max="16384"/>
  </cols>
  <sheetData>
    <row r="1" ht="16.5" customHeight="1" s="304">
      <c r="A1" s="490">
        <f>Contrôles!$N$48</f>
        <v/>
      </c>
      <c r="B1" s="490" t="n"/>
      <c r="C1" s="490" t="n"/>
      <c r="D1" s="490">
        <f>année_courante</f>
        <v/>
      </c>
      <c r="E1" s="490" t="n"/>
      <c r="F1" s="317" t="n"/>
    </row>
    <row r="2" ht="21" customHeight="1" s="304">
      <c r="A2" s="592" t="inlineStr">
        <is>
          <t>Devise / unité</t>
        </is>
      </c>
      <c r="B2" s="592" t="inlineStr">
        <is>
          <t>Nature</t>
        </is>
      </c>
      <c r="C2" s="593" t="inlineStr">
        <is>
          <t xml:space="preserve">Code </t>
        </is>
      </c>
      <c r="D2" s="361" t="inlineStr">
        <is>
          <t>Cours en Euro</t>
        </is>
      </c>
      <c r="E2" s="361" t="inlineStr">
        <is>
          <t>Date</t>
        </is>
      </c>
      <c r="F2" s="361" t="inlineStr">
        <is>
          <t>Cours de l’Euro</t>
        </is>
      </c>
    </row>
    <row r="3" ht="16.5" customHeight="1" s="304">
      <c r="A3" s="594" t="inlineStr">
        <is>
          <t>Euro</t>
        </is>
      </c>
      <c r="B3" s="594" t="inlineStr">
        <is>
          <t>primaire</t>
        </is>
      </c>
      <c r="C3" s="322" t="inlineStr">
        <is>
          <t>EUR</t>
        </is>
      </c>
      <c r="D3" s="377" t="n">
        <v>1</v>
      </c>
      <c r="E3" s="595" t="n"/>
      <c r="F3" s="596" t="n"/>
    </row>
    <row r="4" ht="16.5" customHeight="1" s="304">
      <c r="A4" s="594" t="inlineStr">
        <is>
          <t>Gramme d'or Spot</t>
        </is>
      </c>
      <c r="B4" s="594" t="inlineStr">
        <is>
          <t>primaire</t>
        </is>
      </c>
      <c r="C4" s="322" t="inlineStr">
        <is>
          <t>XAU</t>
        </is>
      </c>
      <c r="D4" s="377" t="n">
        <v>144.12</v>
      </c>
      <c r="E4" s="597" t="inlineStr">
        <is>
          <t>28/03/2026</t>
        </is>
      </c>
      <c r="F4" s="596" t="n"/>
    </row>
    <row r="5" ht="16.5" customHeight="1" s="304">
      <c r="A5" s="594" t="inlineStr">
        <is>
          <t>Monero</t>
        </is>
      </c>
      <c r="B5" s="594" t="inlineStr">
        <is>
          <t>primaire</t>
        </is>
      </c>
      <c r="C5" s="322" t="inlineStr">
        <is>
          <t>XMR</t>
        </is>
      </c>
      <c r="D5" s="377" t="n">
        <v>305.02</v>
      </c>
      <c r="E5" s="597" t="inlineStr">
        <is>
          <t>28/03/2026</t>
        </is>
      </c>
      <c r="F5" s="596" t="n"/>
    </row>
    <row r="6" ht="16.5" customHeight="1" s="304">
      <c r="A6" s="594" t="inlineStr">
        <is>
          <t>Satoshi (1 / 100 000 000 Bitcoin)</t>
        </is>
      </c>
      <c r="B6" s="594" t="inlineStr">
        <is>
          <t>dérivée</t>
        </is>
      </c>
      <c r="C6" s="322" t="inlineStr">
        <is>
          <t>SAT</t>
        </is>
      </c>
      <c r="D6" s="377" t="n">
        <v>0.00061009</v>
      </c>
      <c r="E6" s="597" t="n"/>
      <c r="F6" s="596" t="n"/>
    </row>
    <row r="7" ht="16.5" customHeight="1" s="304">
      <c r="A7" s="594" t="inlineStr">
        <is>
          <t>Gramme d'or Premium (pièces)</t>
        </is>
      </c>
      <c r="B7" s="594" t="inlineStr">
        <is>
          <t>dérivée</t>
        </is>
      </c>
      <c r="C7" s="322" t="inlineStr">
        <is>
          <t>OrPr</t>
        </is>
      </c>
      <c r="D7" s="377" t="n">
        <v>150.31716</v>
      </c>
      <c r="E7" s="597" t="n"/>
      <c r="F7" s="596" t="n"/>
    </row>
    <row r="8" ht="16.5" customHeight="1" s="304">
      <c r="A8" s="594" t="inlineStr">
        <is>
          <t>Dollar Singapour</t>
        </is>
      </c>
      <c r="B8" s="594" t="inlineStr">
        <is>
          <t>primaire</t>
        </is>
      </c>
      <c r="C8" s="322" t="inlineStr">
        <is>
          <t>SGD</t>
        </is>
      </c>
      <c r="D8" s="377" t="n">
        <v>0.6776</v>
      </c>
      <c r="E8" s="597" t="inlineStr">
        <is>
          <t>28/03/2026</t>
        </is>
      </c>
      <c r="F8" s="596" t="n"/>
    </row>
    <row r="9" ht="16.5" customHeight="1" s="304">
      <c r="A9" s="594" t="inlineStr">
        <is>
          <t>Dollar US</t>
        </is>
      </c>
      <c r="B9" s="594" t="inlineStr">
        <is>
          <t>primaire</t>
        </is>
      </c>
      <c r="C9" s="322" t="inlineStr">
        <is>
          <t>USD</t>
        </is>
      </c>
      <c r="D9" s="377" t="n">
        <v>0.8635</v>
      </c>
      <c r="E9" s="597" t="inlineStr">
        <is>
          <t>28/03/2026</t>
        </is>
      </c>
      <c r="F9" s="596" t="n"/>
    </row>
    <row r="10" ht="16.5" customHeight="1" s="304">
      <c r="A10" s="594" t="inlineStr">
        <is>
          <t>Bitcoin</t>
        </is>
      </c>
      <c r="B10" s="594" t="inlineStr">
        <is>
          <t>primaire</t>
        </is>
      </c>
      <c r="C10" s="322" t="inlineStr">
        <is>
          <t>BTC</t>
        </is>
      </c>
      <c r="D10" s="377" t="n">
        <v>61009</v>
      </c>
      <c r="E10" s="597" t="inlineStr">
        <is>
          <t>28/03/2026</t>
        </is>
      </c>
      <c r="F10" s="596" t="n"/>
    </row>
    <row r="11" ht="16.5" customHeight="1" s="304">
      <c r="A11" s="594" t="n"/>
      <c r="B11" s="594" t="n"/>
      <c r="C11" s="322" t="n"/>
      <c r="D11" s="377" t="n"/>
      <c r="E11" s="595" t="n"/>
      <c r="F11" s="596" t="n"/>
    </row>
    <row r="13" ht="18" customHeight="1" s="304">
      <c r="D13" s="598" t="n"/>
      <c r="E13" s="598" t="n"/>
    </row>
    <row r="14" ht="18" customHeight="1" s="304">
      <c r="D14" s="598" t="n"/>
      <c r="E14" s="598" t="n"/>
    </row>
    <row r="15" ht="18" customHeight="1" s="304">
      <c r="D15" s="598" t="n"/>
      <c r="E15" s="598" t="n"/>
    </row>
    <row r="16" ht="18" customHeight="1" s="304">
      <c r="D16" s="598" t="n"/>
      <c r="E16" s="598" t="n"/>
    </row>
    <row r="17" ht="18" customHeight="1" s="304">
      <c r="D17" s="598" t="n"/>
      <c r="E17" s="598" t="n"/>
    </row>
    <row r="1048562" ht="12.75" customHeight="1" s="304"/>
    <row r="1048563" ht="12.75" customHeight="1" s="304"/>
    <row r="1048564" ht="12.75" customHeight="1" s="304"/>
    <row r="1048565" ht="12.75" customHeight="1" s="304"/>
    <row r="1048566" ht="12.75" customHeight="1" s="304"/>
    <row r="1048567" ht="12.75" customHeight="1" s="304"/>
    <row r="1048568" ht="12.75" customHeight="1" s="304"/>
    <row r="1048569" ht="12.8" customHeight="1" s="304"/>
    <row r="1048570" ht="12.8" customHeight="1" s="304"/>
    <row r="1048571" ht="12.8" customHeight="1" s="304"/>
    <row r="1048572" ht="12.8" customHeight="1" s="304"/>
    <row r="1048573" ht="12.8" customHeight="1" s="304"/>
    <row r="1048574" ht="12.8" customHeight="1" s="304"/>
    <row r="1048575" ht="12.8" customHeight="1" s="304"/>
    <row r="1048576" ht="12.8" customHeight="1" s="304"/>
  </sheetData>
  <conditionalFormatting sqref="A1:B1">
    <cfRule type="expression" rank="0" priority="2" equalAverage="0" aboveAverage="0" dxfId="1" text="" percent="0" bottom="0">
      <formula>NOT(ISERROR(FIND("✗",INDIRECT("RC",0))))</formula>
    </cfRule>
    <cfRule type="expression" rank="0" priority="3" equalAverage="0" aboveAverage="0" dxfId="2" text="" percent="0" bottom="0">
      <formula>NOT(ISERROR(FIND("⚠",INDIRECT("RC",0))))</formula>
    </cfRule>
  </conditionalFormatting>
  <printOptions horizontalCentered="0" verticalCentered="0" headings="0" gridLines="0" gridLinesSet="1"/>
  <pageMargins left="1" right="1" top="0.25" bottom="0.402777777777778" header="0.511811023622047" footer="0.2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&amp;C&amp;"Helvetica Neue,Normal"&amp;11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2025-02-16T14:51:06Z</dcterms:created>
  <dcterms:modified xsi:type="dcterms:W3CDTF">2026-03-29T09:43:11Z</dcterms:modified>
  <cp:revision>939</cp:revision>
</cp:coreProperties>
</file>