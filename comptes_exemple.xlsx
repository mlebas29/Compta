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rimoine" sheetId="1" state="visible" r:id="rId3"/>
    <sheet name="Avoirs" sheetId="2" state="visible" r:id="rId4"/>
    <sheet name="Budget" sheetId="3" state="visible" r:id="rId5"/>
    <sheet name="Plus_value" sheetId="4" state="visible" r:id="rId6"/>
    <sheet name="Opérations" sheetId="5" state="visible" r:id="rId7"/>
    <sheet name="Contrôles" sheetId="6" state="visible" r:id="rId8"/>
    <sheet name="Cotations" sheetId="7" state="visible" r:id="rId9"/>
  </sheets>
  <definedNames>
    <definedName function="false" hidden="true" localSheetId="4" name="_xlnm._FilterDatabase" vbProcedure="false">Opérations!$A$3:$I$4</definedName>
    <definedName function="false" hidden="false" name="année_courante" vbProcedure="false">Avoirs!$A$1</definedName>
    <definedName function="false" hidden="false" name="AVRdate_anter" vbProcedure="false">Avoirs!$H$4:$H$31</definedName>
    <definedName function="false" hidden="false" name="AVRdate_solde" vbProcedure="false">Avoirs!$J$4:$J$31</definedName>
    <definedName function="false" hidden="false" name="AVRdevise" vbProcedure="false">Avoirs!$E$4:$E$31</definedName>
    <definedName function="false" hidden="false" name="AVRdomiciliation" vbProcedure="false">Avoirs!$C$4:$C$31</definedName>
    <definedName function="false" hidden="false" name="AVRintitulé" vbProcedure="false">Avoirs!$A$4:$A$31</definedName>
    <definedName function="false" hidden="false" name="AVRmontant_anter" vbProcedure="false">Avoirs!$I$4:$I$31</definedName>
    <definedName function="false" hidden="false" name="AVRmontant_solde" vbProcedure="false">Avoirs!$K$4:$K$31</definedName>
    <definedName function="false" hidden="false" name="AVRmontant_solde_euro" vbProcedure="false">Avoirs!$L$4:$L$31</definedName>
    <definedName function="false" hidden="false" name="AVRpropriete" vbProcedure="false">Avoirs!$G$4:$G$31</definedName>
    <definedName function="false" hidden="false" name="AVRsous_type" vbProcedure="false">Avoirs!$D$4:$D$31</definedName>
    <definedName function="false" hidden="false" name="AVRtitulaire" vbProcedure="false">Avoirs!$F$4:$F$31</definedName>
    <definedName function="false" hidden="false" name="AVRtype" vbProcedure="false">Avoirs!$B$4:$B$31</definedName>
    <definedName function="false" hidden="false" name="CATaffectation" vbProcedure="false">Budget!$I$19:$I$35</definedName>
    <definedName function="false" hidden="false" name="CATaffectation_pct" vbProcedure="false">Budget!$H$19:$H$35</definedName>
    <definedName function="false" hidden="false" name="CATmontant" vbProcedure="false">Budget!$F$19:$F$35</definedName>
    <definedName function="false" hidden="false" name="CATnom" vbProcedure="false">Budget!$E$19:$E$35</definedName>
    <definedName function="false" hidden="false" name="CATposte" vbProcedure="false">Budget!$J$19:$J$35</definedName>
    <definedName function="false" hidden="false" name="CATtotal_euro" vbProcedure="false">Budget!$G$19:$G$35</definedName>
    <definedName function="false" hidden="false" name="CONVcell" vbProcedure="false">Patrimoine!$K$61:$K$86</definedName>
    <definedName function="false" hidden="false" name="CONVlégende" vbProcedure="false">Patrimoine!$L$61:$L$86</definedName>
    <definedName function="false" hidden="false" name="CONVnom" vbProcedure="false">Patrimoine!$J$61:$J$86</definedName>
    <definedName function="false" hidden="false" name="COTcode" vbProcedure="false">Cotations!$E$3:$E$12</definedName>
    <definedName function="false" hidden="false" name="COTcours" vbProcedure="false">Cotations!$F$3:$F$12</definedName>
    <definedName function="false" hidden="false" name="COTcours2" vbProcedure="false">Cotations!$H$3:$H$12</definedName>
    <definedName function="false" hidden="false" name="COTdate" vbProcedure="false">Cotations!$G$3:$G$12</definedName>
    <definedName function="false" hidden="false" name="COTdecimales" vbProcedure="false">Cotations!$D$3:$D$12</definedName>
    <definedName function="false" hidden="false" name="COTfamille" vbProcedure="false">Cotations!$C$3:$C$12</definedName>
    <definedName function="false" hidden="false" name="COTlabel" vbProcedure="false">Cotations!$A$3:$A$12</definedName>
    <definedName function="false" hidden="false" name="COTnature" vbProcedure="false">Cotations!$B$3:$B$12</definedName>
    <definedName function="false" hidden="false" name="cours_BTC" vbProcedure="false">Cotations!$F$7</definedName>
    <definedName function="false" hidden="false" name="cours_OrPr" vbProcedure="false">Cotations!$F$6</definedName>
    <definedName function="false" hidden="false" name="cours_SAT" vbProcedure="false">Cotations!$F$8</definedName>
    <definedName function="false" hidden="false" name="cours_SGD" vbProcedure="false">Cotations!$F$11</definedName>
    <definedName function="false" hidden="false" name="cours_USD" vbProcedure="false">Cotations!$F$10</definedName>
    <definedName function="false" hidden="false" name="cours_XAU" vbProcedure="false">Cotations!$F$5</definedName>
    <definedName function="false" hidden="false" name="cours_XMR" vbProcedure="false">Cotations!$F$9</definedName>
    <definedName function="false" hidden="false" name="CTRL1compte" vbProcedure="false">Contrôles!$A$3:$A$26</definedName>
    <definedName function="false" hidden="false" name="CTRL1controle" vbProcedure="false">Contrôles!$I$3:$I$26</definedName>
    <definedName function="false" hidden="false" name="CTRL1date_ancrage" vbProcedure="false">Contrôles!$C$3:$C$26</definedName>
    <definedName function="false" hidden="false" name="CTRL1date_releve" vbProcedure="false">Contrôles!$D$3:$D$26</definedName>
    <definedName function="false" hidden="false" name="CTRL1devise" vbProcedure="false">Contrôles!$B$3:$B$26</definedName>
    <definedName function="false" hidden="false" name="CTRL1ecart" vbProcedure="false">Contrôles!$H$3:$H$26</definedName>
    <definedName function="false" hidden="false" name="CTRL1montant_ancrage" vbProcedure="false">Contrôles!$E$3:$E$26</definedName>
    <definedName function="false" hidden="false" name="CTRL1montant_releve" vbProcedure="false">Contrôles!$G$3:$G$26</definedName>
    <definedName function="false" hidden="false" name="CTRL1solde_calc" vbProcedure="false">Contrôles!$F$3:$F$26</definedName>
    <definedName function="false" hidden="false" name="CTRL2affichage" vbProcedure="false">Contrôles!$K$31:$K$51</definedName>
    <definedName function="false" hidden="false" name="CTRL2drill" vbProcedure="false">Contrôles!$M$31:$M$51</definedName>
    <definedName function="false" hidden="false" name="CTRL2general" vbProcedure="false">Contrôles!$L$31:$L$51</definedName>
    <definedName function="false" hidden="false" name="CTRL2type" vbProcedure="false">Contrôles!$J$31:$J$51</definedName>
    <definedName function="false" hidden="false" name="CTRL2_fonds_en_transit" vbProcedure="false">Contrôles!$L$46</definedName>
    <definedName function="false" hidden="false" name="CTRL2_synthese" vbProcedure="false">Contrôles!$K$52</definedName>
    <definedName function="false" hidden="false" name="OPcatégorie" vbProcedure="false">Opérations!$G$4:$G$10000</definedName>
    <definedName function="false" hidden="false" name="OPcommentaire" vbProcedure="false">Opérations!$I$4:$I$10000</definedName>
    <definedName function="false" hidden="false" name="OPcompte" vbProcedure="false">Opérations!$H$4:$H$10000</definedName>
    <definedName function="false" hidden="false" name="OPdate" vbProcedure="false">Opérations!$A$4:$A$10000</definedName>
    <definedName function="false" hidden="false" name="OPdevise" vbProcedure="false">Opérations!$D$4:$D$10000</definedName>
    <definedName function="false" hidden="false" name="OPequiv_euro" vbProcedure="false">Opérations!$E$4:$E$10000</definedName>
    <definedName function="false" hidden="false" name="OPlibellé" vbProcedure="false">Opérations!$B$4:$B$10000</definedName>
    <definedName function="false" hidden="false" name="OPmontant" vbProcedure="false">Opérations!$C$4:$C$10000</definedName>
    <definedName function="false" hidden="false" name="OPréf" vbProcedure="false">Opérations!$F$4:$F$10000</definedName>
    <definedName function="false" hidden="false" name="PAText1" vbProcedure="false">Patrimoine!$F$5:$F$53</definedName>
    <definedName function="false" hidden="false" name="PAText2" vbProcedure="false">Patrimoine!$G$5:$G$53</definedName>
    <definedName function="false" hidden="false" name="PAText3" vbProcedure="false">Patrimoine!$H$5:$H$53</definedName>
    <definedName function="false" hidden="false" name="PAText4" vbProcedure="false">Patrimoine!$I$5:$I$53</definedName>
    <definedName function="false" hidden="false" name="PATlabel" vbProcedure="false">Patrimoine!$B$5:$B$53</definedName>
    <definedName function="false" hidden="false" name="PATnombre" vbProcedure="false">Patrimoine!$C$5:$C$53</definedName>
    <definedName function="false" hidden="false" name="PATpoids" vbProcedure="false">Patrimoine!$E$5:$E$53</definedName>
    <definedName function="false" hidden="false" name="PATvaleur" vbProcedure="false">Patrimoine!$D$5:$D$53</definedName>
    <definedName function="false" hidden="false" name="POSTESmontant" vbProcedure="false">Budget!$C$4:$C$10</definedName>
    <definedName function="false" hidden="false" name="POSTESnom" vbProcedure="false">Budget!$A$4:$A$10</definedName>
    <definedName function="false" hidden="false" name="POSTEStype" vbProcedure="false">Budget!$B$4:$B$10</definedName>
    <definedName function="false" hidden="false" name="PVLcompte" vbProcedure="false">Plus_value!$B$5:$B$52</definedName>
    <definedName function="false" hidden="false" name="PVLdate" vbProcedure="false">Plus_value!$J$5:$J$52</definedName>
    <definedName function="false" hidden="false" name="PVLdate_init" vbProcedure="false">Plus_value!$G$5:$G$52</definedName>
    <definedName function="false" hidden="false" name="PVLdevise" vbProcedure="false">Plus_value!$D$5:$D$52</definedName>
    <definedName function="false" hidden="false" name="PVLmontant" vbProcedure="false">Plus_value!$K$5:$K$52</definedName>
    <definedName function="false" hidden="false" name="PVLmontant_init" vbProcedure="false">Plus_value!$H$5:$H$52</definedName>
    <definedName function="false" hidden="false" name="PVLpct" vbProcedure="false">Plus_value!$F$5:$F$52</definedName>
    <definedName function="false" hidden="false" name="PVLpvl" vbProcedure="false">Plus_value!$E$5:$E$52</definedName>
    <definedName function="false" hidden="false" name="PVLsection" vbProcedure="false">Plus_value!$A$5:$A$52</definedName>
    <definedName function="false" hidden="false" name="PVLsigma" vbProcedure="false">Plus_value!$I$5:$I$52</definedName>
    <definedName function="false" hidden="false" name="PVLtitre" vbProcedure="false">Plus_value!$C$5:$C$52</definedName>
    <definedName function="false" hidden="false" name="Retenu" vbProcedure="false">"Retenu"</definedName>
    <definedName function="false" hidden="false" name="SCHEMA_VERSION" vbProcedure="false">3</definedName>
    <definedName function="false" hidden="false" name="Solde" vbProcedure="false">"#Solde"</definedName>
    <definedName function="false" hidden="false" name="Spéciale" vbProcedure="false">"#*"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<sst xmlns="http://schemas.openxmlformats.org/spreadsheetml/2006/main" count="959" uniqueCount="290">
  <si>
    <t xml:space="preserve">Patrimoine et répartition</t>
  </si>
  <si>
    <t xml:space="preserve">Avoirs</t>
  </si>
  <si>
    <t xml:space="preserve">Valeur</t>
  </si>
  <si>
    <t xml:space="preserve">TOTAL</t>
  </si>
  <si>
    <t xml:space="preserve">⚓</t>
  </si>
  <si>
    <t xml:space="preserve">par type / compte</t>
  </si>
  <si>
    <t xml:space="preserve">Biens matériels</t>
  </si>
  <si>
    <t xml:space="preserve">Portefeuilles</t>
  </si>
  <si>
    <t xml:space="preserve">Créances</t>
  </si>
  <si>
    <t xml:space="preserve">Devises étrangères</t>
  </si>
  <si>
    <t xml:space="preserve">Crypto monnaies</t>
  </si>
  <si>
    <t xml:space="preserve">Euros</t>
  </si>
  <si>
    <t xml:space="preserve">-</t>
  </si>
  <si>
    <t xml:space="preserve">par sous-type</t>
  </si>
  <si>
    <t xml:space="preserve">Foncier</t>
  </si>
  <si>
    <t xml:space="preserve">Titres</t>
  </si>
  <si>
    <t xml:space="preserve">Mobilier</t>
  </si>
  <si>
    <t xml:space="preserve">Euro</t>
  </si>
  <si>
    <t xml:space="preserve">Bitcoin</t>
  </si>
  <si>
    <t xml:space="preserve">Dollar Singapour</t>
  </si>
  <si>
    <t xml:space="preserve">Dollar US</t>
  </si>
  <si>
    <t xml:space="preserve">Monero</t>
  </si>
  <si>
    <t xml:space="preserve">par domiciliation</t>
  </si>
  <si>
    <t xml:space="preserve">Amazon</t>
  </si>
  <si>
    <t xml:space="preserve">Auto</t>
  </si>
  <si>
    <t xml:space="preserve">Blockchain</t>
  </si>
  <si>
    <t xml:space="preserve">BoursoBank</t>
  </si>
  <si>
    <t xml:space="preserve">Coffre</t>
  </si>
  <si>
    <t xml:space="preserve">DEGIRO</t>
  </si>
  <si>
    <t xml:space="preserve">Francine</t>
  </si>
  <si>
    <t xml:space="preserve">Kraken</t>
  </si>
  <si>
    <t xml:space="preserve">Maison</t>
  </si>
  <si>
    <t xml:space="preserve">Natixis</t>
  </si>
  <si>
    <t xml:space="preserve">Paypal</t>
  </si>
  <si>
    <t xml:space="preserve">Société Générale</t>
  </si>
  <si>
    <t xml:space="preserve">Wise</t>
  </si>
  <si>
    <t xml:space="preserve">eToro</t>
  </si>
  <si>
    <t xml:space="preserve">par titulaire</t>
  </si>
  <si>
    <t xml:space="preserve">Alice</t>
  </si>
  <si>
    <t xml:space="preserve">Barnabé</t>
  </si>
  <si>
    <t xml:space="preserve">Commun</t>
  </si>
  <si>
    <t xml:space="preserve">en propriété directe</t>
  </si>
  <si>
    <t xml:space="preserve">oui</t>
  </si>
  <si>
    <t xml:space="preserve">non</t>
  </si>
  <si>
    <t xml:space="preserve">Banques ou tiers de confiance</t>
  </si>
  <si>
    <t xml:space="preserve">Erreurs</t>
  </si>
  <si>
    <t xml:space="preserve">Conventions d’affichage pour tous les onglets</t>
  </si>
  <si>
    <t xml:space="preserve">cellule</t>
  </si>
  <si>
    <t xml:space="preserve">légende</t>
  </si>
  <si>
    <t xml:space="preserve">22,01 €</t>
  </si>
  <si>
    <t xml:space="preserve">Les valeurs à ajouter où mettre à jour sont en bleu …</t>
  </si>
  <si>
    <t xml:space="preserve">… les autres, comme les résultats de calcul, sont en noir</t>
  </si>
  <si>
    <t xml:space="preserve">Certaines valeurs contrôlées sont en gras … </t>
  </si>
  <si>
    <t xml:space="preserve">… et changent de couleur en cas d’alarme</t>
  </si>
  <si>
    <t xml:space="preserve">22,01 USD</t>
  </si>
  <si>
    <t xml:space="preserve">Les devises étrangères ont un fond gris clair …</t>
  </si>
  <si>
    <t xml:space="preserve">... ou foncé (tête/pied tableau)</t>
  </si>
  <si>
    <t xml:space="preserve">Fond jaune – signalement</t>
  </si>
  <si>
    <t xml:space="preserve">Relevé compte</t>
  </si>
  <si>
    <t xml:space="preserve">Solde de relevé de compte (feuille Opérations)</t>
  </si>
  <si>
    <t xml:space="preserve">Σ Solde calculé</t>
  </si>
  <si>
    <t xml:space="preserve">Solde calculé à l'import quand aucun relevé n'est attendu</t>
  </si>
  <si>
    <t xml:space="preserve">⚠ Solde calculé</t>
  </si>
  <si>
    <t xml:space="preserve">Solde calculé à l'import quand le relevé attendu est absent</t>
  </si>
  <si>
    <t xml:space="preserve">Cellules à ne pas renommer :</t>
  </si>
  <si>
    <t xml:space="preserve">Pied tableau 1 feuille Avoirs ; pied tableaux 1 et 2 feuille Budget</t>
  </si>
  <si>
    <t xml:space="preserve">CATÉGORIES</t>
  </si>
  <si>
    <t xml:space="preserve">En-tête tableau 2 feuille Budget</t>
  </si>
  <si>
    <t xml:space="preserve">COMPTES</t>
  </si>
  <si>
    <t xml:space="preserve">Tableau 2 feuille Contrôles</t>
  </si>
  <si>
    <t xml:space="preserve">DIVERS</t>
  </si>
  <si>
    <t xml:space="preserve">Total</t>
  </si>
  <si>
    <t xml:space="preserve">Pied de section tableau 1 feuille Plus_value</t>
  </si>
  <si>
    <t xml:space="preserve">Portefeuille</t>
  </si>
  <si>
    <t xml:space="preserve">En-tête de section tableau 1 feuille Plus_value</t>
  </si>
  <si>
    <t xml:space="preserve">Compte</t>
  </si>
  <si>
    <t xml:space="preserve">Retenu</t>
  </si>
  <si>
    <t xml:space="preserve">Tableau 1 feuille Plus_value</t>
  </si>
  <si>
    <t xml:space="preserve">GRAND TOTAL</t>
  </si>
  <si>
    <t xml:space="preserve">Ces labels sont utilisés par les calculs et les contrôles. </t>
  </si>
  <si>
    <t xml:space="preserve">2026</t>
  </si>
  <si>
    <t xml:space="preserve">Inventaire des avoirs bancaires, créances, espèces, valeurs précieuses, mobiliers, fonciers.</t>
  </si>
  <si>
    <t xml:space="preserve">Antériorité</t>
  </si>
  <si>
    <t xml:space="preserve">Date et solde courant</t>
  </si>
  <si>
    <t xml:space="preserve">Intitulé</t>
  </si>
  <si>
    <t xml:space="preserve">Type</t>
  </si>
  <si>
    <t xml:space="preserve">Domiciliation</t>
  </si>
  <si>
    <t xml:space="preserve">Sous-type</t>
  </si>
  <si>
    <t xml:space="preserve">Devise</t>
  </si>
  <si>
    <t xml:space="preserve">Titulaire</t>
  </si>
  <si>
    <t xml:space="preserve">Propriété</t>
  </si>
  <si>
    <t xml:space="preserve">Date</t>
  </si>
  <si>
    <t xml:space="preserve">Montant</t>
  </si>
  <si>
    <t xml:space="preserve">Montant €</t>
  </si>
  <si>
    <t xml:space="preserve">Assurance vie Alice</t>
  </si>
  <si>
    <t xml:space="preserve">EUR</t>
  </si>
  <si>
    <t xml:space="preserve">PEE Alice</t>
  </si>
  <si>
    <t xml:space="preserve">Portefeuille BB Titres</t>
  </si>
  <si>
    <t xml:space="preserve">Portefeuille DEGIRO Titres</t>
  </si>
  <si>
    <t xml:space="preserve">Portefeuille eToro USD Titres</t>
  </si>
  <si>
    <t xml:space="preserve">USD</t>
  </si>
  <si>
    <t xml:space="preserve">Compte Amazon</t>
  </si>
  <si>
    <t xml:space="preserve">Compte chèque BB</t>
  </si>
  <si>
    <t xml:space="preserve">Compte chèque commun</t>
  </si>
  <si>
    <t xml:space="preserve">Espèces</t>
  </si>
  <si>
    <t xml:space="preserve">Livret A Barnabé</t>
  </si>
  <si>
    <t xml:space="preserve">Compte Paypal</t>
  </si>
  <si>
    <t xml:space="preserve">Compte Wise EUR</t>
  </si>
  <si>
    <t xml:space="preserve">Portefeuille DEGIRO Réserve</t>
  </si>
  <si>
    <t xml:space="preserve">Portefeuille BB Réserve</t>
  </si>
  <si>
    <t xml:space="preserve">Compte Wise USD</t>
  </si>
  <si>
    <t xml:space="preserve">Compte Wise SGD</t>
  </si>
  <si>
    <t xml:space="preserve">SGD</t>
  </si>
  <si>
    <t xml:space="preserve">Portefeuille eToro USD Réserve</t>
  </si>
  <si>
    <t xml:space="preserve">Créance Francine</t>
  </si>
  <si>
    <t xml:space="preserve">BlueWallet BTC</t>
  </si>
  <si>
    <t xml:space="preserve">SAT</t>
  </si>
  <si>
    <t xml:space="preserve">Phoenix Lightning BTC</t>
  </si>
  <si>
    <t xml:space="preserve">Compte Kraken BTC</t>
  </si>
  <si>
    <t xml:space="preserve">Cake Wallet XMR</t>
  </si>
  <si>
    <t xml:space="preserve">XMR</t>
  </si>
  <si>
    <t xml:space="preserve">Pièces or</t>
  </si>
  <si>
    <t xml:space="preserve">OrPr</t>
  </si>
  <si>
    <t xml:space="preserve">Mobilier maison</t>
  </si>
  <si>
    <t xml:space="preserve">Dépenses et revenus</t>
  </si>
  <si>
    <t xml:space="preserve">Année glissante</t>
  </si>
  <si>
    <t xml:space="preserve">Divers</t>
  </si>
  <si>
    <t xml:space="preserve">Fixe</t>
  </si>
  <si>
    <t xml:space="preserve">Produits financiers</t>
  </si>
  <si>
    <t xml:space="preserve">Loisirs et restaurant</t>
  </si>
  <si>
    <t xml:space="preserve">Santé</t>
  </si>
  <si>
    <t xml:space="preserve">Total = épargne</t>
  </si>
  <si>
    <t xml:space="preserve">Epargne fixe</t>
  </si>
  <si>
    <t xml:space="preserve">Epargne fixe / mois</t>
  </si>
  <si>
    <t xml:space="preserve">Écart avec tableau Affectation</t>
  </si>
  <si>
    <t xml:space="preserve">Catégories d’opérations</t>
  </si>
  <si>
    <t xml:space="preserve">Total € au cours du jour</t>
  </si>
  <si>
    <t xml:space="preserve">Affectation %</t>
  </si>
  <si>
    <t xml:space="preserve">Affectation</t>
  </si>
  <si>
    <t xml:space="preserve">(année glissante)</t>
  </si>
  <si>
    <t xml:space="preserve">@Change</t>
  </si>
  <si>
    <t xml:space="preserve">@Achat métaux</t>
  </si>
  <si>
    <t xml:space="preserve">@Virement</t>
  </si>
  <si>
    <t xml:space="preserve">@Achat titres</t>
  </si>
  <si>
    <t xml:space="preserve">@Vente titres</t>
  </si>
  <si>
    <t xml:space="preserve">@Arbitrage titres</t>
  </si>
  <si>
    <t xml:space="preserve">Ajustement</t>
  </si>
  <si>
    <t xml:space="preserve">Coupon</t>
  </si>
  <si>
    <t xml:space="preserve">Frais bancaires</t>
  </si>
  <si>
    <t xml:space="preserve">Intérêts</t>
  </si>
  <si>
    <t xml:space="preserve">Loisirs</t>
  </si>
  <si>
    <t xml:space="preserve">Restaurant</t>
  </si>
  <si>
    <t xml:space="preserve">Somme opérations</t>
  </si>
  <si>
    <t xml:space="preserve">Écart</t>
  </si>
  <si>
    <t xml:space="preserve">Total hors Changes et Virements</t>
  </si>
  <si>
    <t xml:space="preserve"> Montant Euros</t>
  </si>
  <si>
    <t xml:space="preserve">La plus value latente, PVL, est la différence entre la valorisation au cours du jour (SOLDE) et la somme des opérations passées aux cours d’époque (Montant initial + SIGMA).</t>
  </si>
  <si>
    <t xml:space="preserve">Le solde retenu d’un portefeuille correspond au plus récent entre cette feuille (détail des titres) et Opérations (#Solde global)</t>
  </si>
  <si>
    <t xml:space="preserve">Section</t>
  </si>
  <si>
    <t xml:space="preserve">Ligne</t>
  </si>
  <si>
    <t xml:space="preserve">PVL</t>
  </si>
  <si>
    <t xml:space="preserve">PVL %</t>
  </si>
  <si>
    <t xml:space="preserve">Date initiale</t>
  </si>
  <si>
    <t xml:space="preserve">Montant initial</t>
  </si>
  <si>
    <t xml:space="preserve">SIGMA</t>
  </si>
  <si>
    <t xml:space="preserve">Date SOLDE</t>
  </si>
  <si>
    <t xml:space="preserve">SOLDE</t>
  </si>
  <si>
    <t xml:space="preserve">Les portefeuilles</t>
  </si>
  <si>
    <t xml:space="preserve">portefeuilles</t>
  </si>
  <si>
    <t xml:space="preserve">#Solde Opérations</t>
  </si>
  <si>
    <t xml:space="preserve">*AI.PA*</t>
  </si>
  <si>
    <t xml:space="preserve">*SPX500*</t>
  </si>
  <si>
    <t xml:space="preserve">*BTC/USD*</t>
  </si>
  <si>
    <t xml:space="preserve">*COMT*</t>
  </si>
  <si>
    <t xml:space="preserve">*KWEB*</t>
  </si>
  <si>
    <t xml:space="preserve">Les métaux</t>
  </si>
  <si>
    <t xml:space="preserve">métaux</t>
  </si>
  <si>
    <t xml:space="preserve">Les cryptos</t>
  </si>
  <si>
    <t xml:space="preserve">crypto</t>
  </si>
  <si>
    <t xml:space="preserve">Les devises</t>
  </si>
  <si>
    <t xml:space="preserve">devises</t>
  </si>
  <si>
    <t xml:space="preserve">TOTAL portefeuilles</t>
  </si>
  <si>
    <t xml:space="preserve">TOTAL métaux</t>
  </si>
  <si>
    <t xml:space="preserve">TOTAL crypto-monnaies</t>
  </si>
  <si>
    <t xml:space="preserve">TOTAL devises</t>
  </si>
  <si>
    <t xml:space="preserve">Aujourd‘hui</t>
  </si>
  <si>
    <t xml:space="preserve">Compteur Réf.</t>
  </si>
  <si>
    <t xml:space="preserve">0</t>
  </si>
  <si>
    <t xml:space="preserve">Libellé</t>
  </si>
  <si>
    <t xml:space="preserve">Eq. €</t>
  </si>
  <si>
    <t xml:space="preserve">Réf.</t>
  </si>
  <si>
    <t xml:space="preserve">Catégorie</t>
  </si>
  <si>
    <t xml:space="preserve">Commentaire</t>
  </si>
  <si>
    <t xml:space="preserve">#Solde</t>
  </si>
  <si>
    <t xml:space="preserve">SAT = 1 / 100 000 000 Bitcoin</t>
  </si>
  <si>
    <t xml:space="preserve">Transfert bitcoin -&gt; lightning</t>
  </si>
  <si>
    <t xml:space="preserve">V1</t>
  </si>
  <si>
    <t xml:space="preserve">Id</t>
  </si>
  <si>
    <t xml:space="preserve">Achat carte cadeau Amazon </t>
  </si>
  <si>
    <t xml:space="preserve">eur2</t>
  </si>
  <si>
    <t xml:space="preserve">CMA</t>
  </si>
  <si>
    <t xml:space="preserve">OrPr3</t>
  </si>
  <si>
    <t xml:space="preserve">Commission CMA</t>
  </si>
  <si>
    <t xml:space="preserve">#Info</t>
  </si>
  <si>
    <t xml:space="preserve">Opération non comptabilisée</t>
  </si>
  <si>
    <t xml:space="preserve">VIR. LOGITEL</t>
  </si>
  <si>
    <t xml:space="preserve">Action Air Liquide offert</t>
  </si>
  <si>
    <t xml:space="preserve">Nettoyage  </t>
  </si>
  <si>
    <t xml:space="preserve">V4</t>
  </si>
  <si>
    <t xml:space="preserve">Ramonage</t>
  </si>
  <si>
    <t xml:space="preserve">retrait DAB</t>
  </si>
  <si>
    <t xml:space="preserve">V5</t>
  </si>
  <si>
    <t xml:space="preserve">usd6</t>
  </si>
  <si>
    <t xml:space="preserve">Dépôt </t>
  </si>
  <si>
    <t xml:space="preserve">Position ouverte SPX500/USD</t>
  </si>
  <si>
    <t xml:space="preserve">V7</t>
  </si>
  <si>
    <t xml:space="preserve">Bénéfice/Perte du trade SPX500/USD</t>
  </si>
  <si>
    <t xml:space="preserve">t8</t>
  </si>
  <si>
    <t xml:space="preserve">Ajustement du prix de l’indice SPX500/USD</t>
  </si>
  <si>
    <t xml:space="preserve">Frais overnight Quotidien</t>
  </si>
  <si>
    <t xml:space="preserve">Position ouverte KWEB/USD</t>
  </si>
  <si>
    <t xml:space="preserve">Dividende AI.PA/EUR</t>
  </si>
  <si>
    <t xml:space="preserve">usd9</t>
  </si>
  <si>
    <t xml:space="preserve">Dépôt</t>
  </si>
  <si>
    <t xml:space="preserve">Frais de conversion de dépôt -</t>
  </si>
  <si>
    <t xml:space="preserve">Position ouverte BTC/USD</t>
  </si>
  <si>
    <t xml:space="preserve">t10</t>
  </si>
  <si>
    <t xml:space="preserve">Commission À l'ouverture</t>
  </si>
  <si>
    <t xml:space="preserve">Rome taxi</t>
  </si>
  <si>
    <t xml:space="preserve">Fendage bois</t>
  </si>
  <si>
    <t xml:space="preserve">V11</t>
  </si>
  <si>
    <t xml:space="preserve">Créance</t>
  </si>
  <si>
    <t xml:space="preserve">V12</t>
  </si>
  <si>
    <t xml:space="preserve">usd13</t>
  </si>
  <si>
    <t xml:space="preserve">Dividende KWEB/USD</t>
  </si>
  <si>
    <t xml:space="preserve">Transfer: EUR &gt; USD EUR</t>
  </si>
  <si>
    <t xml:space="preserve">Position ouverte COMT/USD</t>
  </si>
  <si>
    <t xml:space="preserve">t14</t>
  </si>
  <si>
    <t xml:space="preserve">t15</t>
  </si>
  <si>
    <t xml:space="preserve">V16</t>
  </si>
  <si>
    <t xml:space="preserve">Approvisionnement pour virement électronique PayPal Inc.</t>
  </si>
  <si>
    <t xml:space="preserve">Compte </t>
  </si>
  <si>
    <t xml:space="preserve">Date ancrage</t>
  </si>
  <si>
    <t xml:space="preserve">Date relevé</t>
  </si>
  <si>
    <t xml:space="preserve">Montant ancrage</t>
  </si>
  <si>
    <t xml:space="preserve">Solde calculé</t>
  </si>
  <si>
    <t xml:space="preserve">Montant relevé</t>
  </si>
  <si>
    <t xml:space="preserve">Contrôle écart</t>
  </si>
  <si>
    <t xml:space="preserve">Non</t>
  </si>
  <si>
    <t xml:space="preserve">Oui</t>
  </si>
  <si>
    <t xml:space="preserve">CONTRÔLES</t>
  </si>
  <si>
    <t xml:space="preserve">Type de contrôle</t>
  </si>
  <si>
    <t xml:space="preserve">Affichage  </t>
  </si>
  <si>
    <t xml:space="preserve">Général</t>
  </si>
  <si>
    <t xml:space="preserve">COMPTES (de début #Solde à fin #Solde)</t>
  </si>
  <si>
    <t xml:space="preserve">    Manquantes</t>
  </si>
  <si>
    <t xml:space="preserve">    Inconnues</t>
  </si>
  <si>
    <t xml:space="preserve">    Écart Budget € (année glissante)</t>
  </si>
  <si>
    <t xml:space="preserve">    Date hors période</t>
  </si>
  <si>
    <t xml:space="preserve">    Ventilation Patrimoine</t>
  </si>
  <si>
    <t xml:space="preserve">    Cotations</t>
  </si>
  <si>
    <t xml:space="preserve">APPARIEMENTS</t>
  </si>
  <si>
    <t xml:space="preserve">BALANCES</t>
  </si>
  <si>
    <t xml:space="preserve">    Virements €</t>
  </si>
  <si>
    <t xml:space="preserve">    Titres €</t>
  </si>
  <si>
    <t xml:space="preserve">    Changes Eq €</t>
  </si>
  <si>
    <t xml:space="preserve">    Total €</t>
  </si>
  <si>
    <t xml:space="preserve">INCONNUS (Comptes, Devises)</t>
  </si>
  <si>
    <t xml:space="preserve">FORMULES</t>
  </si>
  <si>
    <t xml:space="preserve">    Avoirs</t>
  </si>
  <si>
    <t xml:space="preserve">    Plus_value</t>
  </si>
  <si>
    <t xml:space="preserve">Synthèse des contrôles</t>
  </si>
  <si>
    <t xml:space="preserve">Devise / unité</t>
  </si>
  <si>
    <t xml:space="preserve">Nature</t>
  </si>
  <si>
    <t xml:space="preserve">Famille</t>
  </si>
  <si>
    <t xml:space="preserve">Décimales</t>
  </si>
  <si>
    <t xml:space="preserve">Code </t>
  </si>
  <si>
    <t xml:space="preserve">Cours en Euro</t>
  </si>
  <si>
    <t xml:space="preserve">Cours de l’Euro</t>
  </si>
  <si>
    <t xml:space="preserve">primaire</t>
  </si>
  <si>
    <t xml:space="preserve">fiat</t>
  </si>
  <si>
    <t xml:space="preserve">Gramme d'or Spot</t>
  </si>
  <si>
    <t xml:space="preserve">metal</t>
  </si>
  <si>
    <t xml:space="preserve">XAU</t>
  </si>
  <si>
    <t xml:space="preserve">08/05/2026</t>
  </si>
  <si>
    <t xml:space="preserve">Gramme d'or Premium (pièces)</t>
  </si>
  <si>
    <t xml:space="preserve">dérivée</t>
  </si>
  <si>
    <t xml:space="preserve">BTC</t>
  </si>
  <si>
    <t xml:space="preserve">Satoshi (1 / 100 000 000 Bitcoin)</t>
  </si>
  <si>
    <t xml:space="preserve">Alarme cotations</t>
  </si>
</sst>
</file>

<file path=xl/styles.xml><?xml version="1.0" encoding="utf-8"?>
<styleSheet xmlns="http://schemas.openxmlformats.org/spreadsheetml/2006/main">
  <numFmts count="41">
    <numFmt numFmtId="164" formatCode="General"/>
    <numFmt numFmtId="165" formatCode="#,##0.00\ [$€-40C];\-#,##0.00\ [$€-40C]"/>
    <numFmt numFmtId="166" formatCode="#,##0.00\ [$XAU]"/>
    <numFmt numFmtId="167" formatCode="#,##0.00000\ [$OrPr]"/>
    <numFmt numFmtId="168" formatCode="#,##0.00\ [$BTC]"/>
    <numFmt numFmtId="169" formatCode="#,##0\ [$SAT]"/>
    <numFmt numFmtId="170" formatCode="#,##0.00000\ [$XMR]"/>
    <numFmt numFmtId="171" formatCode="#,##0.00\ [$USD]"/>
    <numFmt numFmtId="172" formatCode="#,##0.00\ [$SGD]"/>
    <numFmt numFmtId="173" formatCode="#,##0;\-#,##0"/>
    <numFmt numFmtId="174" formatCode="#,##0.00;\-#,##0.00"/>
    <numFmt numFmtId="175" formatCode="#,##0.00000;\-#,##0.00000"/>
    <numFmt numFmtId="176" formatCode="#,##0.000000000"/>
    <numFmt numFmtId="177" formatCode="mmm\-yy"/>
    <numFmt numFmtId="178" formatCode="@"/>
    <numFmt numFmtId="179" formatCode="dd/mm/yy"/>
    <numFmt numFmtId="180" formatCode="#,##0.00\ [$€-40C];[RED]\-#,##0.00\ [$€-40C]"/>
    <numFmt numFmtId="181" formatCode="0\ %"/>
    <numFmt numFmtId="182" formatCode="0"/>
    <numFmt numFmtId="183" formatCode="#,##0%"/>
    <numFmt numFmtId="184" formatCode="#,##0.00\ [$USD];[RED]\-#,##0.00\ [$USD]"/>
    <numFmt numFmtId="185" formatCode="dd/mm/yyyy"/>
    <numFmt numFmtId="186" formatCode="[$€-40C]\ #,##0.00"/>
    <numFmt numFmtId="187" formatCode="d\ mmm\ yyyy"/>
    <numFmt numFmtId="188" formatCode="\ #,##0\ [$€-40C]"/>
    <numFmt numFmtId="189" formatCode="\ #,##0.00\ [$€-40C]"/>
    <numFmt numFmtId="190" formatCode="@&quot; ▼&quot;"/>
    <numFmt numFmtId="191" formatCode="#,##0.00000\ [$€-40C];\-#,##0.00000\ [$€-40C]"/>
    <numFmt numFmtId="192" formatCode="#,##0"/>
    <numFmt numFmtId="193" formatCode="0.00\ %"/>
    <numFmt numFmtId="194" formatCode="[$-40C]dd/mm/yy"/>
    <numFmt numFmtId="195" formatCode="0.00000"/>
    <numFmt numFmtId="196" formatCode="#,##0.00"/>
    <numFmt numFmtId="197" formatCode="\ 0.00\ [$€-40C]"/>
    <numFmt numFmtId="198" formatCode="#,##0.000000000\ [$XAU]"/>
    <numFmt numFmtId="199" formatCode="#,##0.000000000\ [$OrPr]"/>
    <numFmt numFmtId="200" formatCode="#,##0.000000000\ [$BTC]"/>
    <numFmt numFmtId="201" formatCode="#,##0.000000000\ [$SAT]"/>
    <numFmt numFmtId="202" formatCode="#,##0.000000000\ [$XMR]"/>
    <numFmt numFmtId="203" formatCode="#,##0.000000000\ [$USD]"/>
    <numFmt numFmtId="204" formatCode="#,##0.000000000\ [$SGD]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669C35"/>
      <name val="Arial"/>
      <family val="2"/>
      <charset val="1"/>
    </font>
    <font>
      <sz val="10"/>
      <color rgb="FFE32400"/>
      <name val="Arial"/>
      <family val="2"/>
      <charset val="1"/>
    </font>
    <font>
      <i val="true"/>
      <sz val="10"/>
      <color rgb="FFE32400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432FF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4A2F04"/>
      <name val="Arial"/>
      <family val="2"/>
      <charset val="1"/>
    </font>
    <font>
      <sz val="11"/>
      <color rgb="FF0000FF"/>
      <name val="Arial"/>
      <family val="2"/>
      <charset val="1"/>
    </font>
    <font>
      <sz val="12"/>
      <color rgb="FF4A2F04"/>
      <name val="Arial"/>
      <family val="2"/>
      <charset val="1"/>
    </font>
    <font>
      <b val="true"/>
      <sz val="12"/>
      <color rgb="FF4A2F04"/>
      <name val="Arial"/>
      <family val="2"/>
      <charset val="1"/>
    </font>
    <font>
      <b val="true"/>
      <sz val="10.5"/>
      <color rgb="FF000000"/>
      <name val="Helvetica Neue"/>
      <family val="0"/>
      <charset val="1"/>
    </font>
    <font>
      <u val="single"/>
      <sz val="1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EAEAEA"/>
      </patternFill>
    </fill>
    <fill>
      <patternFill patternType="solid">
        <fgColor rgb="FF006666"/>
        <bgColor rgb="FF0066CC"/>
      </patternFill>
    </fill>
    <fill>
      <patternFill patternType="solid">
        <fgColor rgb="FF0099CC"/>
        <bgColor rgb="FF0066CC"/>
      </patternFill>
    </fill>
    <fill>
      <patternFill patternType="solid">
        <fgColor rgb="FFFF9781"/>
        <bgColor rgb="FFD2C195"/>
      </patternFill>
    </fill>
    <fill>
      <patternFill patternType="solid">
        <fgColor rgb="FFFFFC98"/>
        <bgColor rgb="FFFFEB9C"/>
      </patternFill>
    </fill>
    <fill>
      <patternFill patternType="solid">
        <fgColor rgb="FFFFD38A"/>
        <bgColor rgb="FFFFEB9C"/>
      </patternFill>
    </fill>
    <fill>
      <patternFill patternType="solid">
        <fgColor rgb="FFD5D5D5"/>
        <bgColor rgb="FFDED9C0"/>
      </patternFill>
    </fill>
    <fill>
      <patternFill patternType="solid">
        <fgColor rgb="FFF8D2E0"/>
        <bgColor rgb="FFFFCCCC"/>
      </patternFill>
    </fill>
    <fill>
      <patternFill patternType="solid">
        <fgColor rgb="FFFFC7CE"/>
        <bgColor rgb="FFFFCCCC"/>
      </patternFill>
    </fill>
    <fill>
      <patternFill patternType="solid">
        <fgColor rgb="FFC6EFCE"/>
        <bgColor rgb="FFE6E6E6"/>
      </patternFill>
    </fill>
    <fill>
      <patternFill patternType="solid">
        <fgColor rgb="FFFFEB9C"/>
        <bgColor rgb="FFFFFC98"/>
      </patternFill>
    </fill>
    <fill>
      <patternFill patternType="solid">
        <fgColor rgb="FFEAEAEA"/>
        <bgColor rgb="FFE6E6E6"/>
      </patternFill>
    </fill>
    <fill>
      <patternFill patternType="solid">
        <fgColor rgb="FFDED9C0"/>
        <bgColor rgb="FFD5D5D5"/>
      </patternFill>
    </fill>
    <fill>
      <patternFill patternType="solid">
        <fgColor rgb="FFE6E6E6"/>
        <bgColor rgb="FFEAEAEA"/>
      </patternFill>
    </fill>
    <fill>
      <patternFill patternType="solid">
        <fgColor rgb="FFD2C195"/>
        <bgColor rgb="FFC0C0C0"/>
      </patternFill>
    </fill>
    <fill>
      <patternFill patternType="solid">
        <fgColor rgb="FFFFFF00"/>
        <bgColor rgb="FFFFCC00"/>
      </patternFill>
    </fill>
    <fill>
      <patternFill patternType="solid">
        <fgColor rgb="FFEEEBDB"/>
        <bgColor rgb="FFEAEAEA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D2C195"/>
      </left>
      <right style="hair">
        <color rgb="FFD2C195"/>
      </right>
      <top style="hair">
        <color rgb="FFD2C195"/>
      </top>
      <bottom style="hair">
        <color rgb="FFD2C195"/>
      </bottom>
      <diagonal/>
    </border>
    <border diagonalUp="false" diagonalDown="false">
      <left style="hair">
        <color rgb="FFD2C195"/>
      </left>
      <right style="hair">
        <color rgb="FFD2C195"/>
      </right>
      <top style="thick">
        <color rgb="FF6C2E24"/>
      </top>
      <bottom style="hair">
        <color rgb="FFD2C195"/>
      </bottom>
      <diagonal/>
    </border>
    <border diagonalUp="false" diagonalDown="false">
      <left/>
      <right style="hair">
        <color rgb="FFD2C195"/>
      </right>
      <top style="thick">
        <color rgb="FF6C2E24"/>
      </top>
      <bottom/>
      <diagonal/>
    </border>
    <border diagonalUp="false" diagonalDown="false">
      <left/>
      <right style="hair">
        <color rgb="FFD2C195"/>
      </right>
      <top/>
      <bottom/>
      <diagonal/>
    </border>
    <border diagonalUp="false" diagonalDown="false">
      <left/>
      <right style="hair">
        <color rgb="FFD2C195"/>
      </right>
      <top/>
      <bottom style="hair">
        <color rgb="FFD2C195"/>
      </bottom>
      <diagonal/>
    </border>
  </borders>
  <cellStyleXfs count="61">
    <xf numFmtId="164" fontId="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1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1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2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3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3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5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5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5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4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7" fontId="9" fillId="15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69"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0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1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2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1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11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1" fillId="18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2" fontId="11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3" fontId="11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2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2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11" fillId="18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12" fillId="18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17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2" fontId="12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1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12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1" fillId="18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1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2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1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11" fillId="2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4" fontId="11" fillId="1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11" fillId="1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4" fillId="17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2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6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1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11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1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11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11" fillId="2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8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8" fontId="11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5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9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1" fillId="1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1" fillId="1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1" fillId="1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1" fillId="1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1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8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6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7" fontId="11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11" fillId="1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8" fontId="11" fillId="18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11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8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8" fontId="11" fillId="1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9" fontId="11" fillId="1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9" fontId="11" fillId="18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0" fontId="11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1" fontId="11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9" fontId="11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9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1" fontId="11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9" fontId="11" fillId="1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9" fontId="11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9" fontId="11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19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2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2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0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9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0" fontId="11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9" fontId="11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4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4" fontId="11" fillId="1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1" fillId="1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4" fontId="11" fillId="1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1" fillId="1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12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12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92" fontId="12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11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0" fontId="11" fillId="18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3" fontId="11" fillId="18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11" fillId="18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18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9" fontId="11" fillId="18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11" fillId="18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3" fontId="11" fillId="18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11" fillId="18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18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4" fontId="1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6" fontId="11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11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5" fontId="11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4" fontId="16" fillId="18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13" fillId="2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8" fontId="13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13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3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3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13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8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96" fontId="16" fillId="2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2" fontId="11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7" fontId="11" fillId="1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2" fontId="11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11" fillId="18" borderId="5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11" fillId="18" borderId="5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12" fillId="18" borderId="5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12" fillId="1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14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14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11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8" fontId="13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8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4" fillId="2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9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0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1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2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3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4" fontId="11" fillId="13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f1" xfId="30"/>
    <cellStyle name="cf2" xfId="31"/>
    <cellStyle name="cf3" xfId="32"/>
    <cellStyle name="cf4" xfId="33"/>
    <cellStyle name="cf5" xfId="34"/>
    <cellStyle name="cf6" xfId="35"/>
    <cellStyle name="cf7" xfId="36"/>
    <cellStyle name="Column Header" xfId="37"/>
    <cellStyle name="Ctrl_Error" xfId="38"/>
    <cellStyle name="Ctrl_OK" xfId="39"/>
    <cellStyle name="Ctrl_Warn" xfId="40"/>
    <cellStyle name="Drill_BTC_body" xfId="41"/>
    <cellStyle name="Drill_BTC_pied" xfId="42"/>
    <cellStyle name="Drill_dec0" xfId="43"/>
    <cellStyle name="Drill_dec2" xfId="44"/>
    <cellStyle name="Drill_dec5" xfId="45"/>
    <cellStyle name="Drill_EUR" xfId="46"/>
    <cellStyle name="Drill_OrPr_body" xfId="47"/>
    <cellStyle name="Drill_OrPr_pied" xfId="48"/>
    <cellStyle name="Drill_SAT_body" xfId="49"/>
    <cellStyle name="Drill_SAT_pied" xfId="50"/>
    <cellStyle name="Drill_SGD_body" xfId="51"/>
    <cellStyle name="Drill_SGD_pied" xfId="52"/>
    <cellStyle name="Drill_USD_body" xfId="53"/>
    <cellStyle name="Drill_USD_pied" xfId="54"/>
    <cellStyle name="Drill_XAU_body" xfId="55"/>
    <cellStyle name="Drill_XAU_pied" xfId="56"/>
    <cellStyle name="Drill_XMR_body" xfId="57"/>
    <cellStyle name="Drill_XMR_pied" xfId="58"/>
    <cellStyle name="Input" xfId="59"/>
    <cellStyle name="Résultat2" xfId="60"/>
  </cellStyles>
  <dxfs count="30"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000000"/>
      </font>
      <fill>
        <patternFill>
          <bgColor rgb="FFFFC7CE"/>
        </patternFill>
      </fill>
    </dxf>
    <dxf>
      <font>
        <name val="Arial"/>
        <charset val="1"/>
        <family val="2"/>
        <color rgb="FF000000"/>
      </font>
      <fill>
        <patternFill>
          <bgColor rgb="FFFFEB9C"/>
        </patternFill>
      </fill>
    </dxf>
    <dxf>
      <font>
        <name val="Arial"/>
        <charset val="1"/>
        <family val="2"/>
        <color rgb="FF9C0006"/>
      </font>
      <fill>
        <patternFill>
          <bgColor rgb="FFFFC7CE"/>
        </patternFill>
      </fill>
    </dxf>
    <dxf>
      <font>
        <name val="Arial"/>
        <charset val="1"/>
        <family val="2"/>
        <color rgb="FF000000"/>
      </font>
      <numFmt numFmtId="164" formatCode="General"/>
      <fill>
        <patternFill>
          <bgColor rgb="FFFF9781"/>
        </patternFill>
      </fill>
    </dxf>
    <dxf>
      <font>
        <name val="Arial"/>
        <charset val="1"/>
        <family val="2"/>
        <color rgb="FF000000"/>
      </font>
      <numFmt numFmtId="164" formatCode="General"/>
      <fill>
        <patternFill>
          <bgColor rgb="FFFFD38A"/>
        </patternFill>
      </fill>
    </dxf>
    <dxf>
      <font>
        <name val="Arial"/>
        <charset val="1"/>
        <family val="2"/>
        <strike val="0"/>
        <outline val="0"/>
        <shadow val="0"/>
        <color rgb="FF000000"/>
        <sz val="10"/>
      </font>
      <numFmt numFmtId="165" formatCode="#,##0.00\ [$€-40C];\-#,##0.00\ [$€-40C]"/>
    </dxf>
    <dxf>
      <font>
        <name val="Arial"/>
        <charset val="1"/>
        <family val="2"/>
        <color rgb="FF000000"/>
      </font>
      <numFmt numFmtId="166" formatCode="#,##0.00\ [$XAU]"/>
      <fill>
        <patternFill>
          <bgColor rgb="FFEAEAEA"/>
        </patternFill>
      </fill>
    </dxf>
    <dxf>
      <font>
        <name val="Arial"/>
        <charset val="1"/>
        <family val="2"/>
        <color rgb="FF000000"/>
      </font>
      <numFmt numFmtId="167" formatCode="#,##0.00000\ [$OrPr]"/>
      <fill>
        <patternFill>
          <bgColor rgb="FFEAEAEA"/>
        </patternFill>
      </fill>
    </dxf>
    <dxf>
      <font>
        <name val="Arial"/>
        <charset val="1"/>
        <family val="2"/>
        <color rgb="FF000000"/>
      </font>
      <numFmt numFmtId="168" formatCode="#,##0.00\ [$BTC]"/>
      <fill>
        <patternFill>
          <bgColor rgb="FFEAEAEA"/>
        </patternFill>
      </fill>
    </dxf>
    <dxf>
      <font>
        <name val="Arial"/>
        <charset val="1"/>
        <family val="2"/>
        <color rgb="FF000000"/>
      </font>
      <numFmt numFmtId="169" formatCode="#,##0\ [$SAT]"/>
      <fill>
        <patternFill>
          <bgColor rgb="FFEAEAEA"/>
        </patternFill>
      </fill>
    </dxf>
    <dxf>
      <font>
        <name val="Arial"/>
        <charset val="1"/>
        <family val="2"/>
        <color rgb="FF000000"/>
      </font>
      <numFmt numFmtId="170" formatCode="#,##0.00000\ [$XMR]"/>
      <fill>
        <patternFill>
          <bgColor rgb="FFEAEAEA"/>
        </patternFill>
      </fill>
    </dxf>
    <dxf>
      <font>
        <name val="Arial"/>
        <charset val="1"/>
        <family val="2"/>
        <color rgb="FF000000"/>
      </font>
      <numFmt numFmtId="171" formatCode="#,##0.00\ [$USD]"/>
      <fill>
        <patternFill>
          <bgColor rgb="FFEAEAEA"/>
        </patternFill>
      </fill>
    </dxf>
    <dxf>
      <font>
        <name val="Arial"/>
        <charset val="1"/>
        <family val="2"/>
        <color rgb="FF000000"/>
      </font>
      <numFmt numFmtId="172" formatCode="#,##0.00\ [$SGD]"/>
      <fill>
        <patternFill>
          <bgColor rgb="FFEAEAEA"/>
        </patternFill>
      </fill>
    </dxf>
    <dxf>
      <font>
        <name val="Arial"/>
        <charset val="1"/>
        <family val="2"/>
        <color rgb="FF000000"/>
      </font>
      <numFmt numFmtId="166" formatCode="#,##0.00\ [$XAU]"/>
      <fill>
        <patternFill>
          <bgColor rgb="FFDED9C0"/>
        </patternFill>
      </fill>
    </dxf>
    <dxf>
      <font>
        <name val="Arial"/>
        <charset val="1"/>
        <family val="2"/>
        <color rgb="FF000000"/>
      </font>
      <numFmt numFmtId="167" formatCode="#,##0.00000\ [$OrPr]"/>
      <fill>
        <patternFill>
          <bgColor rgb="FFDED9C0"/>
        </patternFill>
      </fill>
    </dxf>
    <dxf>
      <font>
        <name val="Arial"/>
        <charset val="1"/>
        <family val="2"/>
        <color rgb="FF000000"/>
      </font>
      <numFmt numFmtId="168" formatCode="#,##0.00\ [$BTC]"/>
      <fill>
        <patternFill>
          <bgColor rgb="FFDED9C0"/>
        </patternFill>
      </fill>
    </dxf>
    <dxf>
      <font>
        <name val="Arial"/>
        <charset val="1"/>
        <family val="2"/>
        <color rgb="FF000000"/>
      </font>
      <numFmt numFmtId="169" formatCode="#,##0\ [$SAT]"/>
      <fill>
        <patternFill>
          <bgColor rgb="FFDED9C0"/>
        </patternFill>
      </fill>
    </dxf>
    <dxf>
      <font>
        <name val="Arial"/>
        <charset val="1"/>
        <family val="2"/>
        <color rgb="FF000000"/>
      </font>
      <numFmt numFmtId="170" formatCode="#,##0.00000\ [$XMR]"/>
      <fill>
        <patternFill>
          <bgColor rgb="FFDED9C0"/>
        </patternFill>
      </fill>
    </dxf>
    <dxf>
      <font>
        <name val="Arial"/>
        <charset val="1"/>
        <family val="2"/>
        <color rgb="FF000000"/>
      </font>
      <numFmt numFmtId="171" formatCode="#,##0.00\ [$USD]"/>
      <fill>
        <patternFill>
          <bgColor rgb="FFDED9C0"/>
        </patternFill>
      </fill>
    </dxf>
    <dxf>
      <font>
        <name val="Arial"/>
        <charset val="1"/>
        <family val="2"/>
        <color rgb="FF000000"/>
      </font>
      <numFmt numFmtId="172" formatCode="#,##0.00\ [$SGD]"/>
      <fill>
        <patternFill>
          <bgColor rgb="FFDED9C0"/>
        </patternFill>
      </fill>
    </dxf>
    <dxf>
      <fill>
        <patternFill patternType="solid">
          <fgColor rgb="FFD2C195"/>
          <bgColor rgb="FF000000"/>
        </patternFill>
      </fill>
    </dxf>
    <dxf>
      <fill>
        <patternFill patternType="solid">
          <fgColor rgb="FFEEEB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432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FC98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669C35"/>
      <rgbColor rgb="FF800080"/>
      <rgbColor rgb="FF006666"/>
      <rgbColor rgb="FFC0C0C0"/>
      <rgbColor rgb="FF808080"/>
      <rgbColor rgb="FFF8D2E0"/>
      <rgbColor rgb="FF993366"/>
      <rgbColor rgb="FFEEEBDB"/>
      <rgbColor rgb="FFEAEAEA"/>
      <rgbColor rgb="FF660066"/>
      <rgbColor rgb="FFFF9781"/>
      <rgbColor rgb="FF0066CC"/>
      <rgbColor rgb="FFD5D5D5"/>
      <rgbColor rgb="FF000080"/>
      <rgbColor rgb="FFFF00FF"/>
      <rgbColor rgb="FFFFEB9C"/>
      <rgbColor rgb="FF00FFFF"/>
      <rgbColor rgb="FF800080"/>
      <rgbColor rgb="FF800000"/>
      <rgbColor rgb="FF0099CC"/>
      <rgbColor rgb="FF0432FF"/>
      <rgbColor rgb="FF00CCFF"/>
      <rgbColor rgb="FFE6E6E6"/>
      <rgbColor rgb="FFC6EFCE"/>
      <rgbColor rgb="FFFFFC98"/>
      <rgbColor rgb="FFDED9C0"/>
      <rgbColor rgb="FFFFC7CE"/>
      <rgbColor rgb="FFFFCCCC"/>
      <rgbColor rgb="FFFFD38A"/>
      <rgbColor rgb="FF3366FF"/>
      <rgbColor rgb="FF33CCCC"/>
      <rgbColor rgb="FF99CC00"/>
      <rgbColor rgb="FFFFCC00"/>
      <rgbColor rgb="FFFF9900"/>
      <rgbColor rgb="FFE32400"/>
      <rgbColor rgb="FF666699"/>
      <rgbColor rgb="FFD2C195"/>
      <rgbColor rgb="FF003366"/>
      <rgbColor rgb="FF339966"/>
      <rgbColor rgb="FF003300"/>
      <rgbColor rgb="FF4A2F04"/>
      <rgbColor rgb="FF6C2E2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87"/>
  <sheetViews>
    <sheetView showFormulas="false" showGridLines="true" showRowColHeaders="true" showZeros="true" rightToLeft="false" tabSelected="1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K9" activeCellId="0" sqref="K9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1" width="22"/>
    <col collapsed="false" customWidth="true" hidden="false" outlineLevel="0" max="3" min="3" style="1" width="8.76"/>
    <col collapsed="false" customWidth="true" hidden="false" outlineLevel="0" max="4" min="4" style="1" width="15.77"/>
    <col collapsed="false" customWidth="true" hidden="false" outlineLevel="0" max="5" min="5" style="1" width="8.16"/>
    <col collapsed="false" customWidth="true" hidden="false" outlineLevel="0" max="6" min="6" style="1" width="4.87"/>
    <col collapsed="false" customWidth="true" hidden="false" outlineLevel="0" max="7" min="7" style="1" width="13.91"/>
    <col collapsed="false" customWidth="true" hidden="false" outlineLevel="0" max="8" min="8" style="1" width="14.06"/>
    <col collapsed="false" customWidth="true" hidden="false" outlineLevel="0" max="9" min="9" style="1" width="4.73"/>
    <col collapsed="false" customWidth="true" hidden="false" outlineLevel="0" max="10" min="10" style="1" width="8.22"/>
    <col collapsed="false" customWidth="true" hidden="false" outlineLevel="0" max="11" min="11" style="1" width="21.68"/>
    <col collapsed="false" customWidth="true" hidden="false" outlineLevel="0" max="12" min="12" style="1" width="62.94"/>
    <col collapsed="false" customWidth="true" hidden="false" outlineLevel="0" max="13" min="13" style="1" width="53.42"/>
  </cols>
  <sheetData>
    <row r="2" customFormat="false" ht="16.5" hidden="false" customHeight="true" outlineLevel="0" collapsed="false">
      <c r="B2" s="2" t="str">
        <f aca="false">Contrôles!K$52</f>
        <v>✓</v>
      </c>
      <c r="C2" s="3" t="s">
        <v>0</v>
      </c>
      <c r="D2" s="4"/>
      <c r="E2" s="4"/>
      <c r="F2" s="4"/>
      <c r="G2" s="5"/>
      <c r="H2" s="2"/>
      <c r="I2" s="2"/>
    </row>
    <row r="3" customFormat="false" ht="16.5" hidden="false" customHeight="true" outlineLevel="0" collapsed="false">
      <c r="B3" s="6" t="str">
        <f aca="false">année_courante</f>
        <v>2026</v>
      </c>
      <c r="C3" s="7" t="s">
        <v>1</v>
      </c>
      <c r="D3" s="6" t="s">
        <v>2</v>
      </c>
      <c r="E3" s="4"/>
      <c r="F3" s="5" t="str">
        <f aca="false">"dont Plus value latente depuis " &amp; YEAR(Plus_value!G3)</f>
        <v>dont Plus value latente depuis 2023</v>
      </c>
      <c r="G3" s="5"/>
      <c r="H3" s="8"/>
      <c r="I3" s="8"/>
    </row>
    <row r="4" customFormat="false" ht="15.75" hidden="false" customHeight="true" outlineLevel="0" collapsed="false">
      <c r="B4" s="9" t="s">
        <v>3</v>
      </c>
      <c r="C4" s="10" t="n">
        <f aca="false">COUNTA(AVRintitulé)-2</f>
        <v>26</v>
      </c>
      <c r="D4" s="11" t="n">
        <f aca="false">Avoirs!L2</f>
        <v>142580.98</v>
      </c>
      <c r="E4" s="12"/>
      <c r="F4" s="12"/>
      <c r="G4" s="11" t="n">
        <f aca="false">Plus_value!E3</f>
        <v>1455.0077973604</v>
      </c>
      <c r="H4" s="13" t="n">
        <f aca="false">Plus_value!F53</f>
        <v>0.345438765774654</v>
      </c>
      <c r="I4" s="13"/>
    </row>
    <row r="5" customFormat="false" ht="15.75" hidden="false" customHeight="true" outlineLevel="0" collapsed="false">
      <c r="B5" s="14" t="s">
        <v>4</v>
      </c>
      <c r="C5" s="15"/>
      <c r="D5" s="16"/>
      <c r="E5" s="17"/>
      <c r="F5" s="18"/>
      <c r="G5" s="19"/>
      <c r="H5" s="18"/>
      <c r="I5" s="18"/>
    </row>
    <row r="6" customFormat="false" ht="15.75" hidden="false" customHeight="true" outlineLevel="0" collapsed="false">
      <c r="B6" s="20" t="s">
        <v>5</v>
      </c>
      <c r="C6" s="20"/>
      <c r="D6" s="21"/>
      <c r="E6" s="12"/>
      <c r="F6" s="18"/>
      <c r="G6" s="18"/>
      <c r="H6" s="18"/>
      <c r="I6" s="18"/>
    </row>
    <row r="7" customFormat="false" ht="16.5" hidden="false" customHeight="true" outlineLevel="0" collapsed="false">
      <c r="B7" s="22" t="s">
        <v>6</v>
      </c>
      <c r="C7" s="15" t="n">
        <f aca="false">COUNTIF(AVRtype,$B7)</f>
        <v>4</v>
      </c>
      <c r="D7" s="16" t="n">
        <f aca="false">SUMIF(AVRtype,$B7,AVRmontant_solde_euro)</f>
        <v>126118.48587543</v>
      </c>
      <c r="E7" s="17" t="n">
        <f aca="false">D7/D$14</f>
        <v>0.884539339506787</v>
      </c>
      <c r="F7" s="18"/>
      <c r="G7" s="19"/>
      <c r="H7" s="18"/>
      <c r="I7" s="18"/>
    </row>
    <row r="8" customFormat="false" ht="16.5" hidden="false" customHeight="true" outlineLevel="0" collapsed="false">
      <c r="B8" s="22" t="s">
        <v>7</v>
      </c>
      <c r="C8" s="15" t="n">
        <f aca="false">COUNTIF(AVRtype,$B8)</f>
        <v>5</v>
      </c>
      <c r="D8" s="16" t="n">
        <f aca="false">SUMIF(AVRtype,$B8,AVRmontant_solde_euro)</f>
        <v>2926.168355</v>
      </c>
      <c r="E8" s="17" t="n">
        <f aca="false">D8/D$14</f>
        <v>0.0205228520311755</v>
      </c>
      <c r="F8" s="18"/>
      <c r="G8" s="18"/>
      <c r="H8" s="18"/>
      <c r="I8" s="18"/>
    </row>
    <row r="9" customFormat="false" ht="16.5" hidden="false" customHeight="true" outlineLevel="0" collapsed="false">
      <c r="B9" s="22" t="s">
        <v>8</v>
      </c>
      <c r="C9" s="15" t="n">
        <f aca="false">COUNTIF(AVRtype,$B9)</f>
        <v>1</v>
      </c>
      <c r="D9" s="16" t="n">
        <f aca="false">SUMIF(AVRtype,$B9,AVRmontant_solde_euro)</f>
        <v>9965</v>
      </c>
      <c r="E9" s="17" t="n">
        <f aca="false">D9/D$14</f>
        <v>0.0698901073621461</v>
      </c>
      <c r="F9" s="18"/>
      <c r="G9" s="18"/>
      <c r="H9" s="18"/>
      <c r="I9" s="18"/>
    </row>
    <row r="10" customFormat="false" ht="16.5" hidden="false" customHeight="true" outlineLevel="0" collapsed="false">
      <c r="B10" s="22" t="s">
        <v>9</v>
      </c>
      <c r="C10" s="15" t="n">
        <f aca="false">COUNTIF(AVRtype,$B10)</f>
        <v>3</v>
      </c>
      <c r="D10" s="16" t="n">
        <f aca="false">SUMIF(AVRtype,$B10,AVRmontant_solde_euro)</f>
        <v>421.033965</v>
      </c>
      <c r="E10" s="17" t="n">
        <f aca="false">D10/D$14</f>
        <v>0.00295294621344306</v>
      </c>
      <c r="F10" s="18"/>
      <c r="G10" s="18"/>
      <c r="H10" s="18"/>
      <c r="I10" s="18"/>
    </row>
    <row r="11" customFormat="false" ht="16.5" hidden="false" customHeight="true" outlineLevel="0" collapsed="false">
      <c r="B11" s="22" t="s">
        <v>10</v>
      </c>
      <c r="C11" s="15" t="n">
        <f aca="false">COUNTIF(AVRtype,$B11)</f>
        <v>4</v>
      </c>
      <c r="D11" s="16" t="n">
        <f aca="false">SUMIF(AVRtype,$B11,AVRmontant_solde_euro)</f>
        <v>201.37667693</v>
      </c>
      <c r="E11" s="17" t="n">
        <f aca="false">D11/D$14</f>
        <v>0.00141236704173306</v>
      </c>
      <c r="F11" s="18"/>
      <c r="G11" s="18"/>
      <c r="H11" s="18"/>
      <c r="I11" s="18"/>
    </row>
    <row r="12" customFormat="false" ht="16.5" hidden="false" customHeight="true" outlineLevel="0" collapsed="false">
      <c r="B12" s="22" t="s">
        <v>11</v>
      </c>
      <c r="C12" s="15" t="n">
        <f aca="false">COUNTIF(AVRtype,$B12)</f>
        <v>9</v>
      </c>
      <c r="D12" s="16" t="n">
        <f aca="false">SUMIF(AVRtype,$B12,AVRmontant_solde_euro)</f>
        <v>2948.92</v>
      </c>
      <c r="E12" s="17" t="n">
        <f aca="false">D12/D$14</f>
        <v>0.0206824220172985</v>
      </c>
      <c r="F12" s="18"/>
      <c r="G12" s="19"/>
      <c r="H12" s="18"/>
      <c r="I12" s="18"/>
    </row>
    <row r="13" customFormat="false" ht="16.5" hidden="false" customHeight="true" outlineLevel="0" collapsed="false">
      <c r="B13" s="22" t="s">
        <v>12</v>
      </c>
      <c r="C13" s="15" t="n">
        <f aca="false">COUNTIF(AVRtype,$B13)</f>
        <v>0</v>
      </c>
      <c r="D13" s="16" t="n">
        <f aca="false">SUMIF(AVRtype,$B13,AVRmontant_solde_euro)</f>
        <v>0</v>
      </c>
      <c r="E13" s="17" t="n">
        <f aca="false">D13/D$14</f>
        <v>0</v>
      </c>
      <c r="F13" s="18"/>
      <c r="G13" s="19"/>
      <c r="H13" s="18"/>
      <c r="I13" s="18"/>
    </row>
    <row r="14" customFormat="false" ht="16.5" hidden="false" customHeight="true" outlineLevel="0" collapsed="false">
      <c r="B14" s="23" t="s">
        <v>3</v>
      </c>
      <c r="C14" s="15" t="n">
        <f aca="false">SUM(C7:C13)</f>
        <v>26</v>
      </c>
      <c r="D14" s="24" t="n">
        <f aca="false">ROUND(SUM(D7:D13),2)</f>
        <v>142580.98</v>
      </c>
      <c r="E14" s="17"/>
      <c r="F14" s="18"/>
      <c r="G14" s="18"/>
      <c r="H14" s="18"/>
      <c r="I14" s="18"/>
    </row>
    <row r="15" customFormat="false" ht="16.5" hidden="false" customHeight="true" outlineLevel="0" collapsed="false">
      <c r="B15" s="20" t="s">
        <v>13</v>
      </c>
      <c r="C15" s="25"/>
      <c r="D15" s="26"/>
      <c r="E15" s="12"/>
      <c r="F15" s="18"/>
      <c r="G15" s="18"/>
      <c r="H15" s="18"/>
      <c r="I15" s="18"/>
    </row>
    <row r="16" customFormat="false" ht="16.5" hidden="false" customHeight="true" outlineLevel="0" collapsed="false">
      <c r="B16" s="22" t="s">
        <v>14</v>
      </c>
      <c r="C16" s="15" t="n">
        <f aca="false">COUNTIF(AVRsous_type,$B16)</f>
        <v>1</v>
      </c>
      <c r="D16" s="16" t="n">
        <f aca="false">SUMIF(AVRsous_type,B16,AVRmontant_solde_euro)</f>
        <v>100000</v>
      </c>
      <c r="E16" s="17" t="n">
        <f aca="false">D16/D$25</f>
        <v>0.701355818987918</v>
      </c>
      <c r="F16" s="18"/>
      <c r="G16" s="19"/>
      <c r="H16" s="18"/>
      <c r="I16" s="18"/>
    </row>
    <row r="17" customFormat="false" ht="16.5" hidden="false" customHeight="true" outlineLevel="0" collapsed="false">
      <c r="B17" s="22" t="s">
        <v>15</v>
      </c>
      <c r="C17" s="15" t="n">
        <f aca="false">COUNTIF(AVRsous_type,$B17)</f>
        <v>5</v>
      </c>
      <c r="D17" s="16" t="n">
        <f aca="false">SUMIF(AVRsous_type,B17,AVRmontant_solde_euro)</f>
        <v>2926.168355</v>
      </c>
      <c r="E17" s="17" t="n">
        <f aca="false">D17/D$25</f>
        <v>0.0205228520311755</v>
      </c>
      <c r="F17" s="18"/>
      <c r="G17" s="18"/>
      <c r="H17" s="18"/>
      <c r="I17" s="18"/>
    </row>
    <row r="18" customFormat="false" ht="16.5" hidden="false" customHeight="true" outlineLevel="0" collapsed="false">
      <c r="B18" s="22" t="s">
        <v>16</v>
      </c>
      <c r="C18" s="15" t="n">
        <f aca="false">COUNTIF(AVRsous_type,$B18)</f>
        <v>3</v>
      </c>
      <c r="D18" s="16" t="n">
        <f aca="false">SUMIF(AVRsous_type,B18,AVRmontant_solde_euro)</f>
        <v>26118.4858754304</v>
      </c>
      <c r="E18" s="17" t="n">
        <f aca="false">D18/D$25</f>
        <v>0.183183520518869</v>
      </c>
      <c r="F18" s="18"/>
      <c r="G18" s="18"/>
      <c r="H18" s="18"/>
      <c r="I18" s="18"/>
    </row>
    <row r="19" customFormat="false" ht="16.5" hidden="false" customHeight="true" outlineLevel="0" collapsed="false">
      <c r="B19" s="22" t="s">
        <v>17</v>
      </c>
      <c r="C19" s="15" t="n">
        <f aca="false">COUNTIF(AVRsous_type,$B19)</f>
        <v>10</v>
      </c>
      <c r="D19" s="16" t="n">
        <f aca="false">SUMIF(AVRsous_type,B19,AVRmontant_solde_euro)</f>
        <v>12913.92</v>
      </c>
      <c r="E19" s="17" t="n">
        <f aca="false">D19/D$25</f>
        <v>0.0905725293794446</v>
      </c>
      <c r="F19" s="18"/>
      <c r="G19" s="18"/>
      <c r="H19" s="18"/>
      <c r="I19" s="18"/>
    </row>
    <row r="20" customFormat="false" ht="16.5" hidden="false" customHeight="true" outlineLevel="0" collapsed="false">
      <c r="B20" s="22" t="s">
        <v>12</v>
      </c>
      <c r="C20" s="15" t="n">
        <f aca="false">COUNTIF(AVRsous_type,$B20)</f>
        <v>0</v>
      </c>
      <c r="D20" s="16" t="n">
        <f aca="false">SUMIF(AVRsous_type,B20,AVRmontant_solde_euro)</f>
        <v>0</v>
      </c>
      <c r="E20" s="17" t="n">
        <f aca="false">D20/D$25</f>
        <v>0</v>
      </c>
      <c r="F20" s="18"/>
      <c r="G20" s="18"/>
      <c r="H20" s="18"/>
      <c r="I20" s="18"/>
    </row>
    <row r="21" customFormat="false" ht="16.5" hidden="false" customHeight="true" outlineLevel="0" collapsed="false">
      <c r="B21" s="22" t="s">
        <v>18</v>
      </c>
      <c r="C21" s="15" t="n">
        <f aca="false">COUNTIF(AVRsous_type,$B21)</f>
        <v>3</v>
      </c>
      <c r="D21" s="16" t="n">
        <f aca="false">SUMIF(AVRsous_type,$B21,AVRmontant_solde_euro)</f>
        <v>201.37667693</v>
      </c>
      <c r="E21" s="17" t="n">
        <f aca="false">D21/D$25</f>
        <v>0.00141236704173306</v>
      </c>
      <c r="F21" s="18"/>
      <c r="G21" s="18"/>
      <c r="H21" s="18"/>
      <c r="I21" s="18"/>
    </row>
    <row r="22" customFormat="false" ht="16.5" hidden="false" customHeight="true" outlineLevel="0" collapsed="false">
      <c r="B22" s="22" t="s">
        <v>19</v>
      </c>
      <c r="C22" s="15" t="n">
        <f aca="false">COUNTIF(AVRsous_type,$B22)</f>
        <v>1</v>
      </c>
      <c r="D22" s="16" t="n">
        <f aca="false">SUMIF(AVRsous_type,$B22,AVRmontant_solde_euro)</f>
        <v>0</v>
      </c>
      <c r="E22" s="17" t="n">
        <f aca="false">D22/D$25</f>
        <v>0</v>
      </c>
      <c r="F22" s="18"/>
      <c r="G22" s="18"/>
      <c r="H22" s="18"/>
      <c r="I22" s="18"/>
    </row>
    <row r="23" customFormat="false" ht="16.5" hidden="false" customHeight="true" outlineLevel="0" collapsed="false">
      <c r="B23" s="22" t="s">
        <v>20</v>
      </c>
      <c r="C23" s="15" t="n">
        <f aca="false">COUNTIF(AVRsous_type,$B23)</f>
        <v>2</v>
      </c>
      <c r="D23" s="16" t="n">
        <f aca="false">SUMIF(AVRsous_type,$B23,AVRmontant_solde_euro)</f>
        <v>421.033965</v>
      </c>
      <c r="E23" s="17" t="n">
        <f aca="false">D23/D$25</f>
        <v>0.00295294621344306</v>
      </c>
      <c r="F23" s="18"/>
      <c r="G23" s="18"/>
      <c r="H23" s="18"/>
      <c r="I23" s="18"/>
    </row>
    <row r="24" customFormat="false" ht="16.5" hidden="false" customHeight="true" outlineLevel="0" collapsed="false">
      <c r="B24" s="22" t="s">
        <v>21</v>
      </c>
      <c r="C24" s="15" t="n">
        <f aca="false">COUNTIF(AVRsous_type,$B24)</f>
        <v>1</v>
      </c>
      <c r="D24" s="16" t="n">
        <f aca="false">SUMIF(AVRsous_type,$B24,AVRmontant_solde_euro)</f>
        <v>0</v>
      </c>
      <c r="E24" s="17" t="n">
        <f aca="false">D24/D$25</f>
        <v>0</v>
      </c>
      <c r="F24" s="18"/>
      <c r="G24" s="18"/>
      <c r="H24" s="18"/>
      <c r="I24" s="18"/>
    </row>
    <row r="25" customFormat="false" ht="16.5" hidden="false" customHeight="true" outlineLevel="0" collapsed="false">
      <c r="B25" s="23" t="s">
        <v>3</v>
      </c>
      <c r="C25" s="15" t="n">
        <f aca="false">SUM(C16:C24)</f>
        <v>26</v>
      </c>
      <c r="D25" s="24" t="n">
        <f aca="false">ROUND(SUM(D16:D24),2)</f>
        <v>142580.98</v>
      </c>
      <c r="E25" s="17"/>
      <c r="F25" s="18"/>
      <c r="G25" s="18"/>
      <c r="H25" s="18"/>
      <c r="I25" s="18"/>
    </row>
    <row r="26" customFormat="false" ht="16.5" hidden="false" customHeight="true" outlineLevel="0" collapsed="false">
      <c r="B26" s="27" t="s">
        <v>22</v>
      </c>
      <c r="C26" s="28"/>
      <c r="D26" s="26"/>
      <c r="E26" s="12"/>
      <c r="F26" s="18"/>
      <c r="G26" s="18"/>
      <c r="H26" s="18"/>
      <c r="I26" s="18"/>
    </row>
    <row r="27" customFormat="false" ht="16.5" hidden="false" customHeight="true" outlineLevel="0" collapsed="false">
      <c r="B27" s="29" t="s">
        <v>12</v>
      </c>
      <c r="C27" s="15" t="n">
        <f aca="false">COUNTIF(AVRdomiciliation,$B27)</f>
        <v>0</v>
      </c>
      <c r="D27" s="16" t="n">
        <f aca="false">SUMIF(AVRdomiciliation,$B27,AVRmontant_solde_euro)</f>
        <v>0</v>
      </c>
      <c r="E27" s="17" t="n">
        <f aca="false">D27/D$42</f>
        <v>0</v>
      </c>
      <c r="F27" s="18"/>
      <c r="G27" s="19"/>
      <c r="H27" s="18"/>
      <c r="I27" s="18"/>
    </row>
    <row r="28" customFormat="false" ht="16.5" hidden="false" customHeight="true" outlineLevel="0" collapsed="false">
      <c r="B28" s="29" t="s">
        <v>23</v>
      </c>
      <c r="C28" s="15" t="n">
        <f aca="false">COUNTIF(AVRdomiciliation,$B28)</f>
        <v>1</v>
      </c>
      <c r="D28" s="16" t="n">
        <f aca="false">SUMIF(AVRdomiciliation,$B28,AVRmontant_solde_euro)</f>
        <v>50</v>
      </c>
      <c r="E28" s="17" t="n">
        <f aca="false">D28/D$42</f>
        <v>0.000350677909493959</v>
      </c>
      <c r="F28" s="18"/>
      <c r="G28" s="19"/>
      <c r="H28" s="18"/>
      <c r="I28" s="18"/>
    </row>
    <row r="29" customFormat="false" ht="16.5" hidden="false" customHeight="true" outlineLevel="0" collapsed="false">
      <c r="B29" s="29" t="s">
        <v>24</v>
      </c>
      <c r="C29" s="15" t="n">
        <f aca="false">COUNTIF(AVRdomiciliation,$B29)</f>
        <v>1</v>
      </c>
      <c r="D29" s="16" t="n">
        <f aca="false">SUMIF(AVRdomiciliation,$B29,AVRmontant_solde_euro)</f>
        <v>9000</v>
      </c>
      <c r="E29" s="17" t="n">
        <f aca="false">D29/D$42</f>
        <v>0.0631220237089126</v>
      </c>
      <c r="F29" s="18"/>
      <c r="G29" s="19"/>
      <c r="H29" s="18"/>
      <c r="I29" s="18"/>
    </row>
    <row r="30" customFormat="false" ht="16.5" hidden="false" customHeight="true" outlineLevel="0" collapsed="false">
      <c r="B30" s="29" t="s">
        <v>25</v>
      </c>
      <c r="C30" s="15" t="n">
        <f aca="false">COUNTIF(AVRdomiciliation,$B30)</f>
        <v>3</v>
      </c>
      <c r="D30" s="16" t="n">
        <f aca="false">SUMIF(AVRdomiciliation,$B30,AVRmontant_solde_euro)</f>
        <v>170.093092</v>
      </c>
      <c r="E30" s="17" t="n">
        <f aca="false">D30/D$42</f>
        <v>0.00119295779843847</v>
      </c>
      <c r="F30" s="18"/>
      <c r="G30" s="19"/>
      <c r="H30" s="18"/>
      <c r="I30" s="18"/>
    </row>
    <row r="31" customFormat="false" ht="16.5" hidden="false" customHeight="true" outlineLevel="0" collapsed="false">
      <c r="B31" s="29" t="s">
        <v>26</v>
      </c>
      <c r="C31" s="15" t="n">
        <f aca="false">COUNTIF(AVRdomiciliation,$B31)</f>
        <v>3</v>
      </c>
      <c r="D31" s="16" t="n">
        <f aca="false">SUMIF(AVRdomiciliation,$B31,AVRmontant_solde_euro)</f>
        <v>0</v>
      </c>
      <c r="E31" s="17" t="n">
        <f aca="false">D31/D$42</f>
        <v>0</v>
      </c>
      <c r="F31" s="18"/>
      <c r="G31" s="19"/>
      <c r="H31" s="18"/>
      <c r="I31" s="18"/>
    </row>
    <row r="32" customFormat="false" ht="16.5" hidden="false" customHeight="true" outlineLevel="0" collapsed="false">
      <c r="B32" s="29" t="s">
        <v>27</v>
      </c>
      <c r="C32" s="15" t="n">
        <f aca="false">COUNTIF(AVRdomiciliation,$B32)</f>
        <v>1</v>
      </c>
      <c r="D32" s="16" t="n">
        <f aca="false">SUMIF(AVRdomiciliation,$B32,AVRmontant_solde_euro)</f>
        <v>2118.4858754304</v>
      </c>
      <c r="E32" s="17" t="n">
        <f aca="false">D32/D$42</f>
        <v>0.0148581239617683</v>
      </c>
      <c r="F32" s="18"/>
      <c r="G32" s="19"/>
      <c r="H32" s="18"/>
      <c r="I32" s="18"/>
    </row>
    <row r="33" customFormat="false" ht="16.5" hidden="false" customHeight="true" outlineLevel="0" collapsed="false">
      <c r="B33" s="29" t="s">
        <v>28</v>
      </c>
      <c r="C33" s="15" t="n">
        <f aca="false">COUNTIF(AVRdomiciliation,$B33)</f>
        <v>2</v>
      </c>
      <c r="D33" s="16" t="n">
        <f aca="false">SUMIF(AVRdomiciliation,$B33,AVRmontant_solde_euro)</f>
        <v>0</v>
      </c>
      <c r="E33" s="17" t="n">
        <f aca="false">D33/D$42</f>
        <v>0</v>
      </c>
      <c r="F33" s="18"/>
      <c r="G33" s="19"/>
      <c r="H33" s="18"/>
      <c r="I33" s="18"/>
    </row>
    <row r="34" customFormat="false" ht="16.5" hidden="false" customHeight="true" outlineLevel="0" collapsed="false">
      <c r="B34" s="29" t="s">
        <v>29</v>
      </c>
      <c r="C34" s="15" t="n">
        <f aca="false">COUNTIF(AVRdomiciliation,$B34)</f>
        <v>1</v>
      </c>
      <c r="D34" s="16" t="n">
        <f aca="false">SUMIF(AVRdomiciliation,$B34,AVRmontant_solde_euro)</f>
        <v>9965</v>
      </c>
      <c r="E34" s="17" t="n">
        <f aca="false">D34/D$42</f>
        <v>0.0698901073621461</v>
      </c>
      <c r="F34" s="18"/>
      <c r="G34" s="19"/>
      <c r="H34" s="18"/>
      <c r="I34" s="18"/>
    </row>
    <row r="35" customFormat="false" ht="16.5" hidden="false" customHeight="true" outlineLevel="0" collapsed="false">
      <c r="B35" s="29" t="s">
        <v>30</v>
      </c>
      <c r="C35" s="15" t="n">
        <f aca="false">COUNTIF(AVRdomiciliation,$B35)</f>
        <v>1</v>
      </c>
      <c r="D35" s="16" t="n">
        <f aca="false">SUMIF(AVRdomiciliation,$B35,AVRmontant_solde_euro)</f>
        <v>31.28358493</v>
      </c>
      <c r="E35" s="17" t="n">
        <f aca="false">D35/D$42</f>
        <v>0.000219409243294582</v>
      </c>
      <c r="F35" s="18"/>
      <c r="G35" s="19"/>
      <c r="H35" s="18"/>
      <c r="I35" s="18"/>
    </row>
    <row r="36" customFormat="false" ht="16.5" hidden="false" customHeight="true" outlineLevel="0" collapsed="false">
      <c r="B36" s="29" t="s">
        <v>31</v>
      </c>
      <c r="C36" s="15" t="n">
        <f aca="false">COUNTIF(AVRdomiciliation,$B36)</f>
        <v>3</v>
      </c>
      <c r="D36" s="16" t="n">
        <f aca="false">SUMIF(AVRdomiciliation,$B36,AVRmontant_solde_euro)</f>
        <v>115007</v>
      </c>
      <c r="E36" s="17" t="n">
        <f aca="false">D36/D$42</f>
        <v>0.806608286743435</v>
      </c>
      <c r="F36" s="18"/>
      <c r="G36" s="19"/>
      <c r="H36" s="18"/>
      <c r="I36" s="18"/>
    </row>
    <row r="37" customFormat="false" ht="16.5" hidden="false" customHeight="true" outlineLevel="0" collapsed="false">
      <c r="B37" s="29" t="s">
        <v>32</v>
      </c>
      <c r="C37" s="15" t="n">
        <f aca="false">COUNTIF(AVRdomiciliation,$B37)</f>
        <v>1</v>
      </c>
      <c r="D37" s="16" t="n">
        <f aca="false">SUMIF(AVRdomiciliation,$B37,AVRmontant_solde_euro)</f>
        <v>0</v>
      </c>
      <c r="E37" s="17" t="n">
        <f aca="false">D37/D$42</f>
        <v>0</v>
      </c>
      <c r="F37" s="18"/>
      <c r="G37" s="19"/>
      <c r="H37" s="18"/>
      <c r="I37" s="18"/>
    </row>
    <row r="38" customFormat="false" ht="16.5" hidden="false" customHeight="true" outlineLevel="0" collapsed="false">
      <c r="B38" s="29" t="s">
        <v>33</v>
      </c>
      <c r="C38" s="15" t="n">
        <f aca="false">COUNTIF(AVRdomiciliation,$B38)</f>
        <v>1</v>
      </c>
      <c r="D38" s="16" t="n">
        <f aca="false">SUMIF(AVRdomiciliation,$B38,AVRmontant_solde_euro)</f>
        <v>10</v>
      </c>
      <c r="E38" s="17" t="n">
        <f aca="false">D38/D$42</f>
        <v>7.01355818987918E-005</v>
      </c>
      <c r="F38" s="18"/>
      <c r="G38" s="19"/>
      <c r="H38" s="18"/>
      <c r="I38" s="18"/>
    </row>
    <row r="39" customFormat="false" ht="16.5" hidden="false" customHeight="true" outlineLevel="0" collapsed="false">
      <c r="B39" s="29" t="s">
        <v>34</v>
      </c>
      <c r="C39" s="15" t="n">
        <f aca="false">COUNTIF(AVRdomiciliation,$B39)</f>
        <v>3</v>
      </c>
      <c r="D39" s="16" t="n">
        <f aca="false">SUMIF(AVRdomiciliation,$B39,AVRmontant_solde_euro)</f>
        <v>2881.92</v>
      </c>
      <c r="E39" s="17" t="n">
        <f aca="false">D39/D$42</f>
        <v>0.0202125136185766</v>
      </c>
      <c r="F39" s="18"/>
      <c r="G39" s="19"/>
      <c r="H39" s="18"/>
      <c r="I39" s="18"/>
    </row>
    <row r="40" customFormat="false" ht="16.5" hidden="false" customHeight="true" outlineLevel="0" collapsed="false">
      <c r="B40" s="29" t="s">
        <v>35</v>
      </c>
      <c r="C40" s="15" t="n">
        <f aca="false">COUNTIF(AVRdomiciliation,$B40)</f>
        <v>3</v>
      </c>
      <c r="D40" s="16" t="n">
        <f aca="false">SUMIF(AVRdomiciliation,$B40,AVRmontant_solde_euro)</f>
        <v>0</v>
      </c>
      <c r="E40" s="17" t="n">
        <f aca="false">D40/D$42</f>
        <v>0</v>
      </c>
      <c r="F40" s="18"/>
      <c r="G40" s="19"/>
      <c r="H40" s="18"/>
      <c r="I40" s="18"/>
    </row>
    <row r="41" customFormat="false" ht="16.5" hidden="false" customHeight="true" outlineLevel="0" collapsed="false">
      <c r="B41" s="29" t="s">
        <v>36</v>
      </c>
      <c r="C41" s="15" t="n">
        <f aca="false">COUNTIF(AVRdomiciliation,$B41)</f>
        <v>2</v>
      </c>
      <c r="D41" s="16" t="n">
        <f aca="false">SUMIF(AVRdomiciliation,$B41,AVRmontant_solde_euro)</f>
        <v>3347.20232</v>
      </c>
      <c r="E41" s="17" t="n">
        <f aca="false">D41/D$42</f>
        <v>0.0234757982446186</v>
      </c>
      <c r="F41" s="18"/>
      <c r="G41" s="19"/>
      <c r="H41" s="18"/>
      <c r="I41" s="18"/>
    </row>
    <row r="42" customFormat="false" ht="16.5" hidden="false" customHeight="true" outlineLevel="0" collapsed="false">
      <c r="B42" s="23" t="s">
        <v>3</v>
      </c>
      <c r="C42" s="15" t="n">
        <f aca="false">SUM(C27:C41)</f>
        <v>26</v>
      </c>
      <c r="D42" s="24" t="n">
        <f aca="false">ROUND(SUM(D27:D41),2)</f>
        <v>142580.98</v>
      </c>
      <c r="E42" s="17"/>
      <c r="F42" s="18"/>
      <c r="G42" s="18"/>
      <c r="H42" s="18"/>
      <c r="I42" s="18"/>
    </row>
    <row r="43" customFormat="false" ht="16.5" hidden="false" customHeight="true" outlineLevel="0" collapsed="false">
      <c r="B43" s="20" t="s">
        <v>37</v>
      </c>
      <c r="C43" s="25"/>
      <c r="D43" s="26"/>
      <c r="E43" s="12"/>
      <c r="F43" s="18"/>
      <c r="G43" s="18"/>
      <c r="H43" s="18"/>
      <c r="I43" s="18"/>
    </row>
    <row r="44" customFormat="false" ht="16.5" hidden="false" customHeight="true" outlineLevel="0" collapsed="false">
      <c r="B44" s="22" t="s">
        <v>12</v>
      </c>
      <c r="C44" s="15" t="n">
        <f aca="false">COUNTIF(AVRtitulaire,$B44)</f>
        <v>0</v>
      </c>
      <c r="D44" s="16" t="n">
        <f aca="false">SUMIF(AVRtitulaire,$B44,AVRmontant_solde_euro)</f>
        <v>0</v>
      </c>
      <c r="E44" s="17" t="n">
        <f aca="false">D44/D$48</f>
        <v>0</v>
      </c>
      <c r="F44" s="18"/>
      <c r="G44" s="18"/>
      <c r="H44" s="18"/>
      <c r="I44" s="18"/>
    </row>
    <row r="45" customFormat="false" ht="16.5" hidden="false" customHeight="true" outlineLevel="0" collapsed="false">
      <c r="B45" s="22" t="s">
        <v>38</v>
      </c>
      <c r="C45" s="15" t="n">
        <f aca="false">COUNTIF(AVRtitulaire,$B45)</f>
        <v>2</v>
      </c>
      <c r="D45" s="16" t="n">
        <f aca="false">SUMIF(AVRtitulaire,$B45,AVRmontant_solde_euro)</f>
        <v>0</v>
      </c>
      <c r="E45" s="17" t="n">
        <f aca="false">D45/D$48</f>
        <v>0</v>
      </c>
      <c r="F45" s="18"/>
      <c r="G45" s="18"/>
      <c r="H45" s="18"/>
      <c r="I45" s="18"/>
    </row>
    <row r="46" customFormat="false" ht="16.5" hidden="false" customHeight="true" outlineLevel="0" collapsed="false">
      <c r="B46" s="22" t="s">
        <v>39</v>
      </c>
      <c r="C46" s="15" t="n">
        <f aca="false">COUNTIF(AVRtitulaire,$B46)</f>
        <v>13</v>
      </c>
      <c r="D46" s="16" t="n">
        <f aca="false">SUMIF(AVRtitulaire,$B46,AVRmontant_solde_euro)</f>
        <v>3407.20232</v>
      </c>
      <c r="E46" s="17" t="n">
        <f aca="false">D46/D$48</f>
        <v>0.0238966117360114</v>
      </c>
      <c r="F46" s="18"/>
      <c r="G46" s="18"/>
      <c r="H46" s="18"/>
      <c r="I46" s="18"/>
    </row>
    <row r="47" customFormat="false" ht="16.5" hidden="false" customHeight="true" outlineLevel="0" collapsed="false">
      <c r="B47" s="22" t="s">
        <v>40</v>
      </c>
      <c r="C47" s="15" t="n">
        <f aca="false">COUNTIF(AVRtitulaire,$B47)</f>
        <v>11</v>
      </c>
      <c r="D47" s="16" t="n">
        <f aca="false">SUMIF(AVRtitulaire,$B47,AVRmontant_solde_euro)</f>
        <v>139173.78255236</v>
      </c>
      <c r="E47" s="17" t="n">
        <f aca="false">D47/D$48</f>
        <v>0.976103422436572</v>
      </c>
      <c r="F47" s="18"/>
      <c r="G47" s="18"/>
      <c r="H47" s="18"/>
      <c r="I47" s="18"/>
    </row>
    <row r="48" customFormat="false" ht="16.5" hidden="false" customHeight="true" outlineLevel="0" collapsed="false">
      <c r="B48" s="23" t="s">
        <v>3</v>
      </c>
      <c r="C48" s="15" t="n">
        <f aca="false">SUM(C44:C47)</f>
        <v>26</v>
      </c>
      <c r="D48" s="24" t="n">
        <f aca="false">ROUND(SUM(D44:D47),2)</f>
        <v>142580.98</v>
      </c>
      <c r="E48" s="17"/>
      <c r="F48" s="18"/>
      <c r="G48" s="18"/>
      <c r="H48" s="18"/>
      <c r="I48" s="18"/>
    </row>
    <row r="49" customFormat="false" ht="15.75" hidden="false" customHeight="true" outlineLevel="0" collapsed="false">
      <c r="B49" s="20" t="s">
        <v>41</v>
      </c>
      <c r="C49" s="25"/>
      <c r="D49" s="26"/>
      <c r="E49" s="12"/>
      <c r="F49" s="18"/>
      <c r="G49" s="18"/>
      <c r="H49" s="18"/>
      <c r="I49" s="18"/>
    </row>
    <row r="50" customFormat="false" ht="15.75" hidden="false" customHeight="true" outlineLevel="0" collapsed="false">
      <c r="B50" s="22" t="s">
        <v>42</v>
      </c>
      <c r="C50" s="15" t="n">
        <f aca="false">COUNTIF(AVRpropriete,$B50)</f>
        <v>8</v>
      </c>
      <c r="D50" s="16" t="n">
        <f aca="false">SUMIF(AVRpropriete,B50,AVRmontant_solde_euro)</f>
        <v>126295.57896743</v>
      </c>
      <c r="E50" s="17" t="n">
        <f aca="false">D50/D$52</f>
        <v>0.885781392212555</v>
      </c>
      <c r="F50" s="18"/>
      <c r="G50" s="19"/>
      <c r="H50" s="18"/>
      <c r="I50" s="18"/>
    </row>
    <row r="51" customFormat="false" ht="15.75" hidden="false" customHeight="true" outlineLevel="0" collapsed="false">
      <c r="B51" s="22" t="s">
        <v>43</v>
      </c>
      <c r="C51" s="15" t="n">
        <f aca="false">COUNTIF(AVRpropriete,$B51)</f>
        <v>18</v>
      </c>
      <c r="D51" s="16" t="n">
        <f aca="false">SUMIF(AVRpropriete,B51,AVRmontant_solde_euro)</f>
        <v>16285.40590493</v>
      </c>
      <c r="E51" s="17" t="n">
        <f aca="false">D51/D$52</f>
        <v>0.114218641960029</v>
      </c>
      <c r="F51" s="18"/>
      <c r="G51" s="19" t="s">
        <v>44</v>
      </c>
      <c r="H51" s="18"/>
      <c r="I51" s="18"/>
    </row>
    <row r="52" customFormat="false" ht="15.75" hidden="false" customHeight="true" outlineLevel="0" collapsed="false">
      <c r="B52" s="23" t="s">
        <v>3</v>
      </c>
      <c r="C52" s="15" t="n">
        <f aca="false">SUM(C50:C51)</f>
        <v>26</v>
      </c>
      <c r="D52" s="24" t="n">
        <f aca="false">ROUND(SUM(D50:D51),2)</f>
        <v>142580.98</v>
      </c>
      <c r="E52" s="17"/>
      <c r="F52" s="18"/>
      <c r="G52" s="18"/>
      <c r="H52" s="18"/>
      <c r="I52" s="18"/>
    </row>
    <row r="53" customFormat="false" ht="15.75" hidden="false" customHeight="true" outlineLevel="0" collapsed="false">
      <c r="B53" s="14" t="s">
        <v>4</v>
      </c>
      <c r="C53" s="15"/>
      <c r="D53" s="16"/>
      <c r="E53" s="17"/>
      <c r="F53" s="18"/>
      <c r="G53" s="19"/>
      <c r="H53" s="18"/>
      <c r="I53" s="18"/>
    </row>
    <row r="54" customFormat="false" ht="12.75" hidden="false" customHeight="true" outlineLevel="0" collapsed="false">
      <c r="B54" s="30" t="s">
        <v>45</v>
      </c>
      <c r="C54" s="30"/>
      <c r="D54" s="31" t="n">
        <f aca="false">(ABS(D14-D4)&gt;0.5)+(ABS(D25-D4)&gt;0.5)+(ABS(D42-D4)&gt;0.5)+(ABS(D48-D4)&gt;0.5)+(ABS(D52-D4)&gt;0.5)</f>
        <v>0</v>
      </c>
      <c r="E54" s="30"/>
      <c r="F54" s="30"/>
      <c r="G54" s="30"/>
      <c r="H54" s="30"/>
      <c r="I54" s="30"/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>
      <c r="J59" s="3" t="s">
        <v>46</v>
      </c>
      <c r="K59" s="3"/>
      <c r="L59" s="2"/>
    </row>
    <row r="60" customFormat="false" ht="15.75" hidden="false" customHeight="true" outlineLevel="0" collapsed="false">
      <c r="J60" s="2"/>
      <c r="K60" s="2" t="s">
        <v>47</v>
      </c>
      <c r="L60" s="2" t="s">
        <v>48</v>
      </c>
    </row>
    <row r="61" customFormat="false" ht="15.75" hidden="false" customHeight="true" outlineLevel="0" collapsed="false">
      <c r="J61" s="32" t="s">
        <v>4</v>
      </c>
      <c r="K61" s="15"/>
      <c r="L61" s="15"/>
    </row>
    <row r="62" customFormat="false" ht="15.75" hidden="false" customHeight="true" outlineLevel="0" collapsed="false">
      <c r="J62" s="32"/>
      <c r="K62" s="33" t="s">
        <v>49</v>
      </c>
      <c r="L62" s="34" t="s">
        <v>50</v>
      </c>
    </row>
    <row r="63" customFormat="false" ht="15.75" hidden="false" customHeight="true" outlineLevel="0" collapsed="false">
      <c r="J63" s="32"/>
      <c r="K63" s="35" t="s">
        <v>49</v>
      </c>
      <c r="L63" s="34" t="s">
        <v>51</v>
      </c>
    </row>
    <row r="64" customFormat="false" ht="15.75" hidden="false" customHeight="true" outlineLevel="0" collapsed="false">
      <c r="J64" s="32"/>
      <c r="K64" s="36" t="s">
        <v>49</v>
      </c>
      <c r="L64" s="34" t="s">
        <v>52</v>
      </c>
    </row>
    <row r="65" customFormat="false" ht="15.75" hidden="false" customHeight="true" outlineLevel="0" collapsed="false">
      <c r="J65" s="14"/>
      <c r="K65" s="37" t="s">
        <v>49</v>
      </c>
      <c r="L65" s="38" t="s">
        <v>53</v>
      </c>
    </row>
    <row r="66" customFormat="false" ht="15.75" hidden="false" customHeight="true" outlineLevel="0" collapsed="false">
      <c r="J66" s="14"/>
      <c r="K66" s="39" t="s">
        <v>54</v>
      </c>
      <c r="L66" s="38" t="s">
        <v>55</v>
      </c>
    </row>
    <row r="67" customFormat="false" ht="15.75" hidden="false" customHeight="true" outlineLevel="0" collapsed="false">
      <c r="J67" s="14"/>
      <c r="K67" s="40" t="s">
        <v>54</v>
      </c>
      <c r="L67" s="38" t="s">
        <v>56</v>
      </c>
    </row>
    <row r="68" customFormat="false" ht="15.75" hidden="false" customHeight="true" outlineLevel="0" collapsed="false">
      <c r="J68" s="14"/>
      <c r="K68" s="41" t="s">
        <v>49</v>
      </c>
      <c r="L68" s="38" t="s">
        <v>57</v>
      </c>
    </row>
    <row r="69" customFormat="false" ht="15.75" hidden="false" customHeight="true" outlineLevel="0" collapsed="false">
      <c r="J69" s="14"/>
      <c r="K69" s="42" t="s">
        <v>58</v>
      </c>
      <c r="L69" s="38" t="s">
        <v>59</v>
      </c>
    </row>
    <row r="70" customFormat="false" ht="15.75" hidden="false" customHeight="true" outlineLevel="0" collapsed="false">
      <c r="J70" s="14"/>
      <c r="K70" s="42" t="s">
        <v>60</v>
      </c>
      <c r="L70" s="38" t="s">
        <v>61</v>
      </c>
    </row>
    <row r="71" customFormat="false" ht="15.75" hidden="false" customHeight="true" outlineLevel="0" collapsed="false">
      <c r="J71" s="14"/>
      <c r="K71" s="42" t="s">
        <v>62</v>
      </c>
      <c r="L71" s="38" t="s">
        <v>63</v>
      </c>
    </row>
    <row r="72" customFormat="false" ht="15.75" hidden="false" customHeight="true" outlineLevel="0" collapsed="false">
      <c r="J72" s="14"/>
      <c r="K72" s="43"/>
      <c r="L72" s="38"/>
    </row>
    <row r="73" customFormat="false" ht="15.75" hidden="false" customHeight="true" outlineLevel="0" collapsed="false">
      <c r="J73" s="14"/>
      <c r="K73" s="38" t="s">
        <v>64</v>
      </c>
      <c r="L73" s="38"/>
    </row>
    <row r="74" customFormat="false" ht="15.75" hidden="false" customHeight="true" outlineLevel="0" collapsed="false">
      <c r="J74" s="14"/>
      <c r="K74" s="43"/>
      <c r="L74" s="38"/>
    </row>
    <row r="75" customFormat="false" ht="15.75" hidden="false" customHeight="true" outlineLevel="0" collapsed="false">
      <c r="J75" s="14"/>
      <c r="K75" s="43" t="s">
        <v>3</v>
      </c>
      <c r="L75" s="38" t="s">
        <v>65</v>
      </c>
    </row>
    <row r="76" customFormat="false" ht="15.75" hidden="false" customHeight="true" outlineLevel="0" collapsed="false">
      <c r="J76" s="14"/>
      <c r="K76" s="43" t="s">
        <v>66</v>
      </c>
      <c r="L76" s="38" t="s">
        <v>67</v>
      </c>
    </row>
    <row r="77" customFormat="false" ht="15.75" hidden="false" customHeight="true" outlineLevel="0" collapsed="false">
      <c r="J77" s="14"/>
      <c r="K77" s="43" t="s">
        <v>68</v>
      </c>
      <c r="L77" s="38" t="s">
        <v>69</v>
      </c>
    </row>
    <row r="78" customFormat="false" ht="15.75" hidden="false" customHeight="true" outlineLevel="0" collapsed="false">
      <c r="J78" s="14"/>
      <c r="K78" s="43" t="s">
        <v>70</v>
      </c>
      <c r="L78" s="38" t="s">
        <v>69</v>
      </c>
    </row>
    <row r="79" customFormat="false" ht="15.75" hidden="false" customHeight="true" outlineLevel="0" collapsed="false">
      <c r="J79" s="14"/>
      <c r="K79" s="43" t="s">
        <v>71</v>
      </c>
      <c r="L79" s="38" t="s">
        <v>72</v>
      </c>
    </row>
    <row r="80" customFormat="false" ht="15.75" hidden="false" customHeight="true" outlineLevel="0" collapsed="false">
      <c r="J80" s="14"/>
      <c r="K80" s="43" t="s">
        <v>73</v>
      </c>
      <c r="L80" s="38" t="s">
        <v>74</v>
      </c>
    </row>
    <row r="81" customFormat="false" ht="15.75" hidden="false" customHeight="true" outlineLevel="0" collapsed="false">
      <c r="J81" s="14"/>
      <c r="K81" s="43" t="s">
        <v>75</v>
      </c>
      <c r="L81" s="38" t="s">
        <v>74</v>
      </c>
    </row>
    <row r="82" customFormat="false" ht="15.75" hidden="false" customHeight="true" outlineLevel="0" collapsed="false">
      <c r="J82" s="14"/>
      <c r="K82" s="43" t="s">
        <v>76</v>
      </c>
      <c r="L82" s="38" t="s">
        <v>77</v>
      </c>
    </row>
    <row r="83" customFormat="false" ht="15.75" hidden="false" customHeight="true" outlineLevel="0" collapsed="false">
      <c r="J83" s="14"/>
      <c r="K83" s="43" t="s">
        <v>78</v>
      </c>
      <c r="L83" s="38" t="s">
        <v>77</v>
      </c>
    </row>
    <row r="84" customFormat="false" ht="15.75" hidden="false" customHeight="true" outlineLevel="0" collapsed="false">
      <c r="J84" s="14"/>
      <c r="K84" s="43"/>
      <c r="L84" s="43"/>
    </row>
    <row r="85" customFormat="false" ht="15.75" hidden="false" customHeight="true" outlineLevel="0" collapsed="false">
      <c r="J85" s="14"/>
      <c r="K85" s="38" t="s">
        <v>79</v>
      </c>
      <c r="L85" s="43"/>
    </row>
    <row r="86" customFormat="false" ht="12.75" hidden="false" customHeight="true" outlineLevel="0" collapsed="false">
      <c r="J86" s="14" t="s">
        <v>4</v>
      </c>
      <c r="K86" s="43"/>
      <c r="L86" s="43"/>
    </row>
    <row r="87" customFormat="false" ht="12.75" hidden="false" customHeight="true" outlineLevel="0" collapsed="false">
      <c r="J87" s="30"/>
      <c r="K87" s="30"/>
      <c r="L87" s="30"/>
    </row>
  </sheetData>
  <conditionalFormatting sqref="D25">
    <cfRule type="cellIs" priority="2" operator="notEqual" aboveAverage="0" equalAverage="0" bottom="0" percent="0" rank="0" text="" dxfId="0">
      <formula>Avoirs!$L$32</formula>
    </cfRule>
  </conditionalFormatting>
  <conditionalFormatting sqref="D14">
    <cfRule type="cellIs" priority="3" operator="notEqual" aboveAverage="0" equalAverage="0" bottom="0" percent="0" rank="0" text="" dxfId="0">
      <formula>Avoirs!L2</formula>
    </cfRule>
  </conditionalFormatting>
  <conditionalFormatting sqref="D42">
    <cfRule type="cellIs" priority="4" operator="notEqual" aboveAverage="0" equalAverage="0" bottom="0" percent="0" rank="0" text="" dxfId="0">
      <formula>Avoirs!L2</formula>
    </cfRule>
  </conditionalFormatting>
  <conditionalFormatting sqref="D48">
    <cfRule type="cellIs" priority="5" operator="notEqual" aboveAverage="0" equalAverage="0" bottom="0" percent="0" rank="0" text="" dxfId="0">
      <formula>Avoirs!L2</formula>
    </cfRule>
  </conditionalFormatting>
  <conditionalFormatting sqref="D52">
    <cfRule type="cellIs" priority="6" operator="notEqual" aboveAverage="0" equalAverage="0" bottom="0" percent="0" rank="0" text="" dxfId="0">
      <formula>Avoirs!L2</formula>
    </cfRule>
  </conditionalFormatting>
  <conditionalFormatting sqref="B2">
    <cfRule type="expression" priority="7" aboveAverage="0" equalAverage="0" bottom="0" percent="0" rank="0" text="" dxfId="1">
      <formula>NOT(ISERROR(FIND("✗",INDIRECT("RC",0))))</formula>
    </cfRule>
    <cfRule type="expression" priority="8" aboveAverage="0" equalAverage="0" bottom="0" percent="0" rank="0" text="" dxfId="2">
      <formula>NOT(ISERROR(FIND("⚠",INDIRECT("RC",0))))</formula>
    </cfRule>
  </conditionalFormatting>
  <printOptions headings="false" gridLines="false" gridLinesSet="true" horizontalCentered="true" verticalCentered="false"/>
  <pageMargins left="0.7875" right="0.7875" top="0.7875" bottom="1.025" header="0.511811023622047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&amp;Kffffff&amp;P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D27" activeCellId="0" sqref="D27"/>
    </sheetView>
  </sheetViews>
  <sheetFormatPr defaultColWidth="9.66796875" defaultRowHeight="13.5" customHeight="true" zeroHeight="false" outlineLevelRow="0" outlineLevelCol="0"/>
  <cols>
    <col collapsed="false" customWidth="true" hidden="false" outlineLevel="0" max="1" min="1" style="44" width="27.16"/>
    <col collapsed="false" customWidth="true" hidden="false" outlineLevel="0" max="2" min="2" style="44" width="20.83"/>
    <col collapsed="false" customWidth="true" hidden="false" outlineLevel="0" max="3" min="3" style="44" width="17.52"/>
    <col collapsed="false" customWidth="true" hidden="false" outlineLevel="0" max="4" min="4" style="45" width="15.13"/>
    <col collapsed="false" customWidth="true" hidden="false" outlineLevel="0" max="5" min="5" style="45" width="9.52"/>
    <col collapsed="false" customWidth="true" hidden="false" outlineLevel="0" max="6" min="6" style="45" width="10.66"/>
    <col collapsed="false" customWidth="true" hidden="false" outlineLevel="0" max="7" min="7" style="45" width="10.16"/>
    <col collapsed="false" customWidth="true" hidden="false" outlineLevel="0" max="8" min="8" style="45" width="12.51"/>
    <col collapsed="false" customWidth="true" hidden="false" outlineLevel="0" max="9" min="9" style="44" width="14.16"/>
    <col collapsed="false" customWidth="true" hidden="false" outlineLevel="0" max="10" min="10" style="45" width="12.15"/>
    <col collapsed="false" customWidth="true" hidden="false" outlineLevel="0" max="11" min="11" style="45" width="15.85"/>
    <col collapsed="false" customWidth="true" hidden="false" outlineLevel="0" max="12" min="12" style="44" width="16.16"/>
    <col collapsed="false" customWidth="true" hidden="false" outlineLevel="0" max="13" min="13" style="44" width="27.5"/>
    <col collapsed="false" customWidth="true" hidden="false" outlineLevel="0" max="14" min="14" style="44" width="15"/>
    <col collapsed="false" customWidth="true" hidden="false" outlineLevel="0" max="15" min="15" style="44" width="22"/>
    <col collapsed="false" customWidth="true" hidden="false" outlineLevel="0" max="16" min="16" style="44" width="17.16"/>
    <col collapsed="false" customWidth="true" hidden="false" outlineLevel="0" max="17" min="17" style="44" width="7"/>
    <col collapsed="false" customWidth="false" hidden="false" outlineLevel="0" max="16382" min="18" style="44" width="9.67"/>
  </cols>
  <sheetData>
    <row r="1" customFormat="false" ht="16.5" hidden="false" customHeight="true" outlineLevel="0" collapsed="false">
      <c r="A1" s="46" t="s">
        <v>80</v>
      </c>
      <c r="B1" s="47" t="s">
        <v>81</v>
      </c>
      <c r="C1" s="5"/>
      <c r="D1" s="10"/>
      <c r="E1" s="10"/>
      <c r="F1" s="10"/>
      <c r="G1" s="10"/>
      <c r="H1" s="10"/>
      <c r="I1" s="12"/>
      <c r="J1" s="10"/>
      <c r="K1" s="10"/>
      <c r="L1" s="48" t="str">
        <f aca="false">IF(ISERROR(L32),"✗","✓")</f>
        <v>✓</v>
      </c>
    </row>
    <row r="2" customFormat="false" ht="16.5" hidden="false" customHeight="true" outlineLevel="0" collapsed="false">
      <c r="A2" s="49" t="str">
        <f aca="false">Contrôles!K$52</f>
        <v>✓</v>
      </c>
      <c r="B2" s="5"/>
      <c r="C2" s="5"/>
      <c r="D2" s="10"/>
      <c r="E2" s="10"/>
      <c r="F2" s="10"/>
      <c r="G2" s="10"/>
      <c r="H2" s="47" t="s">
        <v>82</v>
      </c>
      <c r="I2" s="49"/>
      <c r="J2" s="47" t="s">
        <v>83</v>
      </c>
      <c r="K2" s="49"/>
      <c r="L2" s="50" t="n">
        <f aca="false">L32</f>
        <v>142580.98</v>
      </c>
    </row>
    <row r="3" customFormat="false" ht="33.75" hidden="false" customHeight="true" outlineLevel="0" collapsed="false">
      <c r="A3" s="26" t="s">
        <v>84</v>
      </c>
      <c r="B3" s="47" t="s">
        <v>85</v>
      </c>
      <c r="C3" s="47" t="s">
        <v>86</v>
      </c>
      <c r="D3" s="49" t="s">
        <v>87</v>
      </c>
      <c r="E3" s="51" t="s">
        <v>88</v>
      </c>
      <c r="F3" s="49" t="s">
        <v>89</v>
      </c>
      <c r="G3" s="49" t="s">
        <v>90</v>
      </c>
      <c r="H3" s="49" t="s">
        <v>91</v>
      </c>
      <c r="I3" s="26" t="s">
        <v>92</v>
      </c>
      <c r="J3" s="49" t="s">
        <v>91</v>
      </c>
      <c r="K3" s="51" t="s">
        <v>92</v>
      </c>
      <c r="L3" s="51" t="s">
        <v>93</v>
      </c>
    </row>
    <row r="4" customFormat="false" ht="14.25" hidden="false" customHeight="true" outlineLevel="0" collapsed="false">
      <c r="A4" s="14" t="s">
        <v>4</v>
      </c>
      <c r="B4" s="52"/>
      <c r="C4" s="53"/>
      <c r="D4" s="54"/>
      <c r="E4" s="54"/>
      <c r="F4" s="55"/>
      <c r="G4" s="54"/>
      <c r="H4" s="54"/>
      <c r="I4" s="54"/>
      <c r="J4" s="54"/>
      <c r="K4" s="54"/>
      <c r="L4" s="54"/>
    </row>
    <row r="5" customFormat="false" ht="14.25" hidden="false" customHeight="true" outlineLevel="0" collapsed="false">
      <c r="A5" s="14" t="s">
        <v>94</v>
      </c>
      <c r="B5" s="52" t="s">
        <v>7</v>
      </c>
      <c r="C5" s="53" t="s">
        <v>34</v>
      </c>
      <c r="D5" s="54" t="s">
        <v>15</v>
      </c>
      <c r="E5" s="54" t="s">
        <v>95</v>
      </c>
      <c r="F5" s="55" t="s">
        <v>38</v>
      </c>
      <c r="G5" s="54" t="s">
        <v>43</v>
      </c>
      <c r="H5" s="56" t="n">
        <v>40664</v>
      </c>
      <c r="I5" s="57" t="n">
        <v>210000</v>
      </c>
      <c r="J5" s="58" t="n">
        <f aca="false">SUMIFS(PVLdate,PVLcompte,$A5,PVLtitre,Retenu)</f>
        <v>0</v>
      </c>
      <c r="K5" s="57" t="n">
        <f aca="false">SUMIFS(PVLmontant,PVLcompte,$A5,PVLtitre,Retenu)</f>
        <v>0</v>
      </c>
      <c r="L5" s="57" t="n">
        <f aca="false">K5</f>
        <v>0</v>
      </c>
    </row>
    <row r="6" customFormat="false" ht="14.25" hidden="false" customHeight="true" outlineLevel="0" collapsed="false">
      <c r="A6" s="14" t="s">
        <v>96</v>
      </c>
      <c r="B6" s="52" t="s">
        <v>7</v>
      </c>
      <c r="C6" s="53" t="s">
        <v>32</v>
      </c>
      <c r="D6" s="54" t="s">
        <v>15</v>
      </c>
      <c r="E6" s="54" t="s">
        <v>95</v>
      </c>
      <c r="F6" s="55" t="s">
        <v>38</v>
      </c>
      <c r="G6" s="54" t="s">
        <v>43</v>
      </c>
      <c r="H6" s="58" t="n">
        <f aca="false">_xlfn.MINIFS(OPdate,OPcompte,$A6,OPdevise,$E6,OPcatégorie,Solde)</f>
        <v>0</v>
      </c>
      <c r="I6" s="57" t="n">
        <f aca="false">SUMIFS(OPmontant,OPcompte,$A6,OPdevise,$E6,OPcatégorie,Solde,OPdate,$H6)</f>
        <v>0</v>
      </c>
      <c r="J6" s="58" t="n">
        <f aca="false">SUMIFS(PVLdate,PVLcompte,$A6,PVLtitre,Retenu)</f>
        <v>0</v>
      </c>
      <c r="K6" s="57" t="n">
        <f aca="false">SUMIFS(PVLmontant,PVLcompte,$A6,PVLtitre,Retenu)</f>
        <v>0</v>
      </c>
      <c r="L6" s="57" t="n">
        <f aca="false">K6</f>
        <v>0</v>
      </c>
    </row>
    <row r="7" customFormat="false" ht="14.25" hidden="false" customHeight="true" outlineLevel="0" collapsed="false">
      <c r="A7" s="14" t="s">
        <v>97</v>
      </c>
      <c r="B7" s="52" t="s">
        <v>7</v>
      </c>
      <c r="C7" s="53" t="s">
        <v>26</v>
      </c>
      <c r="D7" s="54" t="s">
        <v>15</v>
      </c>
      <c r="E7" s="54" t="s">
        <v>95</v>
      </c>
      <c r="F7" s="55" t="s">
        <v>39</v>
      </c>
      <c r="G7" s="54" t="s">
        <v>43</v>
      </c>
      <c r="H7" s="56" t="n">
        <v>45485</v>
      </c>
      <c r="I7" s="57" t="n">
        <f aca="false">SUMIFS(OPmontant,OPcompte,$A7,OPdevise,$E7,OPcatégorie,Solde,OPdate,$H7)</f>
        <v>0</v>
      </c>
      <c r="J7" s="58" t="n">
        <f aca="false">SUMIFS(PVLdate,PVLcompte,$A7,PVLtitre,Retenu)</f>
        <v>0</v>
      </c>
      <c r="K7" s="57" t="n">
        <f aca="false">SUMIFS(PVLmontant,PVLcompte,$A7,PVLtitre,Retenu)</f>
        <v>0</v>
      </c>
      <c r="L7" s="57" t="n">
        <f aca="false">K7</f>
        <v>0</v>
      </c>
    </row>
    <row r="8" customFormat="false" ht="14.25" hidden="false" customHeight="true" outlineLevel="0" collapsed="false">
      <c r="A8" s="14" t="s">
        <v>98</v>
      </c>
      <c r="B8" s="52" t="s">
        <v>7</v>
      </c>
      <c r="C8" s="53" t="s">
        <v>28</v>
      </c>
      <c r="D8" s="54" t="s">
        <v>15</v>
      </c>
      <c r="E8" s="54" t="s">
        <v>95</v>
      </c>
      <c r="F8" s="55" t="s">
        <v>39</v>
      </c>
      <c r="G8" s="54" t="s">
        <v>43</v>
      </c>
      <c r="H8" s="56" t="n">
        <v>45617</v>
      </c>
      <c r="I8" s="57" t="n">
        <f aca="false">SUMIFS(OPmontant,OPcompte,$A8,OPdevise,$E8,OPcatégorie,Solde,OPdate,$H8)</f>
        <v>0</v>
      </c>
      <c r="J8" s="58" t="n">
        <f aca="false">SUMIFS(PVLdate,PVLcompte,$A8,PVLtitre,Retenu)</f>
        <v>0</v>
      </c>
      <c r="K8" s="57" t="n">
        <f aca="false">SUMIFS(PVLmontant,PVLcompte,$A8,PVLtitre,Retenu)</f>
        <v>0</v>
      </c>
      <c r="L8" s="57" t="n">
        <f aca="false">K8</f>
        <v>0</v>
      </c>
    </row>
    <row r="9" customFormat="false" ht="14.25" hidden="false" customHeight="true" outlineLevel="0" collapsed="false">
      <c r="A9" s="14" t="s">
        <v>99</v>
      </c>
      <c r="B9" s="52" t="s">
        <v>7</v>
      </c>
      <c r="C9" s="53" t="s">
        <v>36</v>
      </c>
      <c r="D9" s="54" t="s">
        <v>15</v>
      </c>
      <c r="E9" s="54" t="s">
        <v>100</v>
      </c>
      <c r="F9" s="55" t="s">
        <v>39</v>
      </c>
      <c r="G9" s="54" t="s">
        <v>43</v>
      </c>
      <c r="H9" s="56" t="n">
        <v>45622</v>
      </c>
      <c r="I9" s="59" t="n">
        <f aca="false">SUMIFS(OPmontant,OPcompte,$A9,OPdevise,$E9,OPcatégorie,Solde,OPdate,$H9)</f>
        <v>0</v>
      </c>
      <c r="J9" s="58" t="n">
        <f aca="false">SUMIFS(PVLdate,PVLcompte,$A9,PVLtitre,Retenu)</f>
        <v>46083</v>
      </c>
      <c r="K9" s="60" t="n">
        <f aca="false">SUMIFS(PVLmontant,PVLcompte,$A9,PVLtitre,Retenu)</f>
        <v>3388.73</v>
      </c>
      <c r="L9" s="57" t="n">
        <f aca="false">K9*cours_USD</f>
        <v>2926.168355</v>
      </c>
    </row>
    <row r="10" customFormat="false" ht="14.25" hidden="false" customHeight="true" outlineLevel="0" collapsed="false">
      <c r="A10" s="14" t="s">
        <v>101</v>
      </c>
      <c r="B10" s="52" t="s">
        <v>11</v>
      </c>
      <c r="C10" s="53" t="s">
        <v>23</v>
      </c>
      <c r="D10" s="54" t="s">
        <v>17</v>
      </c>
      <c r="E10" s="54" t="s">
        <v>95</v>
      </c>
      <c r="F10" s="55" t="s">
        <v>39</v>
      </c>
      <c r="G10" s="54" t="s">
        <v>43</v>
      </c>
      <c r="H10" s="58" t="n">
        <f aca="false">_xlfn.MINIFS(OPdate,OPcompte,$A10,OPdevise,$E10,OPcatégorie,Solde)</f>
        <v>45657</v>
      </c>
      <c r="I10" s="57" t="n">
        <f aca="false">SUMIFS(OPmontant,OPcompte,$A10,OPdevise,$E10,OPcatégorie,Solde,OPdate,$H10)</f>
        <v>50</v>
      </c>
      <c r="J10" s="58" t="n">
        <f aca="false">_xlfn.MAXIFS(OPdate,OPcompte,$A10,OPdevise,$E10,OPcatégorie,Solde)</f>
        <v>45657</v>
      </c>
      <c r="K10" s="57" t="n">
        <f aca="false">SUMIFS(OPmontant,OPcompte,$A10,OPdevise,$E10,OPcatégorie,Solde,OPdate,$J10)</f>
        <v>50</v>
      </c>
      <c r="L10" s="57" t="n">
        <f aca="false">K10</f>
        <v>50</v>
      </c>
    </row>
    <row r="11" customFormat="false" ht="14.25" hidden="false" customHeight="true" outlineLevel="0" collapsed="false">
      <c r="A11" s="14" t="s">
        <v>102</v>
      </c>
      <c r="B11" s="52" t="s">
        <v>11</v>
      </c>
      <c r="C11" s="53" t="s">
        <v>26</v>
      </c>
      <c r="D11" s="54" t="s">
        <v>17</v>
      </c>
      <c r="E11" s="54" t="s">
        <v>95</v>
      </c>
      <c r="F11" s="55" t="s">
        <v>39</v>
      </c>
      <c r="G11" s="54" t="s">
        <v>43</v>
      </c>
      <c r="H11" s="56" t="n">
        <v>45292</v>
      </c>
      <c r="I11" s="57" t="n">
        <f aca="false">SUMIFS(OPmontant,OPcompte,$A11,OPdevise,$E11,OPcatégorie,Solde,OPdate,$H11)</f>
        <v>0</v>
      </c>
      <c r="J11" s="58" t="n">
        <f aca="false">_xlfn.MAXIFS(OPdate,OPcompte,$A11,OPdevise,$E11,OPcatégorie,Solde)</f>
        <v>0</v>
      </c>
      <c r="K11" s="57" t="n">
        <f aca="false">SUMIFS(OPmontant,OPcompte,$A11,OPdevise,$E11,OPcatégorie,Solde,OPdate,$J11)</f>
        <v>0</v>
      </c>
      <c r="L11" s="57" t="n">
        <f aca="false">K11</f>
        <v>0</v>
      </c>
    </row>
    <row r="12" customFormat="false" ht="14.25" hidden="false" customHeight="true" outlineLevel="0" collapsed="false">
      <c r="A12" s="14" t="s">
        <v>103</v>
      </c>
      <c r="B12" s="52" t="s">
        <v>11</v>
      </c>
      <c r="C12" s="53" t="s">
        <v>34</v>
      </c>
      <c r="D12" s="54" t="s">
        <v>17</v>
      </c>
      <c r="E12" s="54" t="s">
        <v>95</v>
      </c>
      <c r="F12" s="55" t="s">
        <v>40</v>
      </c>
      <c r="G12" s="54" t="s">
        <v>43</v>
      </c>
      <c r="H12" s="56" t="n">
        <v>28126</v>
      </c>
      <c r="I12" s="57" t="n">
        <f aca="false">SUMIFS(OPmontant,OPcompte,$A12,OPdevise,$E12,OPcatégorie,Solde,OPdate,$H12)</f>
        <v>0</v>
      </c>
      <c r="J12" s="58" t="n">
        <f aca="false">_xlfn.MAXIFS(OPdate,OPcompte,$A12,OPdevise,$E12,OPcatégorie,Solde)</f>
        <v>46092</v>
      </c>
      <c r="K12" s="57" t="n">
        <f aca="false">SUMIFS(OPmontant,OPcompte,$A12,OPdevise,$E12,OPcatégorie,Solde,OPdate,$J12)</f>
        <v>2881.92</v>
      </c>
      <c r="L12" s="57" t="n">
        <f aca="false">K12</f>
        <v>2881.92</v>
      </c>
    </row>
    <row r="13" customFormat="false" ht="14.25" hidden="false" customHeight="true" outlineLevel="0" collapsed="false">
      <c r="A13" s="14" t="s">
        <v>104</v>
      </c>
      <c r="B13" s="52" t="s">
        <v>11</v>
      </c>
      <c r="C13" s="53" t="s">
        <v>31</v>
      </c>
      <c r="D13" s="54" t="s">
        <v>17</v>
      </c>
      <c r="E13" s="54" t="s">
        <v>95</v>
      </c>
      <c r="F13" s="55" t="s">
        <v>40</v>
      </c>
      <c r="G13" s="54" t="s">
        <v>42</v>
      </c>
      <c r="H13" s="58" t="n">
        <f aca="false">_xlfn.MINIFS(OPdate,OPcompte,$A13,OPdevise,$E13,OPcatégorie,Solde)</f>
        <v>45657</v>
      </c>
      <c r="I13" s="57" t="n">
        <f aca="false">SUMIFS(OPmontant,OPcompte,$A13,OPdevise,$E13,OPcatégorie,Solde,OPdate,$H13)</f>
        <v>2500</v>
      </c>
      <c r="J13" s="58" t="n">
        <f aca="false">_xlfn.MAXIFS(OPdate,OPcompte,$A13,OPdevise,$E13,OPcatégorie,Solde)</f>
        <v>46084</v>
      </c>
      <c r="K13" s="57" t="n">
        <f aca="false">SUMIFS(OPmontant,OPcompte,$A13,OPdevise,$E13,OPcatégorie,Solde,OPdate,$J13)</f>
        <v>7</v>
      </c>
      <c r="L13" s="57" t="n">
        <f aca="false">K13</f>
        <v>7</v>
      </c>
    </row>
    <row r="14" customFormat="false" ht="14.25" hidden="false" customHeight="true" outlineLevel="0" collapsed="false">
      <c r="A14" s="14" t="s">
        <v>105</v>
      </c>
      <c r="B14" s="52" t="s">
        <v>11</v>
      </c>
      <c r="C14" s="53" t="s">
        <v>34</v>
      </c>
      <c r="D14" s="54" t="s">
        <v>17</v>
      </c>
      <c r="E14" s="54" t="s">
        <v>95</v>
      </c>
      <c r="F14" s="55" t="s">
        <v>39</v>
      </c>
      <c r="G14" s="54" t="s">
        <v>43</v>
      </c>
      <c r="H14" s="58" t="n">
        <f aca="false">_xlfn.MINIFS(OPdate,OPcompte,$A14,OPdevise,$E14,OPcatégorie,Solde)</f>
        <v>0</v>
      </c>
      <c r="I14" s="57" t="n">
        <f aca="false">SUMIFS(OPmontant,OPcompte,$A14,OPdevise,$E14,OPcatégorie,Solde,OPdate,$H14)</f>
        <v>0</v>
      </c>
      <c r="J14" s="58" t="n">
        <f aca="false">_xlfn.MAXIFS(OPdate,OPcompte,$A14,OPdevise,$E14,OPcatégorie,Solde)</f>
        <v>0</v>
      </c>
      <c r="K14" s="57" t="n">
        <f aca="false">SUMIFS(OPmontant,OPcompte,$A14,OPdevise,$E14,OPcatégorie,Solde,OPdate,$J14)</f>
        <v>0</v>
      </c>
      <c r="L14" s="57" t="n">
        <f aca="false">K14</f>
        <v>0</v>
      </c>
    </row>
    <row r="15" customFormat="false" ht="14.25" hidden="false" customHeight="true" outlineLevel="0" collapsed="false">
      <c r="A15" s="14" t="s">
        <v>106</v>
      </c>
      <c r="B15" s="52" t="s">
        <v>11</v>
      </c>
      <c r="C15" s="53" t="s">
        <v>33</v>
      </c>
      <c r="D15" s="54" t="s">
        <v>17</v>
      </c>
      <c r="E15" s="54" t="s">
        <v>95</v>
      </c>
      <c r="F15" s="55" t="s">
        <v>39</v>
      </c>
      <c r="G15" s="54" t="s">
        <v>43</v>
      </c>
      <c r="H15" s="58" t="n">
        <f aca="false">_xlfn.MINIFS(OPdate,OPcompte,$A15,OPdevise,$E15,OPcatégorie,Solde)</f>
        <v>46091</v>
      </c>
      <c r="I15" s="57" t="n">
        <f aca="false">SUMIFS(OPmontant,OPcompte,$A15,OPdevise,$E15,OPcatégorie,Solde,OPdate,$H15)</f>
        <v>10</v>
      </c>
      <c r="J15" s="58" t="n">
        <f aca="false">_xlfn.MAXIFS(OPdate,OPcompte,$A15,OPdevise,$E15,OPcatégorie,Solde)</f>
        <v>46091</v>
      </c>
      <c r="K15" s="57" t="n">
        <f aca="false">SUMIFS(OPmontant,OPcompte,$A15,OPdevise,$E15,OPcatégorie,Solde,OPdate,$J15)</f>
        <v>10</v>
      </c>
      <c r="L15" s="57" t="n">
        <f aca="false">K15</f>
        <v>10</v>
      </c>
    </row>
    <row r="16" customFormat="false" ht="14.25" hidden="false" customHeight="true" outlineLevel="0" collapsed="false">
      <c r="A16" s="14" t="s">
        <v>107</v>
      </c>
      <c r="B16" s="52" t="s">
        <v>11</v>
      </c>
      <c r="C16" s="53" t="s">
        <v>35</v>
      </c>
      <c r="D16" s="54" t="s">
        <v>17</v>
      </c>
      <c r="E16" s="54" t="s">
        <v>95</v>
      </c>
      <c r="F16" s="55" t="s">
        <v>39</v>
      </c>
      <c r="G16" s="54" t="s">
        <v>43</v>
      </c>
      <c r="H16" s="56" t="n">
        <v>45627</v>
      </c>
      <c r="I16" s="57" t="n">
        <f aca="false">SUMIFS(OPmontant,OPcompte,$A16,OPdevise,$E16,OPcatégorie,Solde,OPdate,$H16)</f>
        <v>0</v>
      </c>
      <c r="J16" s="58" t="n">
        <f aca="false">_xlfn.MAXIFS(OPdate,OPcompte,$A16,OPdevise,$E16,OPcatégorie,Solde)</f>
        <v>0</v>
      </c>
      <c r="K16" s="57" t="n">
        <f aca="false">SUMIFS(OPmontant,OPcompte,$A16,OPdevise,$E16,OPcatégorie,Solde,OPdate,$J16)</f>
        <v>0</v>
      </c>
      <c r="L16" s="57" t="n">
        <f aca="false">K16</f>
        <v>0</v>
      </c>
    </row>
    <row r="17" customFormat="false" ht="14.25" hidden="false" customHeight="true" outlineLevel="0" collapsed="false">
      <c r="A17" s="14" t="s">
        <v>108</v>
      </c>
      <c r="B17" s="52" t="s">
        <v>11</v>
      </c>
      <c r="C17" s="53" t="s">
        <v>28</v>
      </c>
      <c r="D17" s="54" t="s">
        <v>17</v>
      </c>
      <c r="E17" s="54" t="s">
        <v>95</v>
      </c>
      <c r="F17" s="55" t="s">
        <v>39</v>
      </c>
      <c r="G17" s="54" t="s">
        <v>43</v>
      </c>
      <c r="H17" s="58" t="n">
        <f aca="false">_xlfn.MINIFS(OPdate,OPcompte,$A17,OPdevise,$E17,OPcatégorie,Solde)</f>
        <v>0</v>
      </c>
      <c r="I17" s="57" t="n">
        <f aca="false">SUMIFS(OPmontant,OPcompte,$A17,OPdevise,$E17,OPcatégorie,Solde,OPdate,$H17)</f>
        <v>0</v>
      </c>
      <c r="J17" s="58" t="n">
        <f aca="false">_xlfn.MAXIFS(OPdate,OPcompte,$A17,OPdevise,$E17,OPcatégorie,Solde)</f>
        <v>0</v>
      </c>
      <c r="K17" s="57" t="n">
        <f aca="false">SUMIFS(OPmontant,OPcompte,$A17,OPdevise,$E17,OPcatégorie,Solde,OPdate,$J17)</f>
        <v>0</v>
      </c>
      <c r="L17" s="57" t="n">
        <f aca="false">K17</f>
        <v>0</v>
      </c>
    </row>
    <row r="18" customFormat="false" ht="14.25" hidden="false" customHeight="true" outlineLevel="0" collapsed="false">
      <c r="A18" s="14" t="s">
        <v>109</v>
      </c>
      <c r="B18" s="52" t="s">
        <v>11</v>
      </c>
      <c r="C18" s="53" t="s">
        <v>26</v>
      </c>
      <c r="D18" s="54" t="s">
        <v>17</v>
      </c>
      <c r="E18" s="54" t="s">
        <v>95</v>
      </c>
      <c r="F18" s="55" t="s">
        <v>39</v>
      </c>
      <c r="G18" s="54" t="s">
        <v>43</v>
      </c>
      <c r="H18" s="58" t="n">
        <f aca="false">_xlfn.MINIFS(OPdate,OPcompte,$A18,OPdevise,$E18,OPcatégorie,Solde)</f>
        <v>0</v>
      </c>
      <c r="I18" s="57" t="n">
        <f aca="false">SUMIFS(OPmontant,OPcompte,$A18,OPdevise,$E18,OPcatégorie,Solde,OPdate,$H18)</f>
        <v>0</v>
      </c>
      <c r="J18" s="58" t="n">
        <f aca="false">_xlfn.MAXIFS(OPdate,OPcompte,$A18,OPdevise,$E18,OPcatégorie,Solde)</f>
        <v>0</v>
      </c>
      <c r="K18" s="57" t="n">
        <f aca="false">SUMIFS(OPmontant,OPcompte,$A18,OPdevise,$E18,OPcatégorie,Solde,OPdate,$J18)</f>
        <v>0</v>
      </c>
      <c r="L18" s="57" t="n">
        <f aca="false">K18</f>
        <v>0</v>
      </c>
    </row>
    <row r="19" customFormat="false" ht="14.25" hidden="false" customHeight="true" outlineLevel="0" collapsed="false">
      <c r="A19" s="14" t="s">
        <v>110</v>
      </c>
      <c r="B19" s="52" t="s">
        <v>9</v>
      </c>
      <c r="C19" s="53" t="s">
        <v>35</v>
      </c>
      <c r="D19" s="54" t="s">
        <v>20</v>
      </c>
      <c r="E19" s="54" t="s">
        <v>100</v>
      </c>
      <c r="F19" s="55" t="s">
        <v>39</v>
      </c>
      <c r="G19" s="54" t="s">
        <v>43</v>
      </c>
      <c r="H19" s="56" t="n">
        <v>45653</v>
      </c>
      <c r="I19" s="59" t="n">
        <f aca="false">SUMIFS(OPmontant,OPcompte,$A19,OPdevise,$E19,OPcatégorie,Solde,OPdate,$H19)</f>
        <v>0</v>
      </c>
      <c r="J19" s="58" t="n">
        <f aca="false">_xlfn.MAXIFS(OPdate,OPcompte,$A19,OPdevise,$E19,OPcatégorie,Solde)</f>
        <v>0</v>
      </c>
      <c r="K19" s="60" t="n">
        <f aca="false">SUMIFS(OPmontant,OPcompte,$A19,OPdevise,$E19,OPcatégorie,Solde,OPdate,$J19)</f>
        <v>0</v>
      </c>
      <c r="L19" s="57" t="n">
        <f aca="false">K19*cours_USD</f>
        <v>0</v>
      </c>
    </row>
    <row r="20" customFormat="false" ht="14.25" hidden="false" customHeight="true" outlineLevel="0" collapsed="false">
      <c r="A20" s="14" t="s">
        <v>111</v>
      </c>
      <c r="B20" s="52" t="s">
        <v>9</v>
      </c>
      <c r="C20" s="53" t="s">
        <v>35</v>
      </c>
      <c r="D20" s="54" t="s">
        <v>19</v>
      </c>
      <c r="E20" s="54" t="s">
        <v>112</v>
      </c>
      <c r="F20" s="55" t="s">
        <v>39</v>
      </c>
      <c r="G20" s="54" t="s">
        <v>43</v>
      </c>
      <c r="H20" s="56" t="n">
        <v>45631</v>
      </c>
      <c r="I20" s="61" t="n">
        <f aca="false">SUMIFS(OPmontant,OPcompte,$A20,OPdevise,$E20,OPcatégorie,Solde,OPdate,$H20)</f>
        <v>0</v>
      </c>
      <c r="J20" s="58" t="n">
        <f aca="false">_xlfn.MAXIFS(OPdate,OPcompte,$A20,OPdevise,$E20,OPcatégorie,Solde)</f>
        <v>0</v>
      </c>
      <c r="K20" s="62" t="n">
        <f aca="false">SUMIFS(OPmontant,OPcompte,$A20,OPdevise,$E20,OPcatégorie,Solde,OPdate,$J20)</f>
        <v>0</v>
      </c>
      <c r="L20" s="57" t="n">
        <f aca="false">K20*cours_SGD</f>
        <v>0</v>
      </c>
    </row>
    <row r="21" customFormat="false" ht="14.25" hidden="false" customHeight="true" outlineLevel="0" collapsed="false">
      <c r="A21" s="14" t="s">
        <v>113</v>
      </c>
      <c r="B21" s="52" t="s">
        <v>9</v>
      </c>
      <c r="C21" s="53" t="s">
        <v>36</v>
      </c>
      <c r="D21" s="54" t="s">
        <v>20</v>
      </c>
      <c r="E21" s="54" t="s">
        <v>100</v>
      </c>
      <c r="F21" s="55" t="s">
        <v>39</v>
      </c>
      <c r="G21" s="54" t="s">
        <v>43</v>
      </c>
      <c r="H21" s="58" t="n">
        <f aca="false">_xlfn.MINIFS(OPdate,OPcompte,$A21,OPdevise,$E21,OPcatégorie,Solde)</f>
        <v>45621</v>
      </c>
      <c r="I21" s="59" t="n">
        <f aca="false">SUMIFS(OPmontant,OPcompte,$A21,OPdevise,$E21,OPcatégorie,Solde,OPdate,$H21)</f>
        <v>2500</v>
      </c>
      <c r="J21" s="58" t="n">
        <f aca="false">_xlfn.MAXIFS(OPdate,OPcompte,$A21,OPdevise,$E21,OPcatégorie,Solde)</f>
        <v>46050</v>
      </c>
      <c r="K21" s="60" t="n">
        <f aca="false">SUMIFS(OPmontant,OPcompte,$A21,OPdevise,$E21,OPcatégorie,Solde,OPdate,$J21)</f>
        <v>487.59</v>
      </c>
      <c r="L21" s="57" t="n">
        <f aca="false">K21*cours_USD</f>
        <v>421.033965</v>
      </c>
    </row>
    <row r="22" customFormat="false" ht="14.25" hidden="false" customHeight="true" outlineLevel="0" collapsed="false">
      <c r="A22" s="14" t="s">
        <v>114</v>
      </c>
      <c r="B22" s="52" t="s">
        <v>8</v>
      </c>
      <c r="C22" s="53" t="s">
        <v>29</v>
      </c>
      <c r="D22" s="54" t="s">
        <v>17</v>
      </c>
      <c r="E22" s="54" t="s">
        <v>95</v>
      </c>
      <c r="F22" s="55" t="s">
        <v>40</v>
      </c>
      <c r="G22" s="54" t="s">
        <v>43</v>
      </c>
      <c r="H22" s="56" t="n">
        <v>42873</v>
      </c>
      <c r="I22" s="57" t="n">
        <v>156270</v>
      </c>
      <c r="J22" s="58" t="n">
        <f aca="false">_xlfn.MAXIFS(OPdate,OPcompte,$A22,OPdevise,$E22,OPcatégorie,Solde)</f>
        <v>46058</v>
      </c>
      <c r="K22" s="57" t="n">
        <f aca="false">SUMIFS(OPmontant,OPcompte,$A22,OPdevise,$E22,OPcatégorie,Solde,OPdate,$J22)</f>
        <v>9965</v>
      </c>
      <c r="L22" s="57" t="n">
        <f aca="false">K22</f>
        <v>9965</v>
      </c>
    </row>
    <row r="23" customFormat="false" ht="14.25" hidden="false" customHeight="true" outlineLevel="0" collapsed="false">
      <c r="A23" s="14" t="s">
        <v>115</v>
      </c>
      <c r="B23" s="52" t="s">
        <v>10</v>
      </c>
      <c r="C23" s="53" t="s">
        <v>25</v>
      </c>
      <c r="D23" s="54" t="s">
        <v>18</v>
      </c>
      <c r="E23" s="54" t="s">
        <v>116</v>
      </c>
      <c r="F23" s="55" t="s">
        <v>40</v>
      </c>
      <c r="G23" s="54" t="s">
        <v>42</v>
      </c>
      <c r="H23" s="56" t="n">
        <v>44967</v>
      </c>
      <c r="I23" s="63" t="n">
        <f aca="false">SUMIFS(OPmontant,OPcompte,$A23,OPdevise,$E23,OPcatégorie,Solde,OPdate,$H23)</f>
        <v>0</v>
      </c>
      <c r="J23" s="58" t="n">
        <f aca="false">_xlfn.MAXIFS(OPdate,OPcompte,$A23,OPdevise,$E23,OPcatégorie,Solde)</f>
        <v>45292</v>
      </c>
      <c r="K23" s="64" t="n">
        <f aca="false">SUMIFS(OPmontant,OPcompte,$A23,OPdevise,$E23,OPcatégorie,Solde,OPdate,$J23)</f>
        <v>0</v>
      </c>
      <c r="L23" s="57" t="n">
        <f aca="false">K23*cours_SAT</f>
        <v>0</v>
      </c>
    </row>
    <row r="24" customFormat="false" ht="14.25" hidden="false" customHeight="true" outlineLevel="0" collapsed="false">
      <c r="A24" s="14" t="s">
        <v>117</v>
      </c>
      <c r="B24" s="52" t="s">
        <v>10</v>
      </c>
      <c r="C24" s="53" t="s">
        <v>25</v>
      </c>
      <c r="D24" s="54" t="s">
        <v>18</v>
      </c>
      <c r="E24" s="54" t="s">
        <v>116</v>
      </c>
      <c r="F24" s="55" t="s">
        <v>40</v>
      </c>
      <c r="G24" s="54" t="s">
        <v>42</v>
      </c>
      <c r="H24" s="56" t="n">
        <v>44967</v>
      </c>
      <c r="I24" s="63" t="n">
        <f aca="false">SUMIFS(OPmontant,OPcompte,$A24,OPdevise,$E24,OPcatégorie,Solde,OPdate,$H24)</f>
        <v>0</v>
      </c>
      <c r="J24" s="58" t="n">
        <f aca="false">_xlfn.MAXIFS(OPdate,OPcompte,$A24,OPdevise,$E24,OPcatégorie,Solde)</f>
        <v>45292</v>
      </c>
      <c r="K24" s="64" t="n">
        <f aca="false">SUMIFS(OPmontant,OPcompte,$A24,OPdevise,$E24,OPcatégorie,Solde,OPdate,$J24)</f>
        <v>278800</v>
      </c>
      <c r="L24" s="57" t="n">
        <f aca="false">K24*cours_SAT</f>
        <v>170.093092</v>
      </c>
    </row>
    <row r="25" customFormat="false" ht="14.25" hidden="false" customHeight="true" outlineLevel="0" collapsed="false">
      <c r="A25" s="14" t="s">
        <v>118</v>
      </c>
      <c r="B25" s="52" t="s">
        <v>10</v>
      </c>
      <c r="C25" s="53" t="s">
        <v>30</v>
      </c>
      <c r="D25" s="54" t="s">
        <v>18</v>
      </c>
      <c r="E25" s="54" t="s">
        <v>116</v>
      </c>
      <c r="F25" s="55" t="s">
        <v>40</v>
      </c>
      <c r="G25" s="54" t="s">
        <v>43</v>
      </c>
      <c r="H25" s="56" t="n">
        <v>45855</v>
      </c>
      <c r="I25" s="63" t="n">
        <f aca="false">SUMIFS(OPmontant,OPcompte,$A25,OPdevise,$E25,OPcatégorie,Solde,OPdate,$H25)</f>
        <v>0</v>
      </c>
      <c r="J25" s="58" t="n">
        <f aca="false">_xlfn.MAXIFS(OPdate,OPcompte,$A25,OPdevise,$E25,OPcatégorie,Solde)</f>
        <v>45967</v>
      </c>
      <c r="K25" s="64" t="n">
        <f aca="false">SUMIFS(OPmontant,OPcompte,$A25,OPdevise,$E25,OPcatégorie,Solde,OPdate,$J25)</f>
        <v>51277</v>
      </c>
      <c r="L25" s="57" t="n">
        <f aca="false">K25*cours_SAT</f>
        <v>31.28358493</v>
      </c>
    </row>
    <row r="26" customFormat="false" ht="14.25" hidden="false" customHeight="true" outlineLevel="0" collapsed="false">
      <c r="A26" s="14" t="s">
        <v>119</v>
      </c>
      <c r="B26" s="52" t="s">
        <v>10</v>
      </c>
      <c r="C26" s="53" t="s">
        <v>25</v>
      </c>
      <c r="D26" s="54" t="s">
        <v>21</v>
      </c>
      <c r="E26" s="54" t="s">
        <v>120</v>
      </c>
      <c r="F26" s="55" t="s">
        <v>40</v>
      </c>
      <c r="G26" s="54" t="s">
        <v>42</v>
      </c>
      <c r="H26" s="56" t="n">
        <v>44999</v>
      </c>
      <c r="I26" s="65" t="n">
        <f aca="false">SUMIFS(OPmontant,OPcompte,$A26,OPdevise,$E26,OPcatégorie,Solde,OPdate,$H26)</f>
        <v>0</v>
      </c>
      <c r="J26" s="58" t="n">
        <f aca="false">_xlfn.MAXIFS(OPdate,OPcompte,$A26,OPdevise,$E26,OPcatégorie,Solde)</f>
        <v>0</v>
      </c>
      <c r="K26" s="66" t="n">
        <f aca="false">SUMIFS(OPmontant,OPcompte,$A26,OPdevise,$E26,OPcatégorie,Solde,OPdate,$J26)</f>
        <v>0</v>
      </c>
      <c r="L26" s="57" t="n">
        <f aca="false">K26*cours_XMR</f>
        <v>0</v>
      </c>
    </row>
    <row r="27" customFormat="false" ht="14.25" hidden="false" customHeight="true" outlineLevel="0" collapsed="false">
      <c r="A27" s="14" t="s">
        <v>121</v>
      </c>
      <c r="B27" s="52" t="s">
        <v>6</v>
      </c>
      <c r="C27" s="53" t="s">
        <v>27</v>
      </c>
      <c r="D27" s="54" t="s">
        <v>16</v>
      </c>
      <c r="E27" s="54" t="s">
        <v>122</v>
      </c>
      <c r="F27" s="55" t="s">
        <v>40</v>
      </c>
      <c r="G27" s="54" t="s">
        <v>42</v>
      </c>
      <c r="H27" s="56" t="n">
        <v>45048</v>
      </c>
      <c r="I27" s="67" t="n">
        <f aca="false">SUMIFS(OPmontant,OPcompte,$A27,OPdevise,$E27,OPcatégorie,Solde,OPdate,$H27)</f>
        <v>0</v>
      </c>
      <c r="J27" s="58" t="n">
        <f aca="false">_xlfn.MAXIFS(OPdate,OPcompte,$A27,OPdevise,$E27,OPcatégorie,Solde)</f>
        <v>45457</v>
      </c>
      <c r="K27" s="68" t="n">
        <f aca="false">SUMIFS(OPmontant,OPcompte,$A27,OPdevise,$E27,OPcatégorie,Solde,OPdate,$J27)</f>
        <v>14.09344</v>
      </c>
      <c r="L27" s="57" t="n">
        <f aca="false">K27*cours_OrPr</f>
        <v>2118.4858754304</v>
      </c>
    </row>
    <row r="28" customFormat="false" ht="14.25" hidden="false" customHeight="true" outlineLevel="0" collapsed="false">
      <c r="A28" s="14" t="s">
        <v>31</v>
      </c>
      <c r="B28" s="52" t="s">
        <v>6</v>
      </c>
      <c r="C28" s="53" t="s">
        <v>31</v>
      </c>
      <c r="D28" s="54" t="s">
        <v>14</v>
      </c>
      <c r="E28" s="54"/>
      <c r="F28" s="55" t="s">
        <v>40</v>
      </c>
      <c r="G28" s="54" t="s">
        <v>42</v>
      </c>
      <c r="H28" s="56" t="n">
        <v>43750</v>
      </c>
      <c r="I28" s="57" t="n">
        <v>200000</v>
      </c>
      <c r="J28" s="58"/>
      <c r="K28" s="57" t="n">
        <v>100000</v>
      </c>
      <c r="L28" s="57" t="n">
        <f aca="false">K28</f>
        <v>100000</v>
      </c>
    </row>
    <row r="29" customFormat="false" ht="14.25" hidden="false" customHeight="true" outlineLevel="0" collapsed="false">
      <c r="A29" s="14" t="s">
        <v>24</v>
      </c>
      <c r="B29" s="52" t="s">
        <v>6</v>
      </c>
      <c r="C29" s="53" t="s">
        <v>24</v>
      </c>
      <c r="D29" s="54" t="s">
        <v>16</v>
      </c>
      <c r="E29" s="54"/>
      <c r="F29" s="55" t="s">
        <v>40</v>
      </c>
      <c r="G29" s="54" t="s">
        <v>42</v>
      </c>
      <c r="H29" s="56" t="n">
        <v>37773</v>
      </c>
      <c r="I29" s="57" t="n">
        <v>30000</v>
      </c>
      <c r="J29" s="58"/>
      <c r="K29" s="57" t="n">
        <v>9000</v>
      </c>
      <c r="L29" s="57" t="n">
        <f aca="false">K29</f>
        <v>9000</v>
      </c>
    </row>
    <row r="30" customFormat="false" ht="14.25" hidden="false" customHeight="true" outlineLevel="0" collapsed="false">
      <c r="A30" s="14" t="s">
        <v>123</v>
      </c>
      <c r="B30" s="52" t="s">
        <v>6</v>
      </c>
      <c r="C30" s="53" t="s">
        <v>31</v>
      </c>
      <c r="D30" s="54" t="s">
        <v>16</v>
      </c>
      <c r="E30" s="54"/>
      <c r="F30" s="55" t="s">
        <v>40</v>
      </c>
      <c r="G30" s="54" t="s">
        <v>42</v>
      </c>
      <c r="H30" s="54"/>
      <c r="I30" s="54"/>
      <c r="J30" s="58"/>
      <c r="K30" s="57" t="n">
        <v>15000</v>
      </c>
      <c r="L30" s="57" t="n">
        <f aca="false">K30</f>
        <v>15000</v>
      </c>
    </row>
    <row r="31" customFormat="false" ht="16.5" hidden="false" customHeight="true" outlineLevel="0" collapsed="false">
      <c r="A31" s="14" t="s">
        <v>4</v>
      </c>
      <c r="B31" s="53"/>
      <c r="C31" s="53"/>
      <c r="D31" s="54"/>
      <c r="E31" s="54"/>
      <c r="F31" s="54"/>
      <c r="G31" s="54"/>
      <c r="H31" s="54"/>
      <c r="I31" s="54"/>
      <c r="J31" s="58"/>
      <c r="K31" s="57"/>
      <c r="L31" s="57"/>
    </row>
    <row r="32" customFormat="false" ht="17.25" hidden="false" customHeight="true" outlineLevel="0" collapsed="false">
      <c r="A32" s="69" t="s">
        <v>71</v>
      </c>
      <c r="B32" s="69"/>
      <c r="C32" s="30"/>
      <c r="D32" s="70"/>
      <c r="E32" s="70"/>
      <c r="F32" s="71"/>
      <c r="G32" s="71"/>
      <c r="H32" s="71"/>
      <c r="I32" s="72"/>
      <c r="J32" s="72"/>
      <c r="K32" s="72"/>
      <c r="L32" s="72" t="n">
        <f aca="false">ROUND(SUM(AVRmontant_solde_euro),2)</f>
        <v>142580.98</v>
      </c>
    </row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>
      <c r="S67" s="73"/>
    </row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conditionalFormatting sqref="A2">
    <cfRule type="expression" priority="2" aboveAverage="0" equalAverage="0" bottom="0" percent="0" rank="0" text="" dxfId="1">
      <formula>NOT(ISERROR(FIND("✗",INDIRECT("RC",0))))</formula>
    </cfRule>
    <cfRule type="expression" priority="3" aboveAverage="0" equalAverage="0" bottom="0" percent="0" rank="0" text="" dxfId="2">
      <formula>NOT(ISERROR(FIND("⚠",INDIRECT("RC",0))))</formula>
    </cfRule>
  </conditionalFormatting>
  <conditionalFormatting sqref="L1">
    <cfRule type="expression" priority="4" aboveAverage="0" equalAverage="0" bottom="0" percent="0" rank="0" text="" dxfId="1">
      <formula>NOT(ISERROR(FIND("✗",INDIRECT("RC",0))))</formula>
    </cfRule>
    <cfRule type="expression" priority="5" aboveAverage="0" equalAverage="0" bottom="0" percent="0" rank="0" text="" dxfId="2">
      <formula>NOT(ISERROR(FIND("⚠",INDIRECT("RC",0))))</formula>
    </cfRule>
  </conditionalFormatting>
  <printOptions headings="false" gridLines="false" gridLinesSet="true" horizontalCentered="false" verticalCentered="false"/>
  <pageMargins left="0.747916666666667" right="0.747916666666667" top="0.650694444444445" bottom="0.650694444444445" header="0.511805555555556" footer="0.511805555555556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&amp;L&amp;"Helvetica Neue,Normal"&amp;K000000Comptes</oddHeader>
    <oddFooter>&amp;L&amp;"Helvetica Neue,Normal"&amp;K000000Page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83203125" defaultRowHeight="15" customHeight="true" zeroHeight="false" outlineLevelRow="0" outlineLevelCol="0"/>
  <cols>
    <col collapsed="false" customWidth="true" hidden="false" outlineLevel="0" max="1" min="1" style="44" width="33.52"/>
    <col collapsed="false" customWidth="true" hidden="false" outlineLevel="0" max="2" min="2" style="44" width="11.33"/>
    <col collapsed="false" customWidth="true" hidden="false" outlineLevel="0" max="3" min="3" style="44" width="15.33"/>
    <col collapsed="false" customWidth="true" hidden="false" outlineLevel="0" max="4" min="4" style="44" width="3"/>
    <col collapsed="false" customWidth="true" hidden="false" outlineLevel="0" max="5" min="5" style="74" width="31.68"/>
    <col collapsed="false" customWidth="true" hidden="false" outlineLevel="0" max="6" min="6" style="74" width="15.77"/>
    <col collapsed="false" customWidth="true" hidden="false" outlineLevel="0" max="7" min="7" style="74" width="12.84"/>
    <col collapsed="false" customWidth="true" hidden="false" outlineLevel="0" max="8" min="8" style="74" width="11.12"/>
    <col collapsed="false" customWidth="true" hidden="false" outlineLevel="0" max="9" min="9" style="74" width="13.16"/>
    <col collapsed="false" customWidth="true" hidden="false" outlineLevel="0" max="10" min="10" style="74" width="37"/>
    <col collapsed="false" customWidth="false" hidden="false" outlineLevel="0" max="16366" min="29" style="74" width="10.83"/>
    <col collapsed="false" customWidth="true" hidden="false" outlineLevel="0" max="16384" min="16367" style="74" width="11.53"/>
  </cols>
  <sheetData>
    <row r="1" customFormat="false" ht="16.5" hidden="false" customHeight="true" outlineLevel="0" collapsed="false">
      <c r="A1" s="51" t="str">
        <f aca="false">Contrôles!K$52</f>
        <v>✓</v>
      </c>
      <c r="B1" s="12"/>
      <c r="C1" s="75" t="n">
        <f aca="false">C$2-365</f>
        <v>45913</v>
      </c>
      <c r="D1" s="75"/>
    </row>
    <row r="2" customFormat="false" ht="16.5" hidden="false" customHeight="true" outlineLevel="0" collapsed="false">
      <c r="A2" s="12"/>
      <c r="B2" s="12"/>
      <c r="C2" s="75" t="n">
        <f aca="true">TODAY()</f>
        <v>46278</v>
      </c>
      <c r="D2" s="75"/>
    </row>
    <row r="3" customFormat="false" ht="28.5" hidden="false" customHeight="true" outlineLevel="0" collapsed="false">
      <c r="A3" s="26" t="s">
        <v>124</v>
      </c>
      <c r="B3" s="26" t="s">
        <v>85</v>
      </c>
      <c r="C3" s="26" t="s">
        <v>125</v>
      </c>
      <c r="D3" s="26"/>
    </row>
    <row r="4" customFormat="false" ht="15" hidden="false" customHeight="true" outlineLevel="0" collapsed="false">
      <c r="A4" s="32" t="s">
        <v>4</v>
      </c>
      <c r="B4" s="16"/>
      <c r="C4" s="16"/>
      <c r="D4" s="16"/>
    </row>
    <row r="5" customFormat="false" ht="16.5" hidden="false" customHeight="true" outlineLevel="0" collapsed="false">
      <c r="A5" s="32" t="s">
        <v>126</v>
      </c>
      <c r="B5" s="55" t="s">
        <v>127</v>
      </c>
      <c r="C5" s="16" t="n">
        <f aca="false">SUMIF(CATposte,A5,CATaffectation)</f>
        <v>-9.29126</v>
      </c>
      <c r="D5" s="16"/>
    </row>
    <row r="6" customFormat="false" ht="16.5" hidden="false" customHeight="true" outlineLevel="0" collapsed="false">
      <c r="A6" s="32" t="s">
        <v>128</v>
      </c>
      <c r="B6" s="55" t="s">
        <v>127</v>
      </c>
      <c r="C6" s="16" t="n">
        <f aca="false">SUMIF(CATposte,A6,CATaffectation)</f>
        <v>9.01494</v>
      </c>
      <c r="D6" s="16"/>
    </row>
    <row r="7" customFormat="false" ht="16.5" hidden="false" customHeight="true" outlineLevel="0" collapsed="false">
      <c r="A7" s="32" t="s">
        <v>129</v>
      </c>
      <c r="B7" s="55" t="s">
        <v>127</v>
      </c>
      <c r="C7" s="16" t="n">
        <f aca="false">SUMIF(CATposte,A7,CATaffectation)</f>
        <v>-120</v>
      </c>
      <c r="D7" s="16"/>
    </row>
    <row r="8" customFormat="false" ht="16.5" hidden="false" customHeight="true" outlineLevel="0" collapsed="false">
      <c r="A8" s="32" t="s">
        <v>130</v>
      </c>
      <c r="B8" s="55" t="s">
        <v>127</v>
      </c>
      <c r="C8" s="16" t="n">
        <f aca="false">SUMIF(CATposte,A8,CATaffectation)</f>
        <v>0</v>
      </c>
      <c r="D8" s="16"/>
    </row>
    <row r="9" customFormat="false" ht="16.5" hidden="false" customHeight="true" outlineLevel="0" collapsed="false">
      <c r="A9" s="32" t="s">
        <v>31</v>
      </c>
      <c r="B9" s="55" t="s">
        <v>127</v>
      </c>
      <c r="C9" s="16" t="n">
        <f aca="false">SUMIF(CATposte,A9,CATaffectation)</f>
        <v>-1670</v>
      </c>
      <c r="D9" s="16"/>
    </row>
    <row r="10" customFormat="false" ht="16.5" hidden="false" customHeight="true" outlineLevel="0" collapsed="false">
      <c r="A10" s="32" t="s">
        <v>4</v>
      </c>
      <c r="B10" s="55"/>
      <c r="C10" s="16"/>
      <c r="D10" s="16"/>
    </row>
    <row r="11" customFormat="false" ht="17.25" hidden="false" customHeight="true" outlineLevel="0" collapsed="false">
      <c r="A11" s="76" t="s">
        <v>131</v>
      </c>
      <c r="B11" s="69"/>
      <c r="C11" s="72" t="n">
        <f aca="false">SUM(POSTESmontant)</f>
        <v>-1790.27632</v>
      </c>
      <c r="D11" s="77"/>
    </row>
    <row r="12" customFormat="false" ht="16.5" hidden="false" customHeight="true" outlineLevel="0" collapsed="false">
      <c r="A12" s="78" t="s">
        <v>132</v>
      </c>
      <c r="B12" s="79"/>
      <c r="C12" s="80" t="n">
        <f aca="false">SUMIF(POSTEStype,"Fixe",POSTESmontant)</f>
        <v>-1790.27632</v>
      </c>
      <c r="D12" s="81"/>
    </row>
    <row r="13" customFormat="false" ht="17.25" hidden="false" customHeight="true" outlineLevel="0" collapsed="false">
      <c r="A13" s="78" t="s">
        <v>133</v>
      </c>
      <c r="B13" s="79"/>
      <c r="C13" s="80" t="n">
        <f aca="false">C$12/12</f>
        <v>-149.189693333333</v>
      </c>
      <c r="D13" s="82"/>
    </row>
    <row r="14" customFormat="false" ht="16.5" hidden="false" customHeight="true" outlineLevel="0" collapsed="false">
      <c r="A14" s="78" t="s">
        <v>134</v>
      </c>
      <c r="B14" s="79"/>
      <c r="C14" s="80" t="n">
        <f aca="false">ROUND(C$11-I$39,2)</f>
        <v>0</v>
      </c>
      <c r="D14" s="83"/>
    </row>
    <row r="16" customFormat="false" ht="18.75" hidden="false" customHeight="true" outlineLevel="0" collapsed="false">
      <c r="E16" s="84" t="s">
        <v>66</v>
      </c>
      <c r="F16" s="84"/>
      <c r="G16" s="84"/>
      <c r="H16" s="84"/>
      <c r="I16" s="84"/>
      <c r="J16" s="84"/>
    </row>
    <row r="17" customFormat="false" ht="37.5" hidden="false" customHeight="true" outlineLevel="0" collapsed="false">
      <c r="E17" s="85" t="s">
        <v>135</v>
      </c>
      <c r="F17" s="86" t="s">
        <v>95</v>
      </c>
      <c r="G17" s="26" t="s">
        <v>136</v>
      </c>
      <c r="H17" s="51" t="s">
        <v>137</v>
      </c>
      <c r="I17" s="26" t="s">
        <v>138</v>
      </c>
      <c r="J17" s="26" t="s">
        <v>124</v>
      </c>
    </row>
    <row r="18" customFormat="false" ht="15" hidden="false" customHeight="true" outlineLevel="0" collapsed="false">
      <c r="E18" s="85" t="s">
        <v>139</v>
      </c>
      <c r="F18" s="87" t="n">
        <f aca="false">INDEX(COTcours,MATCH($F$17,COTcode,0))</f>
        <v>1</v>
      </c>
      <c r="G18" s="12"/>
      <c r="H18" s="88"/>
      <c r="I18" s="89"/>
      <c r="J18" s="89"/>
    </row>
    <row r="19" customFormat="false" ht="15" hidden="false" customHeight="true" outlineLevel="0" collapsed="false">
      <c r="E19" s="32" t="s">
        <v>4</v>
      </c>
      <c r="F19" s="16"/>
      <c r="G19" s="16"/>
      <c r="H19" s="90"/>
      <c r="I19" s="16"/>
      <c r="J19" s="91"/>
    </row>
    <row r="20" customFormat="false" ht="16.5" hidden="false" customHeight="true" outlineLevel="0" collapsed="false">
      <c r="E20" s="32" t="s">
        <v>140</v>
      </c>
      <c r="F20" s="16" t="n">
        <f aca="false">SUMIFS(OPmontant,OPdevise,F$17,OPcatégorie,$E20,OPdate,"&gt;"&amp;$C$2-365)</f>
        <v>-1018.08</v>
      </c>
      <c r="G20" s="16" t="n">
        <f aca="false">SUMPRODUCT(SUMIFS(OPmontant,OPcatégorie,$E20,OPdate,"&gt;"&amp;$C$2-365,OPdevise,COTcode)*COTcours)</f>
        <v>8.630135</v>
      </c>
      <c r="H20" s="90"/>
      <c r="I20" s="16"/>
      <c r="J20" s="91"/>
    </row>
    <row r="21" customFormat="false" ht="16.5" hidden="false" customHeight="true" outlineLevel="0" collapsed="false">
      <c r="E21" s="32" t="s">
        <v>141</v>
      </c>
      <c r="F21" s="16" t="n">
        <f aca="false">SUMIFS(OPmontant,OPdevise,F$17,OPcatégorie,$E21,OPdate,"&gt;"&amp;$C$2-365)</f>
        <v>0</v>
      </c>
      <c r="G21" s="16" t="n">
        <f aca="false">SUMPRODUCT(SUMIFS(OPmontant,OPcatégorie,$E21,OPdate,"&gt;"&amp;$C$2-365,OPdevise,COTcode)*COTcours)</f>
        <v>0</v>
      </c>
      <c r="H21" s="90"/>
      <c r="I21" s="16"/>
      <c r="J21" s="91"/>
    </row>
    <row r="22" customFormat="false" ht="16.5" hidden="false" customHeight="true" outlineLevel="0" collapsed="false">
      <c r="E22" s="32" t="s">
        <v>142</v>
      </c>
      <c r="F22" s="16" t="n">
        <f aca="false">SUMIFS(OPmontant,OPdevise,F$17,OPcatégorie,$E22,OPdate,"&gt;"&amp;$C$2-365)</f>
        <v>0</v>
      </c>
      <c r="G22" s="16" t="n">
        <f aca="false">SUMPRODUCT(SUMIFS(OPmontant,OPcatégorie,$E22,OPdate,"&gt;"&amp;$C$2-365,OPdevise,COTcode)*COTcours)</f>
        <v>0</v>
      </c>
      <c r="H22" s="16"/>
      <c r="I22" s="16"/>
      <c r="J22" s="52"/>
    </row>
    <row r="23" customFormat="false" ht="16.5" hidden="false" customHeight="true" outlineLevel="0" collapsed="false">
      <c r="E23" s="32" t="s">
        <v>143</v>
      </c>
      <c r="F23" s="16" t="n">
        <f aca="false">SUMIFS(OPmontant,OPdevise,F$17,OPcatégorie,$E23,OPdate,"&gt;"&amp;$C$2-365)</f>
        <v>0</v>
      </c>
      <c r="G23" s="16" t="n">
        <f aca="false">SUMPRODUCT(SUMIFS(OPmontant,OPcatégorie,$E23,OPdate,"&gt;"&amp;$C$2-365,OPdevise,COTcode)*COTcours)</f>
        <v>0</v>
      </c>
      <c r="H23" s="16"/>
      <c r="I23" s="16"/>
      <c r="J23" s="52"/>
    </row>
    <row r="24" customFormat="false" ht="16.5" hidden="false" customHeight="true" outlineLevel="0" collapsed="false">
      <c r="E24" s="32" t="s">
        <v>144</v>
      </c>
      <c r="F24" s="16" t="n">
        <f aca="false">SUMIFS(OPmontant,OPdevise,F$17,OPcatégorie,$E24,OPdate,"&gt;"&amp;$C$2-365)</f>
        <v>0</v>
      </c>
      <c r="G24" s="16" t="n">
        <f aca="false">SUMPRODUCT(SUMIFS(OPmontant,OPcatégorie,$E24,OPdate,"&gt;"&amp;$C$2-365,OPdevise,COTcode)*COTcours)</f>
        <v>0</v>
      </c>
      <c r="H24" s="16"/>
      <c r="I24" s="16"/>
      <c r="J24" s="52"/>
    </row>
    <row r="25" customFormat="false" ht="16.5" hidden="false" customHeight="true" outlineLevel="0" collapsed="false">
      <c r="E25" s="32" t="s">
        <v>145</v>
      </c>
      <c r="F25" s="16" t="n">
        <f aca="false">SUMIFS(OPmontant,OPdevise,F$17,OPcatégorie,$E25,OPdate,"&gt;"&amp;$C$2-365)</f>
        <v>0</v>
      </c>
      <c r="G25" s="16" t="n">
        <f aca="false">SUMPRODUCT(SUMIFS(OPmontant,OPcatégorie,$E25,OPdate,"&gt;"&amp;$C$2-365,OPdevise,COTcode)*COTcours)</f>
        <v>0</v>
      </c>
      <c r="H25" s="90"/>
      <c r="I25" s="16"/>
      <c r="J25" s="91"/>
    </row>
    <row r="26" customFormat="false" ht="16.5" hidden="false" customHeight="true" outlineLevel="0" collapsed="false">
      <c r="E26" s="32" t="s">
        <v>12</v>
      </c>
      <c r="F26" s="16" t="n">
        <f aca="false">SUMIFS(OPmontant,OPdevise,F$17,OPcatégorie,$E26,OPdate,"&gt;"&amp;$C$2-365)</f>
        <v>0</v>
      </c>
      <c r="G26" s="16" t="n">
        <f aca="false">SUMPRODUCT(SUMIFS(OPmontant,OPcatégorie,$E26,OPdate,"&gt;"&amp;$C$2-365,OPdevise,COTcode)*COTcours)</f>
        <v>0</v>
      </c>
      <c r="H26" s="92" t="n">
        <v>1</v>
      </c>
      <c r="I26" s="16" t="n">
        <f aca="false">G26*H26</f>
        <v>0</v>
      </c>
      <c r="J26" s="52" t="s">
        <v>126</v>
      </c>
    </row>
    <row r="27" customFormat="false" ht="16.5" hidden="false" customHeight="true" outlineLevel="0" collapsed="false">
      <c r="E27" s="32" t="s">
        <v>146</v>
      </c>
      <c r="F27" s="16" t="n">
        <f aca="false">SUMIFS(OPmontant,OPdevise,F$17,OPcatégorie,$E27,OPdate,"&gt;"&amp;$C$2-365)</f>
        <v>0</v>
      </c>
      <c r="G27" s="16" t="n">
        <f aca="false">SUMPRODUCT(SUMIFS(OPmontant,OPcatégorie,$E27,OPdate,"&gt;"&amp;$C$2-365,OPdevise,COTcode)*COTcours)</f>
        <v>-0.65626</v>
      </c>
      <c r="H27" s="92" t="n">
        <v>1</v>
      </c>
      <c r="I27" s="16" t="n">
        <f aca="false">G27*H27</f>
        <v>-0.65626</v>
      </c>
      <c r="J27" s="52" t="s">
        <v>126</v>
      </c>
    </row>
    <row r="28" customFormat="false" ht="16.5" hidden="false" customHeight="true" outlineLevel="0" collapsed="false">
      <c r="E28" s="32" t="s">
        <v>147</v>
      </c>
      <c r="F28" s="16" t="n">
        <f aca="false">SUMIFS(OPmontant,OPdevise,F$17,OPcatégorie,$E28,OPdate,"&gt;"&amp;$C$2-365)</f>
        <v>0</v>
      </c>
      <c r="G28" s="16" t="n">
        <f aca="false">SUMPRODUCT(SUMIFS(OPmontant,OPcatégorie,$E28,OPdate,"&gt;"&amp;$C$2-365,OPdevise,COTcode)*COTcours)</f>
        <v>9.01494</v>
      </c>
      <c r="H28" s="92" t="n">
        <v>1</v>
      </c>
      <c r="I28" s="16" t="n">
        <f aca="false">G28*H28</f>
        <v>9.01494</v>
      </c>
      <c r="J28" s="52" t="s">
        <v>128</v>
      </c>
    </row>
    <row r="29" customFormat="false" ht="16.5" hidden="false" customHeight="true" outlineLevel="0" collapsed="false">
      <c r="E29" s="32" t="s">
        <v>148</v>
      </c>
      <c r="F29" s="16" t="n">
        <f aca="false">SUMIFS(OPmontant,OPdevise,F$17,OPcatégorie,$E29,OPdate,"&gt;"&amp;$C$2-365)</f>
        <v>0</v>
      </c>
      <c r="G29" s="16" t="n">
        <f aca="false">SUMPRODUCT(SUMIFS(OPmontant,OPcatégorie,$E29,OPdate,"&gt;"&amp;$C$2-365,OPdevise,COTcode)*COTcours)</f>
        <v>-8.635</v>
      </c>
      <c r="H29" s="92" t="n">
        <v>1</v>
      </c>
      <c r="I29" s="16" t="n">
        <f aca="false">G29*H29</f>
        <v>-8.635</v>
      </c>
      <c r="J29" s="52" t="s">
        <v>126</v>
      </c>
    </row>
    <row r="30" customFormat="false" ht="16.5" hidden="false" customHeight="true" outlineLevel="0" collapsed="false">
      <c r="E30" s="32" t="s">
        <v>149</v>
      </c>
      <c r="F30" s="16" t="n">
        <f aca="false">SUMIFS(OPmontant,OPdevise,F$17,OPcatégorie,$E30,OPdate,"&gt;"&amp;$C$2-365)</f>
        <v>0</v>
      </c>
      <c r="G30" s="16" t="n">
        <f aca="false">SUMPRODUCT(SUMIFS(OPmontant,OPcatégorie,$E30,OPdate,"&gt;"&amp;$C$2-365,OPdevise,COTcode)*COTcours)</f>
        <v>0</v>
      </c>
      <c r="H30" s="92" t="n">
        <v>1</v>
      </c>
      <c r="I30" s="16" t="n">
        <f aca="false">G30*H30</f>
        <v>0</v>
      </c>
      <c r="J30" s="52" t="s">
        <v>128</v>
      </c>
    </row>
    <row r="31" customFormat="false" ht="16.5" hidden="false" customHeight="true" outlineLevel="0" collapsed="false">
      <c r="E31" s="32" t="s">
        <v>150</v>
      </c>
      <c r="F31" s="16" t="n">
        <f aca="false">SUMIFS(OPmontant,OPdevise,F$17,OPcatégorie,$E31,OPdate,"&gt;"&amp;$C$2-365)</f>
        <v>-120</v>
      </c>
      <c r="G31" s="16" t="n">
        <f aca="false">SUMPRODUCT(SUMIFS(OPmontant,OPcatégorie,$E31,OPdate,"&gt;"&amp;$C$2-365,OPdevise,COTcode)*COTcours)</f>
        <v>-120</v>
      </c>
      <c r="H31" s="92" t="n">
        <v>1</v>
      </c>
      <c r="I31" s="16" t="n">
        <f aca="false">G31*H31</f>
        <v>-120</v>
      </c>
      <c r="J31" s="52" t="s">
        <v>129</v>
      </c>
    </row>
    <row r="32" customFormat="false" ht="16.5" hidden="false" customHeight="true" outlineLevel="0" collapsed="false">
      <c r="E32" s="32" t="s">
        <v>31</v>
      </c>
      <c r="F32" s="16" t="n">
        <f aca="false">SUMIFS(OPmontant,OPdevise,F$17,OPcatégorie,$E32,OPdate,"&gt;"&amp;$C$2-365)</f>
        <v>-1670</v>
      </c>
      <c r="G32" s="16" t="n">
        <f aca="false">SUMPRODUCT(SUMIFS(OPmontant,OPcatégorie,$E32,OPdate,"&gt;"&amp;$C$2-365,OPdevise,COTcode)*COTcours)</f>
        <v>-1670</v>
      </c>
      <c r="H32" s="92" t="n">
        <v>1</v>
      </c>
      <c r="I32" s="16" t="n">
        <f aca="false">G32*H32</f>
        <v>-1670</v>
      </c>
      <c r="J32" s="52" t="s">
        <v>31</v>
      </c>
    </row>
    <row r="33" customFormat="false" ht="16.5" hidden="false" customHeight="true" outlineLevel="0" collapsed="false">
      <c r="E33" s="32" t="s">
        <v>151</v>
      </c>
      <c r="F33" s="16" t="n">
        <f aca="false">SUMIFS(OPmontant,OPdevise,F$17,OPcatégorie,$E33,OPdate,"&gt;"&amp;$C$2-365)</f>
        <v>0</v>
      </c>
      <c r="G33" s="16" t="n">
        <f aca="false">SUMPRODUCT(SUMIFS(OPmontant,OPcatégorie,$E33,OPdate,"&gt;"&amp;$C$2-365,OPdevise,COTcode)*COTcours)</f>
        <v>0</v>
      </c>
      <c r="H33" s="92" t="n">
        <v>1</v>
      </c>
      <c r="I33" s="16" t="n">
        <f aca="false">G33*H33</f>
        <v>0</v>
      </c>
      <c r="J33" s="52" t="s">
        <v>129</v>
      </c>
    </row>
    <row r="34" customFormat="false" ht="16.5" hidden="false" customHeight="true" outlineLevel="0" collapsed="false">
      <c r="E34" s="32" t="s">
        <v>130</v>
      </c>
      <c r="F34" s="16" t="n">
        <f aca="false">SUMIFS(OPmontant,OPdevise,F$17,OPcatégorie,$E34,OPdate,"&gt;"&amp;$C$2-365)</f>
        <v>0</v>
      </c>
      <c r="G34" s="16" t="n">
        <f aca="false">SUMPRODUCT(SUMIFS(OPmontant,OPcatégorie,$E34,OPdate,"&gt;"&amp;$C$2-365,OPdevise,COTcode)*COTcours)</f>
        <v>0</v>
      </c>
      <c r="H34" s="92" t="n">
        <v>1</v>
      </c>
      <c r="I34" s="16" t="n">
        <f aca="false">G34*H34</f>
        <v>0</v>
      </c>
      <c r="J34" s="52" t="s">
        <v>130</v>
      </c>
    </row>
    <row r="35" customFormat="false" ht="17.25" hidden="false" customHeight="true" outlineLevel="0" collapsed="false">
      <c r="E35" s="32" t="s">
        <v>4</v>
      </c>
      <c r="F35" s="16"/>
      <c r="G35" s="16"/>
      <c r="H35" s="16"/>
      <c r="I35" s="16"/>
      <c r="J35" s="52"/>
    </row>
    <row r="36" customFormat="false" ht="19.5" hidden="false" customHeight="true" outlineLevel="0" collapsed="false">
      <c r="E36" s="76" t="s">
        <v>71</v>
      </c>
      <c r="F36" s="72" t="n">
        <f aca="false">SUM(CATmontant)</f>
        <v>-2808.08</v>
      </c>
      <c r="G36" s="72" t="n">
        <f aca="false">SUM(CATtotal_euro)</f>
        <v>-1781.646185</v>
      </c>
      <c r="H36" s="93"/>
      <c r="I36" s="72"/>
      <c r="J36" s="93"/>
    </row>
    <row r="37" customFormat="false" ht="18" hidden="false" customHeight="true" outlineLevel="0" collapsed="false">
      <c r="E37" s="78" t="s">
        <v>152</v>
      </c>
      <c r="F37" s="80" t="n">
        <f aca="false">SUMIFS(OPmontant,OPdevise,F$17,OPdate,"&gt;"&amp;$C$2-365,OPcatégorie,"&lt;&gt;"&amp;Spéciale)</f>
        <v>-2808.08</v>
      </c>
      <c r="G37" s="80" t="n">
        <f aca="false">SUMPRODUCT(SUMIFS(OPmontant,OPdate,"&gt;"&amp;$C$2-365,OPcatégorie,"&lt;&gt;"&amp;Spéciale,OPdevise,COTcode)*COTcours)</f>
        <v>-1781.646185</v>
      </c>
      <c r="H37" s="94"/>
      <c r="I37" s="80"/>
      <c r="J37" s="94"/>
    </row>
    <row r="38" customFormat="false" ht="16.5" hidden="false" customHeight="true" outlineLevel="0" collapsed="false">
      <c r="E38" s="78" t="s">
        <v>153</v>
      </c>
      <c r="F38" s="80" t="n">
        <f aca="false">ROUND(F$36-F$37,2)</f>
        <v>0</v>
      </c>
      <c r="G38" s="80" t="n">
        <f aca="false">ROUND(G$36-G$37,2)</f>
        <v>0</v>
      </c>
      <c r="H38" s="94"/>
      <c r="I38" s="80"/>
      <c r="J38" s="94"/>
    </row>
    <row r="39" customFormat="false" ht="21.75" hidden="false" customHeight="true" outlineLevel="0" collapsed="false">
      <c r="E39" s="78" t="s">
        <v>154</v>
      </c>
      <c r="F39" s="80" t="n">
        <f aca="false">SUMIFS(CATmontant,CATnom,"&lt;&gt;@*")</f>
        <v>-1790</v>
      </c>
      <c r="G39" s="80" t="n">
        <f aca="false">SUMIFS(CATtotal_euro,CATnom,"&lt;&gt;@*")</f>
        <v>-1790.27632</v>
      </c>
      <c r="H39" s="94"/>
      <c r="I39" s="80" t="n">
        <f aca="false">SUMIFS(CATaffectation,CATnom,"&lt;&gt;@*")</f>
        <v>-1790.27632</v>
      </c>
      <c r="J39" s="94"/>
    </row>
    <row r="40" customFormat="false" ht="16.5" hidden="false" customHeight="true" outlineLevel="0" collapsed="false">
      <c r="E40" s="78" t="s">
        <v>155</v>
      </c>
      <c r="F40" s="80" t="n">
        <f aca="false">F$39*INDEX(COTcours,MATCH($F$17,COTcode,0))</f>
        <v>-1790</v>
      </c>
      <c r="G40" s="80" t="n">
        <f aca="false">SUM(F$40)</f>
        <v>-1790</v>
      </c>
      <c r="H40" s="94"/>
      <c r="I40" s="80"/>
      <c r="J40" s="94"/>
    </row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E16:J16"/>
  </mergeCells>
  <conditionalFormatting sqref="I39">
    <cfRule type="cellIs" priority="2" operator="notEqual" aboveAverage="0" equalAverage="0" bottom="0" percent="0" rank="0" text="" dxfId="3">
      <formula>$G$39</formula>
    </cfRule>
    <cfRule type="cellIs" priority="3" operator="notEqual" aboveAverage="0" equalAverage="0" bottom="0" percent="0" rank="0" text="" dxfId="3">
      <formula>$G$39</formula>
    </cfRule>
  </conditionalFormatting>
  <conditionalFormatting sqref="C14 G38">
    <cfRule type="cellIs" priority="4" operator="notEqual" aboveAverage="0" equalAverage="0" bottom="0" percent="0" rank="0" text="" dxfId="4">
      <formula>0</formula>
    </cfRule>
  </conditionalFormatting>
  <conditionalFormatting sqref="H26:H34">
    <cfRule type="cellIs" priority="5" operator="lessThan" aboveAverage="0" equalAverage="0" bottom="0" percent="0" rank="0" text="" dxfId="5">
      <formula>1</formula>
    </cfRule>
  </conditionalFormatting>
  <conditionalFormatting sqref="A1">
    <cfRule type="expression" priority="6" aboveAverage="0" equalAverage="0" bottom="0" percent="0" rank="0" text="" dxfId="1">
      <formula>NOT(ISERROR(FIND("✗",INDIRECT("RC",0))))</formula>
    </cfRule>
    <cfRule type="expression" priority="7" aboveAverage="0" equalAverage="0" bottom="0" percent="0" rank="0" text="" dxfId="2">
      <formula>NOT(ISERROR(FIND("⚠",INDIRECT("RC",0))))</formula>
    </cfRule>
  </conditionalFormatting>
  <conditionalFormatting sqref="F20:F34">
    <cfRule type="expression" priority="8" aboveAverage="0" equalAverage="0" bottom="0" percent="0" rank="0" text="" dxfId="6">
      <formula>$F$17="EUR"</formula>
    </cfRule>
    <cfRule type="expression" priority="9" aboveAverage="0" equalAverage="0" bottom="0" percent="0" rank="0" text="" dxfId="7">
      <formula>$F$17="XAU"</formula>
    </cfRule>
    <cfRule type="expression" priority="10" aboveAverage="0" equalAverage="0" bottom="0" percent="0" rank="0" text="" dxfId="8">
      <formula>$F$17="OrPr"</formula>
    </cfRule>
    <cfRule type="expression" priority="11" aboveAverage="0" equalAverage="0" bottom="0" percent="0" rank="0" text="" dxfId="9">
      <formula>$F$17="BTC"</formula>
    </cfRule>
    <cfRule type="expression" priority="12" aboveAverage="0" equalAverage="0" bottom="0" percent="0" rank="0" text="" dxfId="10">
      <formula>$F$17="SAT"</formula>
    </cfRule>
    <cfRule type="expression" priority="13" aboveAverage="0" equalAverage="0" bottom="0" percent="0" rank="0" text="" dxfId="11">
      <formula>$F$17="XMR"</formula>
    </cfRule>
    <cfRule type="expression" priority="14" aboveAverage="0" equalAverage="0" bottom="0" percent="0" rank="0" text="" dxfId="12">
      <formula>$F$17="USD"</formula>
    </cfRule>
    <cfRule type="expression" priority="15" aboveAverage="0" equalAverage="0" bottom="0" percent="0" rank="0" text="" dxfId="13">
      <formula>$F$17="SGD"</formula>
    </cfRule>
  </conditionalFormatting>
  <conditionalFormatting sqref="F36:F39">
    <cfRule type="expression" priority="16" aboveAverage="0" equalAverage="0" bottom="0" percent="0" rank="0" text="" dxfId="6">
      <formula>$F$17="EUR"</formula>
    </cfRule>
    <cfRule type="expression" priority="17" aboveAverage="0" equalAverage="0" bottom="0" percent="0" rank="0" text="" dxfId="14">
      <formula>$F$17="XAU"</formula>
    </cfRule>
    <cfRule type="expression" priority="18" aboveAverage="0" equalAverage="0" bottom="0" percent="0" rank="0" text="" dxfId="15">
      <formula>$F$17="OrPr"</formula>
    </cfRule>
    <cfRule type="expression" priority="19" aboveAverage="0" equalAverage="0" bottom="0" percent="0" rank="0" text="" dxfId="16">
      <formula>$F$17="BTC"</formula>
    </cfRule>
    <cfRule type="expression" priority="20" aboveAverage="0" equalAverage="0" bottom="0" percent="0" rank="0" text="" dxfId="17">
      <formula>$F$17="SAT"</formula>
    </cfRule>
    <cfRule type="expression" priority="21" aboveAverage="0" equalAverage="0" bottom="0" percent="0" rank="0" text="" dxfId="18">
      <formula>$F$17="XMR"</formula>
    </cfRule>
    <cfRule type="expression" priority="22" aboveAverage="0" equalAverage="0" bottom="0" percent="0" rank="0" text="" dxfId="19">
      <formula>$F$17="USD"</formula>
    </cfRule>
    <cfRule type="expression" priority="23" aboveAverage="0" equalAverage="0" bottom="0" percent="0" rank="0" text="" dxfId="20">
      <formula>$F$17="SGD"</formula>
    </cfRule>
  </conditionalFormatting>
  <dataValidations count="1">
    <dataValidation allowBlank="true" errorStyle="stop" operator="equal" showDropDown="false" showErrorMessage="true" showInputMessage="false" sqref="F17" type="list">
      <formula1>Cotations!$E$4:$E$11</formula1>
      <formula2>0</formula2>
    </dataValidation>
  </dataValidations>
  <printOptions headings="false" gridLines="false" gridLinesSet="true" horizontalCentered="false" verticalCentered="false"/>
  <pageMargins left="0.75" right="0.7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E6" activeCellId="0" sqref="E6"/>
    </sheetView>
  </sheetViews>
  <sheetFormatPr defaultColWidth="13.1640625" defaultRowHeight="15" customHeight="true" zeroHeight="false" outlineLevelRow="0" outlineLevelCol="0"/>
  <cols>
    <col collapsed="false" customWidth="true" hidden="false" outlineLevel="0" max="1" min="1" style="74" width="25.15"/>
    <col collapsed="false" customWidth="true" hidden="false" outlineLevel="0" max="2" min="2" style="74" width="31.42"/>
    <col collapsed="false" customWidth="true" hidden="false" outlineLevel="0" max="3" min="3" style="74" width="28.57"/>
    <col collapsed="false" customWidth="true" hidden="false" outlineLevel="0" max="4" min="4" style="74" width="15.09"/>
    <col collapsed="false" customWidth="true" hidden="false" outlineLevel="0" max="5" min="5" style="95" width="17.62"/>
    <col collapsed="false" customWidth="true" hidden="false" outlineLevel="0" max="6" min="6" style="74" width="13.67"/>
    <col collapsed="false" customWidth="true" hidden="false" outlineLevel="0" max="7" min="7" style="95" width="9.16"/>
    <col collapsed="false" customWidth="true" hidden="false" outlineLevel="0" max="8" min="8" style="74" width="15.66"/>
    <col collapsed="false" customWidth="true" hidden="false" outlineLevel="0" max="9" min="9" style="74" width="17.74"/>
    <col collapsed="false" customWidth="true" hidden="false" outlineLevel="0" max="10" min="10" style="74" width="15.66"/>
    <col collapsed="false" customWidth="true" hidden="false" outlineLevel="0" max="11" min="11" style="95" width="17.74"/>
    <col collapsed="false" customWidth="true" hidden="false" outlineLevel="0" max="12" min="12" style="95" width="13.67"/>
    <col collapsed="false" customWidth="false" hidden="false" outlineLevel="0" max="16379" min="13" style="74" width="13.16"/>
    <col collapsed="false" customWidth="true" hidden="false" outlineLevel="0" max="16384" min="16380" style="74" width="11.53"/>
  </cols>
  <sheetData>
    <row r="1" customFormat="false" ht="16.5" hidden="false" customHeight="true" outlineLevel="0" collapsed="false">
      <c r="A1" s="85" t="str">
        <f aca="false">Contrôles!$K52</f>
        <v>✓</v>
      </c>
      <c r="B1" s="47" t="s">
        <v>156</v>
      </c>
      <c r="C1" s="12"/>
      <c r="D1" s="85"/>
      <c r="E1" s="12"/>
      <c r="F1" s="85"/>
      <c r="G1" s="12"/>
      <c r="H1" s="12"/>
      <c r="I1" s="12"/>
      <c r="J1" s="85"/>
      <c r="K1" s="85"/>
    </row>
    <row r="2" customFormat="false" ht="16.5" hidden="false" customHeight="true" outlineLevel="0" collapsed="false">
      <c r="A2" s="47"/>
      <c r="B2" s="47" t="s">
        <v>157</v>
      </c>
      <c r="C2" s="47"/>
      <c r="D2" s="85"/>
      <c r="E2" s="12"/>
      <c r="F2" s="85"/>
      <c r="G2" s="12"/>
      <c r="H2" s="12"/>
      <c r="I2" s="12"/>
      <c r="J2" s="47"/>
      <c r="K2" s="12"/>
    </row>
    <row r="3" customFormat="false" ht="16.5" hidden="false" customHeight="true" outlineLevel="0" collapsed="false">
      <c r="A3" s="47"/>
      <c r="B3" s="47" t="str">
        <f aca="false">IF(OR(ISERROR(E53),ISERROR(K53)),"✗","✓")</f>
        <v>✓</v>
      </c>
      <c r="C3" s="47"/>
      <c r="D3" s="85"/>
      <c r="E3" s="11" t="n">
        <f aca="false">E53</f>
        <v>1455.0077973604</v>
      </c>
      <c r="F3" s="85"/>
      <c r="G3" s="96" t="n">
        <f aca="false">G53</f>
        <v>44927</v>
      </c>
      <c r="H3" s="47"/>
      <c r="I3" s="12"/>
      <c r="J3" s="47"/>
      <c r="K3" s="12"/>
    </row>
    <row r="4" customFormat="false" ht="24.75" hidden="false" customHeight="true" outlineLevel="0" collapsed="false">
      <c r="A4" s="97" t="s">
        <v>158</v>
      </c>
      <c r="B4" s="26" t="s">
        <v>75</v>
      </c>
      <c r="C4" s="26" t="s">
        <v>159</v>
      </c>
      <c r="D4" s="26" t="s">
        <v>88</v>
      </c>
      <c r="E4" s="98" t="s">
        <v>160</v>
      </c>
      <c r="F4" s="26" t="s">
        <v>161</v>
      </c>
      <c r="G4" s="51" t="s">
        <v>162</v>
      </c>
      <c r="H4" s="26" t="s">
        <v>163</v>
      </c>
      <c r="I4" s="99" t="s">
        <v>164</v>
      </c>
      <c r="J4" s="51" t="s">
        <v>165</v>
      </c>
      <c r="K4" s="99" t="s">
        <v>166</v>
      </c>
    </row>
    <row r="5" customFormat="false" ht="16.5" hidden="false" customHeight="true" outlineLevel="0" collapsed="false">
      <c r="A5" s="32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customFormat="false" ht="16.5" hidden="false" customHeight="true" outlineLevel="0" collapsed="false">
      <c r="A6" s="100" t="s">
        <v>167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customFormat="false" ht="16.5" hidden="false" customHeight="true" outlineLevel="0" collapsed="false">
      <c r="A7" s="32"/>
      <c r="B7" s="52"/>
      <c r="C7" s="52"/>
      <c r="D7" s="52"/>
      <c r="E7" s="52"/>
      <c r="F7" s="52"/>
      <c r="G7" s="52"/>
      <c r="H7" s="52"/>
      <c r="I7" s="52"/>
      <c r="J7" s="52"/>
      <c r="K7" s="52"/>
    </row>
    <row r="8" customFormat="false" ht="16.5" hidden="false" customHeight="true" outlineLevel="0" collapsed="false">
      <c r="A8" s="100" t="s">
        <v>168</v>
      </c>
      <c r="B8" s="52" t="s">
        <v>94</v>
      </c>
      <c r="C8" s="52" t="s">
        <v>73</v>
      </c>
      <c r="D8" s="52"/>
      <c r="E8" s="101"/>
      <c r="F8" s="52"/>
      <c r="G8" s="102"/>
      <c r="H8" s="103"/>
      <c r="I8" s="103"/>
      <c r="J8" s="102"/>
      <c r="K8" s="101"/>
    </row>
    <row r="9" customFormat="false" ht="16.5" hidden="false" customHeight="true" outlineLevel="0" collapsed="false">
      <c r="A9" s="100" t="s">
        <v>168</v>
      </c>
      <c r="B9" s="32" t="s">
        <v>94</v>
      </c>
      <c r="C9" s="32" t="s">
        <v>71</v>
      </c>
      <c r="D9" s="32" t="s">
        <v>95</v>
      </c>
      <c r="E9" s="104" t="n">
        <f aca="false">K9-(H9+I9)</f>
        <v>0</v>
      </c>
      <c r="F9" s="32"/>
      <c r="G9" s="105" t="n">
        <v>0</v>
      </c>
      <c r="H9" s="106" t="n">
        <v>0</v>
      </c>
      <c r="I9" s="106" t="n">
        <v>0</v>
      </c>
      <c r="J9" s="105"/>
      <c r="K9" s="104" t="n">
        <v>0</v>
      </c>
    </row>
    <row r="10" customFormat="false" ht="16.5" hidden="false" customHeight="true" outlineLevel="0" collapsed="false">
      <c r="A10" s="100" t="s">
        <v>168</v>
      </c>
      <c r="B10" s="32" t="s">
        <v>94</v>
      </c>
      <c r="C10" s="32" t="s">
        <v>169</v>
      </c>
      <c r="D10" s="32" t="s">
        <v>95</v>
      </c>
      <c r="E10" s="104" t="n">
        <f aca="false">K10-(H10+I10)</f>
        <v>0</v>
      </c>
      <c r="F10" s="32"/>
      <c r="G10" s="105" t="n">
        <f aca="false">_xlfn.MINIFS(OPdate,OPcompte,$B10,OPdevise,D10,OPcatégorie,Solde)</f>
        <v>0</v>
      </c>
      <c r="H10" s="106" t="n">
        <f aca="false">SUMIFS(OPmontant,OPcompte,$B10,OPdevise,$D10,OPdate,$G10,OPcatégorie,Solde)</f>
        <v>0</v>
      </c>
      <c r="I10" s="106" t="n">
        <f aca="false">I9</f>
        <v>0</v>
      </c>
      <c r="J10" s="105" t="n">
        <f aca="false">_xlfn.MAXIFS(OPdate,OPcompte,$B10,OPdevise,$D10,OPcatégorie,Solde)</f>
        <v>0</v>
      </c>
      <c r="K10" s="104" t="n">
        <f aca="false">SUMIFS(OPmontant,OPcompte,$B10,OPdevise,$D10,OPcatégorie,Solde,OPdate,J10)</f>
        <v>0</v>
      </c>
    </row>
    <row r="11" customFormat="false" ht="16.5" hidden="false" customHeight="true" outlineLevel="0" collapsed="false">
      <c r="A11" s="100" t="s">
        <v>168</v>
      </c>
      <c r="B11" s="32" t="s">
        <v>94</v>
      </c>
      <c r="C11" s="32" t="s">
        <v>76</v>
      </c>
      <c r="D11" s="32" t="s">
        <v>95</v>
      </c>
      <c r="E11" s="104" t="n">
        <f aca="false">K11-(H11+I11)</f>
        <v>0</v>
      </c>
      <c r="F11" s="32"/>
      <c r="G11" s="105" t="n">
        <f aca="false">G10</f>
        <v>0</v>
      </c>
      <c r="H11" s="106" t="n">
        <f aca="false">H10</f>
        <v>0</v>
      </c>
      <c r="I11" s="106" t="n">
        <f aca="false">I10</f>
        <v>0</v>
      </c>
      <c r="J11" s="105" t="n">
        <f aca="false">IF(J9&gt;J10,J9,J10)</f>
        <v>0</v>
      </c>
      <c r="K11" s="104" t="n">
        <f aca="false">IF(J9&gt;J10,K9,K10)</f>
        <v>0</v>
      </c>
    </row>
    <row r="12" customFormat="false" ht="16.5" hidden="false" customHeight="true" outlineLevel="0" collapsed="false">
      <c r="A12" s="32"/>
      <c r="B12" s="52"/>
      <c r="C12" s="52"/>
      <c r="D12" s="52"/>
      <c r="E12" s="52"/>
      <c r="F12" s="52"/>
      <c r="G12" s="52"/>
      <c r="H12" s="52"/>
      <c r="I12" s="52"/>
      <c r="J12" s="52"/>
      <c r="K12" s="52"/>
    </row>
    <row r="13" customFormat="false" ht="16.5" hidden="false" customHeight="true" outlineLevel="0" collapsed="false">
      <c r="A13" s="100" t="s">
        <v>168</v>
      </c>
      <c r="B13" s="52" t="s">
        <v>96</v>
      </c>
      <c r="C13" s="52" t="s">
        <v>73</v>
      </c>
      <c r="D13" s="52"/>
      <c r="E13" s="101"/>
      <c r="F13" s="52"/>
      <c r="G13" s="102"/>
      <c r="H13" s="103"/>
      <c r="I13" s="103"/>
      <c r="J13" s="102"/>
      <c r="K13" s="101"/>
    </row>
    <row r="14" customFormat="false" ht="16.5" hidden="false" customHeight="true" outlineLevel="0" collapsed="false">
      <c r="A14" s="100" t="s">
        <v>168</v>
      </c>
      <c r="B14" s="32" t="s">
        <v>96</v>
      </c>
      <c r="C14" s="32" t="s">
        <v>71</v>
      </c>
      <c r="D14" s="32" t="s">
        <v>95</v>
      </c>
      <c r="E14" s="104" t="n">
        <f aca="false">K14-(H14+I14)</f>
        <v>0</v>
      </c>
      <c r="F14" s="32"/>
      <c r="G14" s="105" t="n">
        <v>0</v>
      </c>
      <c r="H14" s="106" t="n">
        <v>0</v>
      </c>
      <c r="I14" s="106" t="n">
        <v>0</v>
      </c>
      <c r="J14" s="105"/>
      <c r="K14" s="104" t="n">
        <v>0</v>
      </c>
    </row>
    <row r="15" customFormat="false" ht="16.5" hidden="false" customHeight="true" outlineLevel="0" collapsed="false">
      <c r="A15" s="100" t="s">
        <v>168</v>
      </c>
      <c r="B15" s="32" t="s">
        <v>96</v>
      </c>
      <c r="C15" s="32" t="s">
        <v>169</v>
      </c>
      <c r="D15" s="32" t="s">
        <v>95</v>
      </c>
      <c r="E15" s="104" t="n">
        <f aca="false">K15-(H15+I15)</f>
        <v>0</v>
      </c>
      <c r="F15" s="32"/>
      <c r="G15" s="105" t="n">
        <f aca="false">_xlfn.MINIFS(OPdate,OPcompte,$B15,OPdevise,D15,OPcatégorie,Solde)</f>
        <v>0</v>
      </c>
      <c r="H15" s="106" t="n">
        <f aca="false">SUMIFS(OPmontant,OPcompte,$B15,OPdevise,$D15,OPdate,$G15,OPcatégorie,Solde)</f>
        <v>0</v>
      </c>
      <c r="I15" s="106" t="n">
        <f aca="false">I14</f>
        <v>0</v>
      </c>
      <c r="J15" s="105" t="n">
        <f aca="false">_xlfn.MAXIFS(OPdate,OPcompte,$B15,OPdevise,$D15,OPcatégorie,Solde)</f>
        <v>0</v>
      </c>
      <c r="K15" s="104" t="n">
        <f aca="false">SUMIFS(OPmontant,OPcompte,$B15,OPdevise,$D15,OPcatégorie,Solde,OPdate,J15)</f>
        <v>0</v>
      </c>
    </row>
    <row r="16" customFormat="false" ht="16.5" hidden="false" customHeight="true" outlineLevel="0" collapsed="false">
      <c r="A16" s="100" t="s">
        <v>168</v>
      </c>
      <c r="B16" s="32" t="s">
        <v>96</v>
      </c>
      <c r="C16" s="32" t="s">
        <v>76</v>
      </c>
      <c r="D16" s="32" t="s">
        <v>95</v>
      </c>
      <c r="E16" s="104" t="n">
        <f aca="false">K16-(H16+I16)</f>
        <v>0</v>
      </c>
      <c r="F16" s="32"/>
      <c r="G16" s="105" t="n">
        <f aca="false">G15</f>
        <v>0</v>
      </c>
      <c r="H16" s="106" t="n">
        <f aca="false">H15</f>
        <v>0</v>
      </c>
      <c r="I16" s="106" t="n">
        <f aca="false">I15</f>
        <v>0</v>
      </c>
      <c r="J16" s="105" t="n">
        <f aca="false">IF(J14&gt;J15,J14,J15)</f>
        <v>0</v>
      </c>
      <c r="K16" s="104" t="n">
        <f aca="false">IF(J14&gt;J15,K14,K15)</f>
        <v>0</v>
      </c>
    </row>
    <row r="17" customFormat="false" ht="16.5" hidden="false" customHeight="true" outlineLevel="0" collapsed="false">
      <c r="A17" s="32"/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customFormat="false" ht="16.5" hidden="false" customHeight="true" outlineLevel="0" collapsed="false">
      <c r="A18" s="100" t="s">
        <v>168</v>
      </c>
      <c r="B18" s="52" t="s">
        <v>97</v>
      </c>
      <c r="C18" s="52" t="s">
        <v>73</v>
      </c>
      <c r="D18" s="52"/>
      <c r="E18" s="101"/>
      <c r="F18" s="52"/>
      <c r="G18" s="102"/>
      <c r="H18" s="103"/>
      <c r="I18" s="103"/>
      <c r="J18" s="102"/>
      <c r="K18" s="101"/>
    </row>
    <row r="19" customFormat="false" ht="16.5" hidden="false" customHeight="true" outlineLevel="0" collapsed="false">
      <c r="A19" s="100" t="s">
        <v>168</v>
      </c>
      <c r="B19" s="32" t="s">
        <v>97</v>
      </c>
      <c r="C19" s="32" t="s">
        <v>71</v>
      </c>
      <c r="D19" s="32" t="s">
        <v>95</v>
      </c>
      <c r="E19" s="104" t="n">
        <f aca="false">K19-(H19+I19)</f>
        <v>0</v>
      </c>
      <c r="F19" s="32"/>
      <c r="G19" s="105" t="n">
        <v>0</v>
      </c>
      <c r="H19" s="106" t="n">
        <v>0</v>
      </c>
      <c r="I19" s="106" t="n">
        <v>0</v>
      </c>
      <c r="J19" s="105"/>
      <c r="K19" s="104" t="n">
        <v>0</v>
      </c>
    </row>
    <row r="20" customFormat="false" ht="16.5" hidden="false" customHeight="true" outlineLevel="0" collapsed="false">
      <c r="A20" s="100" t="s">
        <v>168</v>
      </c>
      <c r="B20" s="32" t="s">
        <v>97</v>
      </c>
      <c r="C20" s="32" t="s">
        <v>169</v>
      </c>
      <c r="D20" s="32" t="s">
        <v>95</v>
      </c>
      <c r="E20" s="104" t="n">
        <f aca="false">K20-(H20+I20)</f>
        <v>0</v>
      </c>
      <c r="F20" s="32"/>
      <c r="G20" s="105" t="n">
        <f aca="false">_xlfn.MINIFS(OPdate,OPcompte,$B20,OPdevise,D20,OPcatégorie,Solde)</f>
        <v>0</v>
      </c>
      <c r="H20" s="106" t="n">
        <f aca="false">SUMIFS(OPmontant,OPcompte,$B20,OPdevise,$D20,OPdate,$G20,OPcatégorie,Solde)</f>
        <v>0</v>
      </c>
      <c r="I20" s="106" t="n">
        <f aca="false">I19</f>
        <v>0</v>
      </c>
      <c r="J20" s="105" t="n">
        <f aca="false">_xlfn.MAXIFS(OPdate,OPcompte,$B20,OPdevise,$D20,OPcatégorie,Solde)</f>
        <v>0</v>
      </c>
      <c r="K20" s="104" t="n">
        <f aca="false">SUMIFS(OPmontant,OPcompte,$B20,OPdevise,$D20,OPcatégorie,Solde,OPdate,J20)</f>
        <v>0</v>
      </c>
    </row>
    <row r="21" customFormat="false" ht="16.5" hidden="false" customHeight="true" outlineLevel="0" collapsed="false">
      <c r="A21" s="100" t="s">
        <v>168</v>
      </c>
      <c r="B21" s="32" t="s">
        <v>97</v>
      </c>
      <c r="C21" s="32" t="s">
        <v>76</v>
      </c>
      <c r="D21" s="32" t="s">
        <v>95</v>
      </c>
      <c r="E21" s="104" t="n">
        <f aca="false">K21-(H21+I21)</f>
        <v>0</v>
      </c>
      <c r="F21" s="32"/>
      <c r="G21" s="105" t="n">
        <f aca="false">G20</f>
        <v>0</v>
      </c>
      <c r="H21" s="106" t="n">
        <f aca="false">H20</f>
        <v>0</v>
      </c>
      <c r="I21" s="106" t="n">
        <f aca="false">I20</f>
        <v>0</v>
      </c>
      <c r="J21" s="105" t="n">
        <f aca="false">IF(J19&gt;J20,J19,J20)</f>
        <v>0</v>
      </c>
      <c r="K21" s="104" t="n">
        <f aca="false">IF(J19&gt;J20,K19,K20)</f>
        <v>0</v>
      </c>
    </row>
    <row r="22" customFormat="false" ht="16.5" hidden="false" customHeight="true" outlineLevel="0" collapsed="false">
      <c r="A22" s="32"/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customFormat="false" ht="16.5" hidden="false" customHeight="true" outlineLevel="0" collapsed="false">
      <c r="A23" s="100" t="s">
        <v>168</v>
      </c>
      <c r="B23" s="52" t="s">
        <v>98</v>
      </c>
      <c r="C23" s="52" t="s">
        <v>73</v>
      </c>
      <c r="D23" s="52"/>
      <c r="E23" s="101"/>
      <c r="F23" s="52"/>
      <c r="G23" s="102"/>
      <c r="H23" s="103"/>
      <c r="I23" s="103"/>
      <c r="J23" s="102"/>
      <c r="K23" s="101"/>
    </row>
    <row r="24" customFormat="false" ht="16.5" hidden="false" customHeight="true" outlineLevel="0" collapsed="false">
      <c r="A24" s="100" t="s">
        <v>168</v>
      </c>
      <c r="B24" s="32" t="s">
        <v>98</v>
      </c>
      <c r="C24" s="32" t="s">
        <v>71</v>
      </c>
      <c r="D24" s="32" t="s">
        <v>95</v>
      </c>
      <c r="E24" s="104" t="n">
        <f aca="false">K24-(H24+I24)</f>
        <v>0</v>
      </c>
      <c r="F24" s="32"/>
      <c r="G24" s="105" t="n">
        <v>0</v>
      </c>
      <c r="H24" s="106" t="n">
        <v>0</v>
      </c>
      <c r="I24" s="106" t="n">
        <v>0</v>
      </c>
      <c r="J24" s="105"/>
      <c r="K24" s="104" t="n">
        <v>0</v>
      </c>
    </row>
    <row r="25" customFormat="false" ht="16.5" hidden="false" customHeight="true" outlineLevel="0" collapsed="false">
      <c r="A25" s="100" t="s">
        <v>168</v>
      </c>
      <c r="B25" s="32" t="s">
        <v>98</v>
      </c>
      <c r="C25" s="32" t="s">
        <v>169</v>
      </c>
      <c r="D25" s="32" t="s">
        <v>95</v>
      </c>
      <c r="E25" s="104" t="n">
        <f aca="false">K25-(H25+I25)</f>
        <v>0</v>
      </c>
      <c r="F25" s="32"/>
      <c r="G25" s="105" t="n">
        <f aca="false">_xlfn.MINIFS(OPdate,OPcompte,$B25,OPdevise,D25,OPcatégorie,Solde)</f>
        <v>0</v>
      </c>
      <c r="H25" s="106" t="n">
        <f aca="false">SUMIFS(OPmontant,OPcompte,$B25,OPdevise,$D25,OPdate,$G25,OPcatégorie,Solde)</f>
        <v>0</v>
      </c>
      <c r="I25" s="106" t="n">
        <f aca="false">I24</f>
        <v>0</v>
      </c>
      <c r="J25" s="105" t="n">
        <f aca="false">_xlfn.MAXIFS(OPdate,OPcompte,$B25,OPdevise,$D25,OPcatégorie,Solde)</f>
        <v>0</v>
      </c>
      <c r="K25" s="104" t="n">
        <f aca="false">SUMIFS(OPmontant,OPcompte,$B25,OPdevise,$D25,OPcatégorie,Solde,OPdate,J25)</f>
        <v>0</v>
      </c>
    </row>
    <row r="26" customFormat="false" ht="16.5" hidden="false" customHeight="true" outlineLevel="0" collapsed="false">
      <c r="A26" s="100" t="s">
        <v>168</v>
      </c>
      <c r="B26" s="32" t="s">
        <v>98</v>
      </c>
      <c r="C26" s="32" t="s">
        <v>76</v>
      </c>
      <c r="D26" s="32" t="s">
        <v>95</v>
      </c>
      <c r="E26" s="104" t="n">
        <f aca="false">K26-(H26+I26)</f>
        <v>0</v>
      </c>
      <c r="F26" s="32"/>
      <c r="G26" s="105" t="n">
        <f aca="false">G25</f>
        <v>0</v>
      </c>
      <c r="H26" s="106" t="n">
        <f aca="false">H25</f>
        <v>0</v>
      </c>
      <c r="I26" s="106" t="n">
        <f aca="false">I25</f>
        <v>0</v>
      </c>
      <c r="J26" s="105" t="n">
        <f aca="false">IF(J24&gt;J25,J24,J25)</f>
        <v>0</v>
      </c>
      <c r="K26" s="104" t="n">
        <f aca="false">IF(J24&gt;J25,K24,K25)</f>
        <v>0</v>
      </c>
    </row>
    <row r="27" customFormat="false" ht="16.5" hidden="false" customHeight="true" outlineLevel="0" collapsed="false">
      <c r="A27" s="3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customFormat="false" ht="16.5" hidden="false" customHeight="true" outlineLevel="0" collapsed="false">
      <c r="A28" s="100" t="s">
        <v>168</v>
      </c>
      <c r="B28" s="52" t="s">
        <v>99</v>
      </c>
      <c r="C28" s="52" t="s">
        <v>73</v>
      </c>
      <c r="D28" s="52"/>
      <c r="E28" s="107"/>
      <c r="F28" s="52"/>
      <c r="G28" s="102"/>
      <c r="H28" s="108"/>
      <c r="I28" s="108"/>
      <c r="J28" s="102"/>
      <c r="K28" s="107"/>
    </row>
    <row r="29" customFormat="false" ht="16.5" hidden="false" customHeight="true" outlineLevel="0" collapsed="false">
      <c r="A29" s="100" t="s">
        <v>168</v>
      </c>
      <c r="B29" s="52" t="s">
        <v>99</v>
      </c>
      <c r="C29" s="52" t="s">
        <v>170</v>
      </c>
      <c r="D29" s="52" t="s">
        <v>100</v>
      </c>
      <c r="E29" s="109" t="n">
        <f aca="false">K29-(H29+I29)</f>
        <v>2.62</v>
      </c>
      <c r="F29" s="52"/>
      <c r="G29" s="102" t="n">
        <v>0</v>
      </c>
      <c r="H29" s="110" t="n">
        <v>10</v>
      </c>
      <c r="I29" s="110" t="n">
        <f aca="false">SUMIFS(OPmontant,OPcompte,$B29,OPdevise,$D29,OPcatégorie,"&lt;&gt;"&amp;Spéciale,OPlibellé,$C29,OPdate,"&gt;="&amp;$G29)</f>
        <v>0</v>
      </c>
      <c r="J29" s="102" t="n">
        <v>46083</v>
      </c>
      <c r="K29" s="109" t="n">
        <v>12.62</v>
      </c>
    </row>
    <row r="30" customFormat="false" ht="16.5" hidden="false" customHeight="true" outlineLevel="0" collapsed="false">
      <c r="A30" s="100" t="s">
        <v>168</v>
      </c>
      <c r="B30" s="52" t="s">
        <v>99</v>
      </c>
      <c r="C30" s="52" t="s">
        <v>171</v>
      </c>
      <c r="D30" s="52" t="s">
        <v>100</v>
      </c>
      <c r="E30" s="109" t="n">
        <f aca="false">K30-(H30+I30)</f>
        <v>-30.03</v>
      </c>
      <c r="F30" s="52"/>
      <c r="G30" s="102" t="n">
        <v>45715</v>
      </c>
      <c r="H30" s="110" t="n">
        <v>0</v>
      </c>
      <c r="I30" s="110" t="n">
        <f aca="false">SUMIFS(OPmontant,OPcompte,$B30,OPdevise,$D30,OPcatégorie,"&lt;&gt;"&amp;Spéciale,OPlibellé,$C30,OPdate,"&gt;="&amp;$G30)</f>
        <v>30.03</v>
      </c>
      <c r="J30" s="102" t="n">
        <v>45924</v>
      </c>
      <c r="K30" s="109" t="n">
        <v>0</v>
      </c>
    </row>
    <row r="31" customFormat="false" ht="16.5" hidden="false" customHeight="true" outlineLevel="0" collapsed="false">
      <c r="A31" s="100" t="s">
        <v>168</v>
      </c>
      <c r="B31" s="52" t="s">
        <v>99</v>
      </c>
      <c r="C31" s="52" t="s">
        <v>172</v>
      </c>
      <c r="D31" s="52" t="s">
        <v>100</v>
      </c>
      <c r="E31" s="109" t="n">
        <f aca="false">K31-(H31+I31)</f>
        <v>-413.02</v>
      </c>
      <c r="F31" s="52"/>
      <c r="G31" s="102" t="n">
        <v>45924</v>
      </c>
      <c r="H31" s="110" t="n">
        <v>0</v>
      </c>
      <c r="I31" s="110" t="n">
        <f aca="false">SUMIFS(OPmontant,OPcompte,$B31,OPdevise,$D31,OPcatégorie,"&lt;&gt;"&amp;Spéciale,OPlibellé,$C31,OPdate,"&gt;="&amp;$G31)</f>
        <v>1000</v>
      </c>
      <c r="J31" s="102" t="n">
        <v>46083</v>
      </c>
      <c r="K31" s="109" t="n">
        <v>586.98</v>
      </c>
    </row>
    <row r="32" customFormat="false" ht="16.5" hidden="false" customHeight="true" outlineLevel="0" collapsed="false">
      <c r="A32" s="100" t="s">
        <v>168</v>
      </c>
      <c r="B32" s="52" t="s">
        <v>99</v>
      </c>
      <c r="C32" s="52" t="s">
        <v>173</v>
      </c>
      <c r="D32" s="52" t="s">
        <v>100</v>
      </c>
      <c r="E32" s="109" t="n">
        <f aca="false">K32-(H32+I32)</f>
        <v>115.15</v>
      </c>
      <c r="F32" s="52"/>
      <c r="G32" s="102" t="n">
        <v>46048</v>
      </c>
      <c r="H32" s="110" t="n">
        <v>0</v>
      </c>
      <c r="I32" s="110" t="n">
        <f aca="false">SUMIFS(OPmontant,OPcompte,$B32,OPdevise,$D32,OPcatégorie,"&lt;&gt;"&amp;Spéciale,OPlibellé,$C32,OPdate,"&gt;="&amp;$G32)</f>
        <v>2491.99</v>
      </c>
      <c r="J32" s="102" t="n">
        <v>46083</v>
      </c>
      <c r="K32" s="109" t="n">
        <v>2607.14</v>
      </c>
    </row>
    <row r="33" customFormat="false" ht="16.5" hidden="false" customHeight="true" outlineLevel="0" collapsed="false">
      <c r="A33" s="100" t="s">
        <v>168</v>
      </c>
      <c r="B33" s="52" t="s">
        <v>99</v>
      </c>
      <c r="C33" s="52" t="s">
        <v>174</v>
      </c>
      <c r="D33" s="52" t="s">
        <v>100</v>
      </c>
      <c r="E33" s="109" t="n">
        <f aca="false">K33-(H33+I33)</f>
        <v>-18.01</v>
      </c>
      <c r="F33" s="52"/>
      <c r="G33" s="102" t="n">
        <v>45783</v>
      </c>
      <c r="H33" s="110" t="n">
        <v>0</v>
      </c>
      <c r="I33" s="110" t="n">
        <f aca="false">SUMIFS(OPmontant,OPcompte,$B33,OPdevise,$D33,OPcatégorie,"&lt;&gt;"&amp;Spéciale,OPlibellé,$C33,OPdate,"&gt;="&amp;$G33)</f>
        <v>200</v>
      </c>
      <c r="J33" s="102" t="n">
        <v>46083</v>
      </c>
      <c r="K33" s="109" t="n">
        <v>181.99</v>
      </c>
    </row>
    <row r="34" customFormat="false" ht="16.5" hidden="false" customHeight="true" outlineLevel="0" collapsed="false">
      <c r="A34" s="100" t="s">
        <v>168</v>
      </c>
      <c r="B34" s="32" t="s">
        <v>99</v>
      </c>
      <c r="C34" s="32" t="s">
        <v>71</v>
      </c>
      <c r="D34" s="32" t="s">
        <v>100</v>
      </c>
      <c r="E34" s="111" t="n">
        <f aca="false">K34-(H34+I34)</f>
        <v>-343.29</v>
      </c>
      <c r="F34" s="32"/>
      <c r="G34" s="105" t="n">
        <f aca="false">MIN(G29:G33)</f>
        <v>0</v>
      </c>
      <c r="H34" s="112" t="n">
        <f aca="false">SUMPRODUCT(H29:H33*IFERROR(INDEX(COTcours,MATCH(D29:D33,COTcode,0)),1))/IFERROR(INDEX(COTcours,MATCH(D34,COTcode,0)),1)</f>
        <v>10</v>
      </c>
      <c r="I34" s="112" t="n">
        <f aca="false">SUMPRODUCT(I29:I33*IFERROR(INDEX(COTcours,MATCH(D29:D33,COTcode,0)),1))/IFERROR(INDEX(COTcours,MATCH(D34,COTcode,0)),1)</f>
        <v>3722.02</v>
      </c>
      <c r="J34" s="105" t="n">
        <f aca="false">J33</f>
        <v>46083</v>
      </c>
      <c r="K34" s="111" t="n">
        <f aca="false">SUMPRODUCT(K29:K33*IFERROR(INDEX(COTcours,MATCH(D29:D33,COTcode,0)),1))/IFERROR(INDEX(COTcours,MATCH(D34,COTcode,0)),1)</f>
        <v>3388.73</v>
      </c>
    </row>
    <row r="35" customFormat="false" ht="16.5" hidden="false" customHeight="true" outlineLevel="0" collapsed="false">
      <c r="A35" s="100" t="s">
        <v>168</v>
      </c>
      <c r="B35" s="32" t="s">
        <v>99</v>
      </c>
      <c r="C35" s="32" t="s">
        <v>169</v>
      </c>
      <c r="D35" s="32" t="s">
        <v>100</v>
      </c>
      <c r="E35" s="111" t="n">
        <f aca="false">K35-(H35+I35)</f>
        <v>-3722.02</v>
      </c>
      <c r="F35" s="32"/>
      <c r="G35" s="105" t="n">
        <f aca="false">_xlfn.MINIFS(OPdate,OPcompte,$B35,OPdevise,D35,OPcatégorie,Solde)</f>
        <v>46050</v>
      </c>
      <c r="H35" s="112" t="n">
        <f aca="false">SUMIFS(OPmontant,OPcompte,$B35,OPdevise,$D35,OPdate,$G35,OPcatégorie,Solde)</f>
        <v>3549.43</v>
      </c>
      <c r="I35" s="112" t="n">
        <f aca="false">I34</f>
        <v>3722.02</v>
      </c>
      <c r="J35" s="105" t="n">
        <f aca="false">_xlfn.MAXIFS(OPdate,OPcompte,$B35,OPdevise,$D35,OPcatégorie,Solde)</f>
        <v>46050</v>
      </c>
      <c r="K35" s="111" t="n">
        <f aca="false">SUMIFS(OPmontant,OPcompte,$B35,OPdevise,$D35,OPcatégorie,Solde,OPdate,J35)</f>
        <v>3549.43</v>
      </c>
    </row>
    <row r="36" customFormat="false" ht="16.5" hidden="false" customHeight="true" outlineLevel="0" collapsed="false">
      <c r="A36" s="100" t="s">
        <v>168</v>
      </c>
      <c r="B36" s="32" t="s">
        <v>99</v>
      </c>
      <c r="C36" s="32" t="s">
        <v>76</v>
      </c>
      <c r="D36" s="32" t="s">
        <v>100</v>
      </c>
      <c r="E36" s="111" t="n">
        <f aca="false">K36-(H36+I36)</f>
        <v>-3882.72</v>
      </c>
      <c r="F36" s="32"/>
      <c r="G36" s="105" t="n">
        <f aca="false">G35</f>
        <v>46050</v>
      </c>
      <c r="H36" s="112" t="n">
        <f aca="false">H35</f>
        <v>3549.43</v>
      </c>
      <c r="I36" s="112" t="n">
        <f aca="false">I35</f>
        <v>3722.02</v>
      </c>
      <c r="J36" s="105" t="n">
        <f aca="false">IF(J34&gt;J35,J34,J35)</f>
        <v>46083</v>
      </c>
      <c r="K36" s="111" t="n">
        <f aca="false">IF(J34&gt;J35,K34,K35)</f>
        <v>3388.73</v>
      </c>
    </row>
    <row r="37" customFormat="false" ht="16.5" hidden="false" customHeight="true" outlineLevel="0" collapsed="false">
      <c r="A37" s="32"/>
      <c r="B37" s="52"/>
      <c r="C37" s="52"/>
      <c r="D37" s="52"/>
      <c r="E37" s="52"/>
      <c r="F37" s="52"/>
      <c r="G37" s="52"/>
      <c r="H37" s="52"/>
      <c r="I37" s="52"/>
      <c r="J37" s="52"/>
      <c r="K37" s="52"/>
    </row>
    <row r="38" customFormat="false" ht="16.5" hidden="false" customHeight="true" outlineLevel="0" collapsed="false">
      <c r="A38" s="100" t="s">
        <v>175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</row>
    <row r="39" customFormat="false" ht="16.5" hidden="false" customHeight="true" outlineLevel="0" collapsed="false">
      <c r="A39" s="100" t="s">
        <v>176</v>
      </c>
      <c r="B39" s="52" t="s">
        <v>121</v>
      </c>
      <c r="C39" s="52"/>
      <c r="D39" s="52" t="s">
        <v>122</v>
      </c>
      <c r="E39" s="101" t="n">
        <f aca="false">K39-(H39+I39)</f>
        <v>2118.4858754304</v>
      </c>
      <c r="F39" s="52"/>
      <c r="G39" s="102" t="n">
        <f aca="false">_xlfn.MINIFS(OPdate,OPcompte,B39,OPdevise,D39,OPcatégorie,Solde)</f>
        <v>45457</v>
      </c>
      <c r="H39" s="103" t="n">
        <f aca="false">SUMIFS(OPequiv_euro,OPcompte,B39,OPdevise,D39,OPcatégorie,Solde,OPdate,G39)</f>
        <v>0</v>
      </c>
      <c r="I39" s="103" t="n">
        <f aca="false">SUMIFS(OPequiv_euro,OPcompte,B39,OPdevise,D39,OPcatégorie,"&lt;&gt;"&amp;Spéciale,OPdate,"&gt;="&amp;G39)</f>
        <v>0</v>
      </c>
      <c r="J39" s="102" t="n">
        <f aca="false">SUMIF(AVRintitulé,$B39,AVRdate_solde)</f>
        <v>45457</v>
      </c>
      <c r="K39" s="101" t="n">
        <f aca="false">SUMIF(AVRintitulé,$B39,AVRmontant_solde_euro)</f>
        <v>2118.4858754304</v>
      </c>
    </row>
    <row r="40" customFormat="false" ht="16.5" hidden="false" customHeight="true" outlineLevel="0" collapsed="false">
      <c r="A40" s="32"/>
      <c r="B40" s="52"/>
      <c r="C40" s="52"/>
      <c r="D40" s="52"/>
      <c r="E40" s="52"/>
      <c r="F40" s="52"/>
      <c r="G40" s="52"/>
      <c r="H40" s="52"/>
      <c r="I40" s="52"/>
      <c r="J40" s="52"/>
      <c r="K40" s="52"/>
    </row>
    <row r="41" customFormat="false" ht="16.5" hidden="false" customHeight="true" outlineLevel="0" collapsed="false">
      <c r="A41" s="100" t="s">
        <v>177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</row>
    <row r="42" customFormat="false" ht="16.5" hidden="false" customHeight="true" outlineLevel="0" collapsed="false">
      <c r="A42" s="100" t="s">
        <v>178</v>
      </c>
      <c r="B42" s="52" t="s">
        <v>115</v>
      </c>
      <c r="C42" s="52"/>
      <c r="D42" s="52" t="s">
        <v>116</v>
      </c>
      <c r="E42" s="101" t="n">
        <f aca="false">K42-(H42+I42)</f>
        <v>100</v>
      </c>
      <c r="F42" s="52"/>
      <c r="G42" s="102" t="n">
        <f aca="false">_xlfn.MINIFS(OPdate,OPcompte,B42,OPdevise,D42,OPcatégorie,Solde)</f>
        <v>44927</v>
      </c>
      <c r="H42" s="103" t="n">
        <f aca="false">SUMIFS(OPequiv_euro,OPcompte,B42,OPdevise,D42,OPcatégorie,Solde,OPdate,G42)</f>
        <v>0</v>
      </c>
      <c r="I42" s="103" t="n">
        <f aca="false">SUMIFS(OPequiv_euro,OPcompte,B42,OPdevise,D42,OPcatégorie,"&lt;&gt;"&amp;Spéciale,OPdate,"&gt;="&amp;G42)</f>
        <v>-100</v>
      </c>
      <c r="J42" s="102" t="n">
        <f aca="false">SUMIF(AVRintitulé,$B42,AVRdate_solde)</f>
        <v>45292</v>
      </c>
      <c r="K42" s="101" t="n">
        <f aca="false">SUMIF(AVRintitulé,$B42,AVRmontant_solde_euro)</f>
        <v>0</v>
      </c>
    </row>
    <row r="43" customFormat="false" ht="16.5" hidden="false" customHeight="true" outlineLevel="0" collapsed="false">
      <c r="A43" s="100" t="s">
        <v>178</v>
      </c>
      <c r="B43" s="52" t="s">
        <v>117</v>
      </c>
      <c r="C43" s="52"/>
      <c r="D43" s="52" t="s">
        <v>116</v>
      </c>
      <c r="E43" s="101" t="n">
        <f aca="false">K43-(H43+I43)</f>
        <v>170.093092</v>
      </c>
      <c r="F43" s="52"/>
      <c r="G43" s="102" t="n">
        <f aca="false">_xlfn.MINIFS(OPdate,OPcompte,B43,OPdevise,D43,OPcatégorie,Solde)</f>
        <v>45292</v>
      </c>
      <c r="H43" s="103" t="n">
        <f aca="false">SUMIFS(OPequiv_euro,OPcompte,B43,OPdevise,D43,OPcatégorie,Solde,OPdate,G43)</f>
        <v>0</v>
      </c>
      <c r="I43" s="103" t="n">
        <f aca="false">SUMIFS(OPequiv_euro,OPcompte,B43,OPdevise,D43,OPcatégorie,"&lt;&gt;"&amp;Spéciale,OPdate,"&gt;="&amp;G43)</f>
        <v>0</v>
      </c>
      <c r="J43" s="102" t="n">
        <f aca="false">SUMIF(AVRintitulé,$B43,AVRdate_solde)</f>
        <v>45292</v>
      </c>
      <c r="K43" s="101" t="n">
        <f aca="false">SUMIF(AVRintitulé,$B43,AVRmontant_solde_euro)</f>
        <v>170.093092</v>
      </c>
    </row>
    <row r="44" customFormat="false" ht="16.5" hidden="false" customHeight="true" outlineLevel="0" collapsed="false">
      <c r="A44" s="100" t="s">
        <v>178</v>
      </c>
      <c r="B44" s="52" t="s">
        <v>118</v>
      </c>
      <c r="C44" s="52"/>
      <c r="D44" s="52" t="s">
        <v>116</v>
      </c>
      <c r="E44" s="101" t="n">
        <f aca="false">K44-(H44+I44)</f>
        <v>31.28358493</v>
      </c>
      <c r="F44" s="52"/>
      <c r="G44" s="102" t="n">
        <f aca="false">_xlfn.MINIFS(OPdate,OPcompte,B44,OPdevise,D44,OPcatégorie,Solde)</f>
        <v>45923</v>
      </c>
      <c r="H44" s="103" t="n">
        <f aca="false">SUMIFS(OPequiv_euro,OPcompte,B44,OPdevise,D44,OPcatégorie,Solde,OPdate,G44)</f>
        <v>0</v>
      </c>
      <c r="I44" s="103" t="n">
        <f aca="false">SUMIFS(OPequiv_euro,OPcompte,B44,OPdevise,D44,OPcatégorie,"&lt;&gt;"&amp;Spéciale,OPdate,"&gt;="&amp;G44)</f>
        <v>0</v>
      </c>
      <c r="J44" s="102" t="n">
        <f aca="false">SUMIF(AVRintitulé,$B44,AVRdate_solde)</f>
        <v>45967</v>
      </c>
      <c r="K44" s="101" t="n">
        <f aca="false">SUMIF(AVRintitulé,$B44,AVRmontant_solde_euro)</f>
        <v>31.28358493</v>
      </c>
    </row>
    <row r="45" customFormat="false" ht="16.5" hidden="false" customHeight="true" outlineLevel="0" collapsed="false">
      <c r="A45" s="100" t="s">
        <v>178</v>
      </c>
      <c r="B45" s="52" t="s">
        <v>119</v>
      </c>
      <c r="C45" s="52"/>
      <c r="D45" s="52" t="s">
        <v>120</v>
      </c>
      <c r="E45" s="101" t="n">
        <f aca="false">K45-(H45+I45)</f>
        <v>0</v>
      </c>
      <c r="F45" s="52"/>
      <c r="G45" s="102" t="n">
        <f aca="false">_xlfn.MINIFS(OPdate,OPcompte,B45,OPdevise,D45,OPcatégorie,Solde)</f>
        <v>0</v>
      </c>
      <c r="H45" s="103" t="n">
        <f aca="false">SUMIFS(OPequiv_euro,OPcompte,B45,OPdevise,D45,OPcatégorie,Solde,OPdate,G45)</f>
        <v>0</v>
      </c>
      <c r="I45" s="103" t="n">
        <f aca="false">SUMIFS(OPequiv_euro,OPcompte,B45,OPdevise,D45,OPcatégorie,"&lt;&gt;"&amp;Spéciale,OPdate,"&gt;="&amp;G45)</f>
        <v>0</v>
      </c>
      <c r="J45" s="102" t="n">
        <f aca="false">SUMIF(AVRintitulé,$B45,AVRdate_solde)</f>
        <v>0</v>
      </c>
      <c r="K45" s="101" t="n">
        <f aca="false">SUMIF(AVRintitulé,$B45,AVRmontant_solde_euro)</f>
        <v>0</v>
      </c>
    </row>
    <row r="46" customFormat="false" ht="16.5" hidden="false" customHeight="true" outlineLevel="0" collapsed="false">
      <c r="A46" s="32"/>
      <c r="B46" s="52"/>
      <c r="C46" s="52"/>
      <c r="D46" s="52"/>
      <c r="E46" s="52"/>
      <c r="F46" s="52"/>
      <c r="G46" s="52"/>
      <c r="H46" s="52"/>
      <c r="I46" s="52"/>
      <c r="J46" s="52"/>
      <c r="K46" s="52"/>
    </row>
    <row r="47" customFormat="false" ht="16.5" hidden="false" customHeight="true" outlineLevel="0" collapsed="false">
      <c r="A47" s="100" t="s">
        <v>179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customFormat="false" ht="16.5" hidden="false" customHeight="true" outlineLevel="0" collapsed="false">
      <c r="A48" s="100" t="s">
        <v>180</v>
      </c>
      <c r="B48" s="52" t="s">
        <v>110</v>
      </c>
      <c r="C48" s="52"/>
      <c r="D48" s="52" t="s">
        <v>100</v>
      </c>
      <c r="E48" s="101" t="n">
        <f aca="false">K48-(H48+I48)</f>
        <v>0</v>
      </c>
      <c r="F48" s="52"/>
      <c r="G48" s="102" t="n">
        <f aca="false">_xlfn.MINIFS(OPdate,OPcompte,B48,OPdevise,D48,OPcatégorie,Solde)</f>
        <v>0</v>
      </c>
      <c r="H48" s="103" t="n">
        <f aca="false">SUMIFS(OPequiv_euro,OPcompte,B48,OPdevise,D48,OPcatégorie,Solde,OPdate,G48)</f>
        <v>0</v>
      </c>
      <c r="I48" s="103" t="n">
        <f aca="false">SUMIFS(OPequiv_euro,OPcompte,B48,OPdevise,D48,OPcatégorie,"&lt;&gt;"&amp;Spéciale,OPdate,"&gt;="&amp;G48)</f>
        <v>0</v>
      </c>
      <c r="J48" s="102" t="n">
        <f aca="false">SUMIF(AVRintitulé,$B48,AVRdate_solde)</f>
        <v>0</v>
      </c>
      <c r="K48" s="101" t="n">
        <f aca="false">SUMIF(AVRintitulé,$B48,AVRmontant_solde_euro)</f>
        <v>0</v>
      </c>
    </row>
    <row r="49" customFormat="false" ht="16.5" hidden="false" customHeight="true" outlineLevel="0" collapsed="false">
      <c r="A49" s="100" t="s">
        <v>180</v>
      </c>
      <c r="B49" s="52" t="s">
        <v>111</v>
      </c>
      <c r="C49" s="52"/>
      <c r="D49" s="52" t="s">
        <v>112</v>
      </c>
      <c r="E49" s="101" t="n">
        <f aca="false">K49-(H49+I49)</f>
        <v>0</v>
      </c>
      <c r="F49" s="52"/>
      <c r="G49" s="102" t="n">
        <f aca="false">_xlfn.MINIFS(OPdate,OPcompte,B49,OPdevise,D49,OPcatégorie,Solde)</f>
        <v>0</v>
      </c>
      <c r="H49" s="103" t="n">
        <f aca="false">SUMIFS(OPequiv_euro,OPcompte,B49,OPdevise,D49,OPcatégorie,Solde,OPdate,G49)</f>
        <v>0</v>
      </c>
      <c r="I49" s="103" t="n">
        <f aca="false">SUMIFS(OPequiv_euro,OPcompte,B49,OPdevise,D49,OPcatégorie,"&lt;&gt;"&amp;Spéciale,OPdate,"&gt;="&amp;G49)</f>
        <v>0</v>
      </c>
      <c r="J49" s="102" t="n">
        <f aca="false">SUMIF(AVRintitulé,$B49,AVRdate_solde)</f>
        <v>0</v>
      </c>
      <c r="K49" s="101" t="n">
        <f aca="false">SUMIF(AVRintitulé,$B49,AVRmontant_solde_euro)</f>
        <v>0</v>
      </c>
    </row>
    <row r="50" customFormat="false" ht="16.5" hidden="false" customHeight="true" outlineLevel="0" collapsed="false">
      <c r="A50" s="100" t="s">
        <v>180</v>
      </c>
      <c r="B50" s="52" t="s">
        <v>113</v>
      </c>
      <c r="C50" s="52"/>
      <c r="D50" s="52" t="s">
        <v>100</v>
      </c>
      <c r="E50" s="101" t="n">
        <f aca="false">K50-(H50+I50)</f>
        <v>2387.873965</v>
      </c>
      <c r="F50" s="52"/>
      <c r="G50" s="102" t="n">
        <f aca="false">_xlfn.MINIFS(OPdate,OPcompte,B50,OPdevise,D50,OPcatégorie,Solde)</f>
        <v>45621</v>
      </c>
      <c r="H50" s="103" t="n">
        <f aca="false">SUMIFS(OPequiv_euro,OPcompte,B50,OPdevise,D50,OPcatégorie,Solde,OPdate,G50)</f>
        <v>0</v>
      </c>
      <c r="I50" s="103" t="n">
        <f aca="false">SUMIFS(OPequiv_euro,OPcompte,B50,OPdevise,D50,OPcatégorie,"&lt;&gt;"&amp;Spéciale,OPdate,"&gt;="&amp;G50)</f>
        <v>-1966.84</v>
      </c>
      <c r="J50" s="102" t="n">
        <f aca="false">SUMIF(AVRintitulé,$B50,AVRdate_solde)</f>
        <v>46050</v>
      </c>
      <c r="K50" s="101" t="n">
        <f aca="false">SUMIF(AVRintitulé,$B50,AVRmontant_solde_euro)</f>
        <v>421.033965</v>
      </c>
    </row>
    <row r="51" customFormat="false" ht="16.5" hidden="false" customHeight="true" outlineLevel="0" collapsed="false">
      <c r="A51" s="32"/>
      <c r="B51" s="52"/>
      <c r="C51" s="52"/>
      <c r="D51" s="52"/>
      <c r="E51" s="52"/>
      <c r="F51" s="52"/>
      <c r="G51" s="52"/>
      <c r="H51" s="52"/>
      <c r="I51" s="52"/>
      <c r="J51" s="52"/>
      <c r="K51" s="52"/>
    </row>
    <row r="52" customFormat="false" ht="16.5" hidden="false" customHeight="true" outlineLevel="0" collapsed="false">
      <c r="A52" s="100" t="s">
        <v>4</v>
      </c>
      <c r="B52" s="113"/>
      <c r="C52" s="114"/>
      <c r="D52" s="115"/>
      <c r="E52" s="114"/>
      <c r="F52" s="114"/>
      <c r="G52" s="116"/>
      <c r="H52" s="114"/>
      <c r="I52" s="114"/>
      <c r="J52" s="114"/>
      <c r="K52" s="114"/>
    </row>
    <row r="53" customFormat="false" ht="16.5" hidden="false" customHeight="true" outlineLevel="0" collapsed="false">
      <c r="A53" s="69" t="s">
        <v>78</v>
      </c>
      <c r="B53" s="69"/>
      <c r="C53" s="69"/>
      <c r="D53" s="71" t="s">
        <v>95</v>
      </c>
      <c r="E53" s="117" t="n">
        <f aca="false">SUM(E54:E57)</f>
        <v>1455.0077973604</v>
      </c>
      <c r="F53" s="118" t="n">
        <f aca="false">E53/(H53+I53)</f>
        <v>0.345438765774654</v>
      </c>
      <c r="G53" s="119" t="n">
        <f aca="false">MIN(G54:G57)</f>
        <v>44927</v>
      </c>
      <c r="H53" s="120" t="n">
        <f aca="false">SUM(H54:H57)</f>
        <v>3064.932805</v>
      </c>
      <c r="I53" s="120" t="n">
        <f aca="false">SUM(I54:I57)</f>
        <v>1147.12427</v>
      </c>
      <c r="J53" s="121"/>
      <c r="K53" s="117" t="n">
        <f aca="false">SUM(K54:K57)</f>
        <v>5667.0648723604</v>
      </c>
    </row>
    <row r="54" customFormat="false" ht="16.5" hidden="false" customHeight="true" outlineLevel="0" collapsed="false">
      <c r="A54" s="32" t="s">
        <v>181</v>
      </c>
      <c r="B54" s="32"/>
      <c r="C54" s="32"/>
      <c r="D54" s="22" t="s">
        <v>95</v>
      </c>
      <c r="E54" s="122" t="n">
        <f aca="false">K54-(H54+I54)</f>
        <v>-3352.72872</v>
      </c>
      <c r="F54" s="123" t="n">
        <f aca="false">E54/(H54+I54)</f>
        <v>-0.533967778091027</v>
      </c>
      <c r="G54" s="124" t="n">
        <f aca="false">MIN(_xlfn.MINIFS(G:G,A:A,"portefeuilles",C:C,"Retenu",G:G,"&gt;0"))</f>
        <v>46050</v>
      </c>
      <c r="H54" s="125" t="n">
        <f aca="false">SUMPRODUCT((PVLsection="portefeuilles")*(PVLtitre="Retenu")*PVLmontant_init*IFERROR(INDEX(COTcours,MATCH(PVLdevise,COTcode,0)),1))</f>
        <v>3064.932805</v>
      </c>
      <c r="I54" s="125" t="n">
        <f aca="false">SUMPRODUCT((PVLsection="portefeuilles")*(PVLtitre="Retenu")*PVLsigma*IFERROR(INDEX(COTcours,MATCH(PVLdevise,COTcode,0)),1))</f>
        <v>3213.96427</v>
      </c>
      <c r="J54" s="124" t="n">
        <f aca="false">_xlfn.MAXIFS(J:J,A:A,"portefeuilles",C:C,"Retenu")</f>
        <v>46083</v>
      </c>
      <c r="K54" s="122" t="n">
        <f aca="false">SUMPRODUCT((PVLsection="portefeuilles")*(PVLtitre="Retenu")*PVLmontant*IFERROR(INDEX(COTcours,MATCH(PVLdevise,COTcode,0)),1))</f>
        <v>2926.168355</v>
      </c>
    </row>
    <row r="55" customFormat="false" ht="16.5" hidden="false" customHeight="true" outlineLevel="0" collapsed="false">
      <c r="A55" s="32" t="s">
        <v>182</v>
      </c>
      <c r="B55" s="32"/>
      <c r="C55" s="32"/>
      <c r="D55" s="22" t="s">
        <v>95</v>
      </c>
      <c r="E55" s="122" t="n">
        <f aca="false">K55-(H55+I55)</f>
        <v>2118.4858754304</v>
      </c>
      <c r="F55" s="123" t="e">
        <f aca="false">E55/(H55+I55)</f>
        <v>#DIV/0!</v>
      </c>
      <c r="G55" s="124" t="n">
        <f aca="false">MIN(_xlfn.MINIFS(G:G,A:A,"métaux",G:G,"&gt;0"))</f>
        <v>45457</v>
      </c>
      <c r="H55" s="125" t="n">
        <f aca="false">SUMIFS(PVLmontant_init,PVLsection,"métaux")</f>
        <v>0</v>
      </c>
      <c r="I55" s="125" t="n">
        <f aca="false">SUMIFS(PVLsigma,PVLsection,"métaux")</f>
        <v>0</v>
      </c>
      <c r="J55" s="124" t="n">
        <f aca="false">_xlfn.MAXIFS(J:J,A:A,"métaux")</f>
        <v>45457</v>
      </c>
      <c r="K55" s="122" t="n">
        <f aca="false">SUMIFS(PVLmontant,PVLsection,"métaux")</f>
        <v>2118.4858754304</v>
      </c>
    </row>
    <row r="56" customFormat="false" ht="16.5" hidden="false" customHeight="true" outlineLevel="0" collapsed="false">
      <c r="A56" s="32" t="s">
        <v>183</v>
      </c>
      <c r="B56" s="32"/>
      <c r="C56" s="32"/>
      <c r="D56" s="22" t="s">
        <v>95</v>
      </c>
      <c r="E56" s="122" t="n">
        <f aca="false">K56-(H56+I56)</f>
        <v>301.37667693</v>
      </c>
      <c r="F56" s="123" t="n">
        <f aca="false">E56/(H56+I56)</f>
        <v>-3.0137667693</v>
      </c>
      <c r="G56" s="124" t="n">
        <f aca="false">MIN(_xlfn.MINIFS(G:G,A:A,"crypto",G:G,"&gt;0"))</f>
        <v>44927</v>
      </c>
      <c r="H56" s="125" t="n">
        <f aca="false">SUMIFS(PVLmontant_init,PVLsection,"crypto")</f>
        <v>0</v>
      </c>
      <c r="I56" s="125" t="n">
        <f aca="false">SUMIFS(PVLsigma,PVLsection,"crypto")</f>
        <v>-100</v>
      </c>
      <c r="J56" s="124" t="n">
        <f aca="false">_xlfn.MAXIFS(J:J,A:A,"crypto")</f>
        <v>45967</v>
      </c>
      <c r="K56" s="122" t="n">
        <f aca="false">SUMIFS(PVLmontant,PVLsection,"crypto")</f>
        <v>201.37667693</v>
      </c>
    </row>
    <row r="57" customFormat="false" ht="16.5" hidden="false" customHeight="true" outlineLevel="0" collapsed="false">
      <c r="A57" s="32" t="s">
        <v>184</v>
      </c>
      <c r="B57" s="32"/>
      <c r="C57" s="32"/>
      <c r="D57" s="22" t="s">
        <v>95</v>
      </c>
      <c r="E57" s="122" t="n">
        <f aca="false">K57-(H57+I57)</f>
        <v>2387.873965</v>
      </c>
      <c r="F57" s="123" t="n">
        <f aca="false">E57/(H57+I57)</f>
        <v>-1.21406620009762</v>
      </c>
      <c r="G57" s="124" t="n">
        <f aca="false">MIN(_xlfn.MINIFS(G:G,A:A,"devises",G:G,"&gt;0"))</f>
        <v>45621</v>
      </c>
      <c r="H57" s="125" t="n">
        <f aca="false">SUMIFS(PVLmontant_init,PVLsection,"devises")</f>
        <v>0</v>
      </c>
      <c r="I57" s="125" t="n">
        <f aca="false">SUMIFS(PVLsigma,PVLsection,"devises")</f>
        <v>-1966.84</v>
      </c>
      <c r="J57" s="124" t="n">
        <f aca="false">_xlfn.MAXIFS(J:J,A:A,"devises")</f>
        <v>46050</v>
      </c>
      <c r="K57" s="122" t="n">
        <f aca="false">SUMIFS(PVLmontant,PVLsection,"devises")</f>
        <v>421.033965</v>
      </c>
    </row>
    <row r="58" customFormat="false" ht="17.25" hidden="false" customHeight="true" outlineLevel="0" collapsed="false"/>
    <row r="59" customFormat="false" ht="17.2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conditionalFormatting sqref="A1">
    <cfRule type="expression" priority="2" aboveAverage="0" equalAverage="0" bottom="0" percent="0" rank="0" text="" dxfId="1">
      <formula>NOT(ISERROR(FIND("✗",INDIRECT("RC",0))))</formula>
    </cfRule>
    <cfRule type="expression" priority="3" aboveAverage="0" equalAverage="0" bottom="0" percent="0" rank="0" text="" dxfId="2">
      <formula>NOT(ISERROR(FIND("⚠",INDIRECT("RC",0))))</formula>
    </cfRule>
  </conditionalFormatting>
  <conditionalFormatting sqref="B3">
    <cfRule type="expression" priority="4" aboveAverage="0" equalAverage="0" bottom="0" percent="0" rank="0" text="" dxfId="1">
      <formula>NOT(ISERROR(FIND("✗",INDIRECT("RC",0))))</formula>
    </cfRule>
    <cfRule type="expression" priority="5" aboveAverage="0" equalAverage="0" bottom="0" percent="0" rank="0" text="" dxfId="2">
      <formula>NOT(ISERROR(FIND("⚠",INDIRECT("RC",0))))</formula>
    </cfRule>
  </conditionalFormatting>
  <printOptions headings="false" gridLines="false" gridLinesSet="true" horizontalCentered="false" verticalCentered="false"/>
  <pageMargins left="1" right="1" top="0.25" bottom="0.402777777777778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Neue,Normal"&amp;11 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B13" activeCellId="0" sqref="B13"/>
    </sheetView>
  </sheetViews>
  <sheetFormatPr defaultColWidth="6.00390625" defaultRowHeight="13.5" customHeight="true" zeroHeight="false" outlineLevelRow="0" outlineLevelCol="0"/>
  <cols>
    <col collapsed="false" customWidth="true" hidden="false" outlineLevel="0" max="1" min="1" style="126" width="12.39"/>
    <col collapsed="false" customWidth="true" hidden="false" outlineLevel="0" max="2" min="2" style="44" width="34.31"/>
    <col collapsed="false" customWidth="true" hidden="false" outlineLevel="0" max="3" min="3" style="44" width="17"/>
    <col collapsed="false" customWidth="true" hidden="false" outlineLevel="0" max="4" min="4" style="44" width="10.33"/>
    <col collapsed="false" customWidth="true" hidden="false" outlineLevel="0" max="5" min="5" style="44" width="12.61"/>
    <col collapsed="false" customWidth="true" hidden="false" outlineLevel="0" max="6" min="6" style="44" width="8.13"/>
    <col collapsed="false" customWidth="true" hidden="false" outlineLevel="0" max="7" min="7" style="44" width="26.88"/>
    <col collapsed="false" customWidth="true" hidden="false" outlineLevel="0" max="8" min="8" style="44" width="24.9"/>
    <col collapsed="false" customWidth="true" hidden="false" outlineLevel="0" max="9" min="9" style="44" width="41.5"/>
    <col collapsed="false" customWidth="true" hidden="false" outlineLevel="0" max="10" min="10" style="44" width="29.83"/>
    <col collapsed="false" customWidth="true" hidden="false" outlineLevel="0" max="11" min="11" style="44" width="22.83"/>
    <col collapsed="false" customWidth="false" hidden="false" outlineLevel="0" max="16379" min="12" style="44" width="6"/>
    <col collapsed="false" customWidth="true" hidden="false" outlineLevel="0" max="16380" min="16380" style="1" width="11.5"/>
    <col collapsed="false" customWidth="true" hidden="false" outlineLevel="0" max="16384" min="16381" style="1" width="11.53"/>
  </cols>
  <sheetData>
    <row r="1" customFormat="false" ht="16.5" hidden="false" customHeight="true" outlineLevel="0" collapsed="false">
      <c r="A1" s="47" t="s">
        <v>185</v>
      </c>
      <c r="B1" s="5"/>
      <c r="C1" s="5"/>
      <c r="D1" s="5"/>
      <c r="E1" s="127"/>
      <c r="F1" s="10" t="s">
        <v>186</v>
      </c>
      <c r="G1" s="5"/>
      <c r="H1" s="5"/>
      <c r="I1" s="5"/>
    </row>
    <row r="2" customFormat="false" ht="16.5" hidden="false" customHeight="true" outlineLevel="0" collapsed="false">
      <c r="A2" s="128" t="n">
        <f aca="true">TODAY()</f>
        <v>46278</v>
      </c>
      <c r="B2" s="49" t="str">
        <f aca="false">Contrôles!K$52</f>
        <v>✓</v>
      </c>
      <c r="C2" s="129"/>
      <c r="D2" s="5"/>
      <c r="E2" s="127"/>
      <c r="F2" s="130" t="s">
        <v>187</v>
      </c>
      <c r="G2" s="10" t="str">
        <f aca="false">"Opérations : "&amp;COUNTIF(OPdate,"&lt;"&amp;DATE(année_courante,12,31))</f>
        <v>Opérations : 70</v>
      </c>
      <c r="H2" s="5"/>
      <c r="I2" s="5"/>
    </row>
    <row r="3" customFormat="false" ht="37.5" hidden="false" customHeight="true" outlineLevel="0" collapsed="false">
      <c r="A3" s="49" t="s">
        <v>91</v>
      </c>
      <c r="B3" s="49" t="s">
        <v>188</v>
      </c>
      <c r="C3" s="49" t="s">
        <v>92</v>
      </c>
      <c r="D3" s="49" t="s">
        <v>88</v>
      </c>
      <c r="E3" s="49" t="s">
        <v>189</v>
      </c>
      <c r="F3" s="51" t="s">
        <v>190</v>
      </c>
      <c r="G3" s="49" t="s">
        <v>191</v>
      </c>
      <c r="H3" s="49" t="s">
        <v>75</v>
      </c>
      <c r="I3" s="47" t="s">
        <v>192</v>
      </c>
    </row>
    <row r="4" customFormat="false" ht="14.25" hidden="false" customHeight="true" outlineLevel="0" collapsed="false">
      <c r="A4" s="131" t="s">
        <v>4</v>
      </c>
      <c r="B4" s="132"/>
      <c r="C4" s="133"/>
      <c r="D4" s="134"/>
      <c r="E4" s="133"/>
      <c r="F4" s="135"/>
      <c r="G4" s="136"/>
      <c r="H4" s="136"/>
      <c r="I4" s="132"/>
    </row>
    <row r="5" customFormat="false" ht="16.5" hidden="false" customHeight="true" outlineLevel="0" collapsed="false">
      <c r="A5" s="131" t="n">
        <v>44927</v>
      </c>
      <c r="B5" s="136" t="s">
        <v>58</v>
      </c>
      <c r="C5" s="137" t="n">
        <v>503110</v>
      </c>
      <c r="D5" s="134" t="s">
        <v>116</v>
      </c>
      <c r="E5" s="133"/>
      <c r="F5" s="135"/>
      <c r="G5" s="136" t="s">
        <v>193</v>
      </c>
      <c r="H5" s="136" t="s">
        <v>115</v>
      </c>
      <c r="I5" s="136" t="s">
        <v>194</v>
      </c>
    </row>
    <row r="6" customFormat="false" ht="16.5" hidden="false" customHeight="true" outlineLevel="0" collapsed="false">
      <c r="A6" s="131" t="n">
        <v>44927</v>
      </c>
      <c r="B6" s="136" t="s">
        <v>58</v>
      </c>
      <c r="C6" s="133" t="n">
        <v>5000</v>
      </c>
      <c r="D6" s="134" t="s">
        <v>95</v>
      </c>
      <c r="E6" s="133"/>
      <c r="F6" s="135"/>
      <c r="G6" s="136" t="s">
        <v>193</v>
      </c>
      <c r="H6" s="136" t="s">
        <v>103</v>
      </c>
      <c r="I6" s="136"/>
    </row>
    <row r="7" customFormat="false" ht="16.5" hidden="false" customHeight="true" outlineLevel="0" collapsed="false">
      <c r="A7" s="131" t="n">
        <v>44968</v>
      </c>
      <c r="B7" s="136" t="s">
        <v>195</v>
      </c>
      <c r="C7" s="137" t="n">
        <v>-280000</v>
      </c>
      <c r="D7" s="134" t="s">
        <v>116</v>
      </c>
      <c r="E7" s="133" t="n">
        <v>-50</v>
      </c>
      <c r="F7" s="135" t="s">
        <v>196</v>
      </c>
      <c r="G7" s="136" t="s">
        <v>142</v>
      </c>
      <c r="H7" s="136" t="s">
        <v>115</v>
      </c>
      <c r="I7" s="136"/>
    </row>
    <row r="8" customFormat="false" ht="16.5" hidden="false" customHeight="true" outlineLevel="0" collapsed="false">
      <c r="A8" s="131" t="n">
        <v>44968</v>
      </c>
      <c r="B8" s="136" t="s">
        <v>197</v>
      </c>
      <c r="C8" s="137" t="n">
        <v>-584</v>
      </c>
      <c r="D8" s="134" t="s">
        <v>116</v>
      </c>
      <c r="E8" s="133"/>
      <c r="F8" s="135"/>
      <c r="G8" s="136" t="s">
        <v>148</v>
      </c>
      <c r="H8" s="136" t="s">
        <v>115</v>
      </c>
      <c r="I8" s="136"/>
    </row>
    <row r="9" customFormat="false" ht="16.5" hidden="false" customHeight="true" outlineLevel="0" collapsed="false">
      <c r="A9" s="131" t="n">
        <v>44983</v>
      </c>
      <c r="B9" s="136" t="s">
        <v>197</v>
      </c>
      <c r="C9" s="137" t="n">
        <v>280000</v>
      </c>
      <c r="D9" s="134" t="s">
        <v>116</v>
      </c>
      <c r="E9" s="133" t="n">
        <v>50</v>
      </c>
      <c r="F9" s="135" t="s">
        <v>196</v>
      </c>
      <c r="G9" s="136" t="s">
        <v>142</v>
      </c>
      <c r="H9" s="136" t="s">
        <v>117</v>
      </c>
      <c r="I9" s="136"/>
    </row>
    <row r="10" customFormat="false" ht="16.5" hidden="false" customHeight="true" outlineLevel="0" collapsed="false">
      <c r="A10" s="131" t="n">
        <v>44983</v>
      </c>
      <c r="B10" s="136" t="s">
        <v>197</v>
      </c>
      <c r="C10" s="137" t="n">
        <v>-1200</v>
      </c>
      <c r="D10" s="134" t="s">
        <v>116</v>
      </c>
      <c r="E10" s="133"/>
      <c r="F10" s="135"/>
      <c r="G10" s="136" t="s">
        <v>148</v>
      </c>
      <c r="H10" s="136" t="s">
        <v>117</v>
      </c>
      <c r="I10" s="136"/>
    </row>
    <row r="11" customFormat="false" ht="16.5" hidden="false" customHeight="true" outlineLevel="0" collapsed="false">
      <c r="A11" s="131" t="n">
        <v>45000</v>
      </c>
      <c r="B11" s="136" t="s">
        <v>198</v>
      </c>
      <c r="C11" s="137" t="n">
        <v>-218292</v>
      </c>
      <c r="D11" s="134" t="s">
        <v>116</v>
      </c>
      <c r="E11" s="133" t="n">
        <v>-50</v>
      </c>
      <c r="F11" s="135" t="s">
        <v>199</v>
      </c>
      <c r="G11" s="136" t="s">
        <v>140</v>
      </c>
      <c r="H11" s="136" t="s">
        <v>115</v>
      </c>
      <c r="I11" s="136"/>
    </row>
    <row r="12" customFormat="false" ht="16.5" hidden="false" customHeight="true" outlineLevel="0" collapsed="false">
      <c r="A12" s="131" t="n">
        <v>45000</v>
      </c>
      <c r="B12" s="136" t="s">
        <v>197</v>
      </c>
      <c r="C12" s="137" t="n">
        <v>-4234</v>
      </c>
      <c r="D12" s="134" t="s">
        <v>116</v>
      </c>
      <c r="E12" s="133"/>
      <c r="F12" s="135"/>
      <c r="G12" s="136" t="s">
        <v>148</v>
      </c>
      <c r="H12" s="136" t="s">
        <v>115</v>
      </c>
      <c r="I12" s="136"/>
    </row>
    <row r="13" customFormat="false" ht="16.5" hidden="false" customHeight="true" outlineLevel="0" collapsed="false">
      <c r="A13" s="131" t="n">
        <v>45000</v>
      </c>
      <c r="B13" s="136" t="s">
        <v>197</v>
      </c>
      <c r="C13" s="133" t="n">
        <v>50</v>
      </c>
      <c r="D13" s="134" t="s">
        <v>95</v>
      </c>
      <c r="E13" s="133" t="n">
        <v>50</v>
      </c>
      <c r="F13" s="135" t="s">
        <v>199</v>
      </c>
      <c r="G13" s="136" t="s">
        <v>140</v>
      </c>
      <c r="H13" s="136" t="s">
        <v>101</v>
      </c>
      <c r="I13" s="136"/>
    </row>
    <row r="14" customFormat="false" ht="16.5" hidden="false" customHeight="true" outlineLevel="0" collapsed="false">
      <c r="A14" s="131" t="n">
        <v>45048</v>
      </c>
      <c r="B14" s="136" t="s">
        <v>200</v>
      </c>
      <c r="C14" s="138" t="n">
        <v>14.09344</v>
      </c>
      <c r="D14" s="134" t="s">
        <v>122</v>
      </c>
      <c r="E14" s="133" t="n">
        <v>990</v>
      </c>
      <c r="F14" s="135" t="s">
        <v>201</v>
      </c>
      <c r="G14" s="136" t="s">
        <v>140</v>
      </c>
      <c r="H14" s="136" t="s">
        <v>121</v>
      </c>
      <c r="I14" s="136"/>
    </row>
    <row r="15" customFormat="false" ht="16.5" hidden="false" customHeight="true" outlineLevel="0" collapsed="false">
      <c r="A15" s="131" t="n">
        <v>45048</v>
      </c>
      <c r="B15" s="136" t="s">
        <v>202</v>
      </c>
      <c r="C15" s="133" t="n">
        <v>-39.6</v>
      </c>
      <c r="D15" s="134" t="s">
        <v>95</v>
      </c>
      <c r="E15" s="133"/>
      <c r="F15" s="135"/>
      <c r="G15" s="136" t="s">
        <v>203</v>
      </c>
      <c r="H15" s="136" t="s">
        <v>121</v>
      </c>
      <c r="I15" s="136" t="s">
        <v>204</v>
      </c>
    </row>
    <row r="16" customFormat="false" ht="16.5" hidden="false" customHeight="true" outlineLevel="0" collapsed="false">
      <c r="A16" s="131" t="n">
        <v>45048</v>
      </c>
      <c r="B16" s="136" t="s">
        <v>205</v>
      </c>
      <c r="C16" s="133" t="n">
        <v>-990</v>
      </c>
      <c r="D16" s="134" t="s">
        <v>95</v>
      </c>
      <c r="E16" s="133" t="n">
        <v>-990</v>
      </c>
      <c r="F16" s="135" t="s">
        <v>201</v>
      </c>
      <c r="G16" s="136" t="s">
        <v>140</v>
      </c>
      <c r="H16" s="136" t="s">
        <v>103</v>
      </c>
      <c r="I16" s="136"/>
    </row>
    <row r="17" customFormat="false" ht="16.5" hidden="false" customHeight="true" outlineLevel="0" collapsed="false">
      <c r="A17" s="131" t="n">
        <v>45292</v>
      </c>
      <c r="B17" s="136" t="s">
        <v>58</v>
      </c>
      <c r="C17" s="137" t="n">
        <v>0</v>
      </c>
      <c r="D17" s="134" t="s">
        <v>116</v>
      </c>
      <c r="E17" s="133"/>
      <c r="F17" s="135"/>
      <c r="G17" s="136" t="s">
        <v>193</v>
      </c>
      <c r="H17" s="136" t="s">
        <v>115</v>
      </c>
      <c r="I17" s="136"/>
    </row>
    <row r="18" customFormat="false" ht="16.5" hidden="false" customHeight="true" outlineLevel="0" collapsed="false">
      <c r="A18" s="131" t="n">
        <v>45292</v>
      </c>
      <c r="B18" s="136" t="s">
        <v>58</v>
      </c>
      <c r="C18" s="137" t="n">
        <v>278800</v>
      </c>
      <c r="D18" s="134" t="s">
        <v>116</v>
      </c>
      <c r="E18" s="133"/>
      <c r="F18" s="135"/>
      <c r="G18" s="136" t="s">
        <v>193</v>
      </c>
      <c r="H18" s="136" t="s">
        <v>117</v>
      </c>
      <c r="I18" s="136"/>
    </row>
    <row r="19" customFormat="false" ht="16.5" hidden="false" customHeight="true" outlineLevel="0" collapsed="false">
      <c r="A19" s="131" t="n">
        <v>45457</v>
      </c>
      <c r="B19" s="136" t="s">
        <v>58</v>
      </c>
      <c r="C19" s="138" t="n">
        <v>14.09344</v>
      </c>
      <c r="D19" s="134" t="s">
        <v>122</v>
      </c>
      <c r="E19" s="133"/>
      <c r="F19" s="135"/>
      <c r="G19" s="136" t="s">
        <v>193</v>
      </c>
      <c r="H19" s="136" t="s">
        <v>121</v>
      </c>
      <c r="I19" s="136"/>
    </row>
    <row r="20" customFormat="false" ht="16.5" hidden="false" customHeight="true" outlineLevel="0" collapsed="false">
      <c r="A20" s="131" t="n">
        <v>45621</v>
      </c>
      <c r="B20" s="136" t="s">
        <v>58</v>
      </c>
      <c r="C20" s="139" t="n">
        <v>2500</v>
      </c>
      <c r="D20" s="134" t="s">
        <v>100</v>
      </c>
      <c r="E20" s="133"/>
      <c r="F20" s="135"/>
      <c r="G20" s="136" t="s">
        <v>193</v>
      </c>
      <c r="H20" s="136" t="s">
        <v>113</v>
      </c>
      <c r="I20" s="136"/>
    </row>
    <row r="21" customFormat="false" ht="16.5" hidden="false" customHeight="true" outlineLevel="0" collapsed="false">
      <c r="A21" s="131" t="n">
        <v>45622</v>
      </c>
      <c r="B21" s="136" t="s">
        <v>206</v>
      </c>
      <c r="C21" s="139" t="n">
        <v>10</v>
      </c>
      <c r="D21" s="134" t="s">
        <v>100</v>
      </c>
      <c r="E21" s="133" t="n">
        <v>9.6</v>
      </c>
      <c r="F21" s="135"/>
      <c r="G21" s="136" t="s">
        <v>149</v>
      </c>
      <c r="H21" s="136" t="s">
        <v>99</v>
      </c>
      <c r="I21" s="136"/>
    </row>
    <row r="22" customFormat="false" ht="16.5" hidden="false" customHeight="true" outlineLevel="0" collapsed="false">
      <c r="A22" s="131" t="n">
        <v>45657</v>
      </c>
      <c r="B22" s="136" t="s">
        <v>58</v>
      </c>
      <c r="C22" s="133" t="n">
        <v>50</v>
      </c>
      <c r="D22" s="134" t="s">
        <v>95</v>
      </c>
      <c r="E22" s="133"/>
      <c r="F22" s="135"/>
      <c r="G22" s="136" t="s">
        <v>193</v>
      </c>
      <c r="H22" s="136" t="s">
        <v>101</v>
      </c>
      <c r="I22" s="136"/>
    </row>
    <row r="23" customFormat="false" ht="16.5" hidden="false" customHeight="true" outlineLevel="0" collapsed="false">
      <c r="A23" s="131" t="n">
        <v>45657</v>
      </c>
      <c r="B23" s="136" t="s">
        <v>58</v>
      </c>
      <c r="C23" s="133" t="n">
        <v>10965</v>
      </c>
      <c r="D23" s="134" t="s">
        <v>95</v>
      </c>
      <c r="E23" s="133"/>
      <c r="F23" s="135"/>
      <c r="G23" s="136" t="s">
        <v>193</v>
      </c>
      <c r="H23" s="136" t="s">
        <v>114</v>
      </c>
      <c r="I23" s="136"/>
    </row>
    <row r="24" customFormat="false" ht="16.5" hidden="false" customHeight="true" outlineLevel="0" collapsed="false">
      <c r="A24" s="131" t="n">
        <v>45657</v>
      </c>
      <c r="B24" s="136" t="s">
        <v>58</v>
      </c>
      <c r="C24" s="133" t="n">
        <v>2500</v>
      </c>
      <c r="D24" s="134" t="s">
        <v>95</v>
      </c>
      <c r="E24" s="133"/>
      <c r="F24" s="135"/>
      <c r="G24" s="136" t="s">
        <v>193</v>
      </c>
      <c r="H24" s="136" t="s">
        <v>104</v>
      </c>
      <c r="I24" s="136"/>
    </row>
    <row r="25" customFormat="false" ht="16.5" hidden="false" customHeight="true" outlineLevel="0" collapsed="false">
      <c r="A25" s="131" t="n">
        <v>45661</v>
      </c>
      <c r="B25" s="136" t="s">
        <v>207</v>
      </c>
      <c r="C25" s="133" t="n">
        <v>-1000</v>
      </c>
      <c r="D25" s="134" t="s">
        <v>95</v>
      </c>
      <c r="E25" s="133"/>
      <c r="F25" s="135"/>
      <c r="G25" s="136" t="s">
        <v>31</v>
      </c>
      <c r="H25" s="136" t="s">
        <v>104</v>
      </c>
      <c r="I25" s="136"/>
    </row>
    <row r="26" customFormat="false" ht="16.5" hidden="false" customHeight="true" outlineLevel="0" collapsed="false">
      <c r="A26" s="131" t="n">
        <v>45663</v>
      </c>
      <c r="B26" s="136" t="s">
        <v>205</v>
      </c>
      <c r="C26" s="133" t="n">
        <v>500</v>
      </c>
      <c r="D26" s="134" t="s">
        <v>95</v>
      </c>
      <c r="E26" s="133"/>
      <c r="F26" s="135" t="s">
        <v>208</v>
      </c>
      <c r="G26" s="136" t="s">
        <v>142</v>
      </c>
      <c r="H26" s="136" t="s">
        <v>103</v>
      </c>
      <c r="I26" s="136"/>
    </row>
    <row r="27" customFormat="false" ht="16.5" hidden="false" customHeight="true" outlineLevel="0" collapsed="false">
      <c r="A27" s="131" t="n">
        <v>45663</v>
      </c>
      <c r="B27" s="136"/>
      <c r="C27" s="133" t="n">
        <v>-500</v>
      </c>
      <c r="D27" s="134" t="s">
        <v>95</v>
      </c>
      <c r="E27" s="133"/>
      <c r="F27" s="135" t="s">
        <v>208</v>
      </c>
      <c r="G27" s="136" t="s">
        <v>142</v>
      </c>
      <c r="H27" s="136" t="s">
        <v>114</v>
      </c>
      <c r="I27" s="136"/>
    </row>
    <row r="28" customFormat="false" ht="16.5" hidden="false" customHeight="true" outlineLevel="0" collapsed="false">
      <c r="A28" s="131" t="n">
        <v>45679</v>
      </c>
      <c r="B28" s="136" t="s">
        <v>209</v>
      </c>
      <c r="C28" s="133" t="n">
        <v>-180</v>
      </c>
      <c r="D28" s="134" t="s">
        <v>95</v>
      </c>
      <c r="E28" s="133"/>
      <c r="F28" s="135"/>
      <c r="G28" s="136" t="s">
        <v>31</v>
      </c>
      <c r="H28" s="136" t="s">
        <v>104</v>
      </c>
      <c r="I28" s="136"/>
    </row>
    <row r="29" customFormat="false" ht="16.5" hidden="false" customHeight="true" outlineLevel="0" collapsed="false">
      <c r="A29" s="131" t="n">
        <v>45705</v>
      </c>
      <c r="B29" s="136" t="s">
        <v>210</v>
      </c>
      <c r="C29" s="133" t="n">
        <v>-300</v>
      </c>
      <c r="D29" s="134" t="s">
        <v>95</v>
      </c>
      <c r="E29" s="133"/>
      <c r="F29" s="135" t="s">
        <v>211</v>
      </c>
      <c r="G29" s="136" t="s">
        <v>142</v>
      </c>
      <c r="H29" s="136" t="s">
        <v>103</v>
      </c>
      <c r="I29" s="136"/>
    </row>
    <row r="30" customFormat="false" ht="16.5" hidden="false" customHeight="true" outlineLevel="0" collapsed="false">
      <c r="A30" s="131" t="n">
        <v>45705</v>
      </c>
      <c r="B30" s="136" t="s">
        <v>210</v>
      </c>
      <c r="C30" s="133" t="n">
        <v>300</v>
      </c>
      <c r="D30" s="134" t="s">
        <v>95</v>
      </c>
      <c r="E30" s="133"/>
      <c r="F30" s="135" t="s">
        <v>211</v>
      </c>
      <c r="G30" s="136" t="s">
        <v>142</v>
      </c>
      <c r="H30" s="136" t="s">
        <v>104</v>
      </c>
      <c r="I30" s="136"/>
    </row>
    <row r="31" customFormat="false" ht="16.5" hidden="false" customHeight="true" outlineLevel="0" collapsed="false">
      <c r="A31" s="131" t="n">
        <v>45715</v>
      </c>
      <c r="B31" s="136" t="s">
        <v>205</v>
      </c>
      <c r="C31" s="133" t="n">
        <v>-500</v>
      </c>
      <c r="D31" s="134" t="s">
        <v>95</v>
      </c>
      <c r="E31" s="133" t="n">
        <v>-500</v>
      </c>
      <c r="F31" s="135" t="s">
        <v>212</v>
      </c>
      <c r="G31" s="136" t="s">
        <v>140</v>
      </c>
      <c r="H31" s="136" t="s">
        <v>103</v>
      </c>
      <c r="I31" s="136"/>
    </row>
    <row r="32" customFormat="false" ht="16.5" hidden="false" customHeight="true" outlineLevel="0" collapsed="false">
      <c r="A32" s="131" t="n">
        <v>45715</v>
      </c>
      <c r="B32" s="136" t="s">
        <v>213</v>
      </c>
      <c r="C32" s="139" t="n">
        <v>520.1</v>
      </c>
      <c r="D32" s="134" t="s">
        <v>100</v>
      </c>
      <c r="E32" s="133" t="n">
        <v>500</v>
      </c>
      <c r="F32" s="135" t="s">
        <v>212</v>
      </c>
      <c r="G32" s="136" t="s">
        <v>140</v>
      </c>
      <c r="H32" s="136" t="s">
        <v>113</v>
      </c>
      <c r="I32" s="136"/>
    </row>
    <row r="33" customFormat="false" ht="16.5" hidden="false" customHeight="true" outlineLevel="0" collapsed="false">
      <c r="A33" s="131" t="n">
        <v>45715</v>
      </c>
      <c r="B33" s="136" t="s">
        <v>214</v>
      </c>
      <c r="C33" s="139" t="n">
        <v>60</v>
      </c>
      <c r="D33" s="134" t="s">
        <v>100</v>
      </c>
      <c r="E33" s="133" t="n">
        <v>57.25</v>
      </c>
      <c r="F33" s="135" t="s">
        <v>215</v>
      </c>
      <c r="G33" s="136" t="s">
        <v>143</v>
      </c>
      <c r="H33" s="136" t="s">
        <v>99</v>
      </c>
      <c r="I33" s="136"/>
    </row>
    <row r="34" customFormat="false" ht="16.5" hidden="false" customHeight="true" outlineLevel="0" collapsed="false">
      <c r="A34" s="131" t="n">
        <v>45715</v>
      </c>
      <c r="B34" s="136" t="s">
        <v>214</v>
      </c>
      <c r="C34" s="139" t="n">
        <v>-60</v>
      </c>
      <c r="D34" s="134" t="s">
        <v>100</v>
      </c>
      <c r="E34" s="133" t="n">
        <v>-57.25</v>
      </c>
      <c r="F34" s="135" t="s">
        <v>215</v>
      </c>
      <c r="G34" s="136" t="s">
        <v>143</v>
      </c>
      <c r="H34" s="136" t="s">
        <v>113</v>
      </c>
      <c r="I34" s="136"/>
    </row>
    <row r="35" customFormat="false" ht="16.5" hidden="false" customHeight="true" outlineLevel="0" collapsed="false">
      <c r="A35" s="131" t="n">
        <v>45716</v>
      </c>
      <c r="B35" s="136" t="s">
        <v>216</v>
      </c>
      <c r="C35" s="139" t="n">
        <v>-29.97</v>
      </c>
      <c r="D35" s="134" t="s">
        <v>100</v>
      </c>
      <c r="E35" s="133" t="n">
        <v>-28.85</v>
      </c>
      <c r="F35" s="135" t="s">
        <v>217</v>
      </c>
      <c r="G35" s="136" t="s">
        <v>144</v>
      </c>
      <c r="H35" s="136" t="s">
        <v>99</v>
      </c>
      <c r="I35" s="136"/>
    </row>
    <row r="36" customFormat="false" ht="16.5" hidden="false" customHeight="true" outlineLevel="0" collapsed="false">
      <c r="A36" s="131" t="n">
        <v>45716</v>
      </c>
      <c r="B36" s="136" t="s">
        <v>216</v>
      </c>
      <c r="C36" s="139" t="n">
        <v>29.97</v>
      </c>
      <c r="D36" s="134" t="s">
        <v>100</v>
      </c>
      <c r="E36" s="133" t="n">
        <v>28.85</v>
      </c>
      <c r="F36" s="135" t="s">
        <v>217</v>
      </c>
      <c r="G36" s="136" t="s">
        <v>144</v>
      </c>
      <c r="H36" s="136" t="s">
        <v>113</v>
      </c>
      <c r="I36" s="136"/>
    </row>
    <row r="37" customFormat="false" ht="16.5" hidden="false" customHeight="true" outlineLevel="0" collapsed="false">
      <c r="A37" s="131" t="n">
        <v>45716</v>
      </c>
      <c r="B37" s="136" t="s">
        <v>218</v>
      </c>
      <c r="C37" s="139" t="n">
        <v>0.15</v>
      </c>
      <c r="D37" s="134" t="s">
        <v>100</v>
      </c>
      <c r="E37" s="133"/>
      <c r="F37" s="135"/>
      <c r="G37" s="136" t="s">
        <v>146</v>
      </c>
      <c r="H37" s="136" t="s">
        <v>113</v>
      </c>
      <c r="I37" s="136"/>
    </row>
    <row r="38" customFormat="false" ht="16.5" hidden="false" customHeight="true" outlineLevel="0" collapsed="false">
      <c r="A38" s="131" t="n">
        <v>45715</v>
      </c>
      <c r="B38" s="136" t="s">
        <v>219</v>
      </c>
      <c r="C38" s="139" t="n">
        <v>-0.29</v>
      </c>
      <c r="D38" s="134" t="s">
        <v>100</v>
      </c>
      <c r="E38" s="133"/>
      <c r="F38" s="135"/>
      <c r="G38" s="136" t="s">
        <v>148</v>
      </c>
      <c r="H38" s="136" t="s">
        <v>113</v>
      </c>
      <c r="I38" s="136"/>
    </row>
    <row r="39" customFormat="false" ht="16.5" hidden="false" customHeight="true" outlineLevel="0" collapsed="false">
      <c r="A39" s="131" t="n">
        <v>45763</v>
      </c>
      <c r="B39" s="136"/>
      <c r="C39" s="133" t="n">
        <v>-33</v>
      </c>
      <c r="D39" s="134" t="s">
        <v>95</v>
      </c>
      <c r="E39" s="133"/>
      <c r="F39" s="135"/>
      <c r="G39" s="136" t="s">
        <v>151</v>
      </c>
      <c r="H39" s="136" t="s">
        <v>104</v>
      </c>
      <c r="I39" s="136"/>
    </row>
    <row r="40" customFormat="false" ht="16.5" hidden="false" customHeight="true" outlineLevel="0" collapsed="false">
      <c r="A40" s="131" t="n">
        <v>45783</v>
      </c>
      <c r="B40" s="136" t="s">
        <v>220</v>
      </c>
      <c r="C40" s="139" t="n">
        <v>200</v>
      </c>
      <c r="D40" s="134" t="s">
        <v>100</v>
      </c>
      <c r="E40" s="133" t="n">
        <v>176</v>
      </c>
      <c r="F40" s="135"/>
      <c r="G40" s="136" t="s">
        <v>143</v>
      </c>
      <c r="H40" s="136" t="s">
        <v>99</v>
      </c>
      <c r="I40" s="136"/>
    </row>
    <row r="41" customFormat="false" ht="16.5" hidden="false" customHeight="true" outlineLevel="0" collapsed="false">
      <c r="A41" s="131" t="n">
        <v>45783</v>
      </c>
      <c r="B41" s="136" t="s">
        <v>220</v>
      </c>
      <c r="C41" s="139" t="n">
        <v>-200</v>
      </c>
      <c r="D41" s="134" t="s">
        <v>100</v>
      </c>
      <c r="E41" s="133" t="n">
        <v>-176</v>
      </c>
      <c r="F41" s="135"/>
      <c r="G41" s="136" t="s">
        <v>143</v>
      </c>
      <c r="H41" s="136" t="s">
        <v>113</v>
      </c>
      <c r="I41" s="136"/>
    </row>
    <row r="42" customFormat="false" ht="16.5" hidden="false" customHeight="true" outlineLevel="0" collapsed="false">
      <c r="A42" s="131" t="n">
        <v>45809</v>
      </c>
      <c r="B42" s="136" t="s">
        <v>221</v>
      </c>
      <c r="C42" s="139" t="n">
        <v>0.17</v>
      </c>
      <c r="D42" s="134" t="s">
        <v>100</v>
      </c>
      <c r="E42" s="133"/>
      <c r="F42" s="135"/>
      <c r="G42" s="136" t="s">
        <v>147</v>
      </c>
      <c r="H42" s="136" t="s">
        <v>113</v>
      </c>
      <c r="I42" s="136"/>
    </row>
    <row r="43" customFormat="false" ht="16.5" hidden="false" customHeight="true" outlineLevel="0" collapsed="false">
      <c r="A43" s="131" t="n">
        <v>45809</v>
      </c>
      <c r="B43" s="136"/>
      <c r="C43" s="139" t="n">
        <v>0.79</v>
      </c>
      <c r="D43" s="134" t="s">
        <v>100</v>
      </c>
      <c r="E43" s="133"/>
      <c r="F43" s="135"/>
      <c r="G43" s="136" t="s">
        <v>146</v>
      </c>
      <c r="H43" s="136" t="s">
        <v>113</v>
      </c>
      <c r="I43" s="136"/>
    </row>
    <row r="44" customFormat="false" ht="16.5" hidden="false" customHeight="true" outlineLevel="0" collapsed="false">
      <c r="A44" s="131" t="n">
        <v>45822</v>
      </c>
      <c r="B44" s="136"/>
      <c r="C44" s="133" t="n">
        <v>-90</v>
      </c>
      <c r="D44" s="134" t="s">
        <v>95</v>
      </c>
      <c r="E44" s="133"/>
      <c r="F44" s="135"/>
      <c r="G44" s="136" t="s">
        <v>130</v>
      </c>
      <c r="H44" s="136" t="s">
        <v>104</v>
      </c>
      <c r="I44" s="136"/>
    </row>
    <row r="45" customFormat="false" ht="16.5" hidden="false" customHeight="true" outlineLevel="0" collapsed="false">
      <c r="A45" s="131" t="n">
        <v>45923</v>
      </c>
      <c r="B45" s="136" t="s">
        <v>58</v>
      </c>
      <c r="C45" s="137" t="n">
        <v>51277</v>
      </c>
      <c r="D45" s="134" t="s">
        <v>116</v>
      </c>
      <c r="E45" s="133"/>
      <c r="F45" s="135"/>
      <c r="G45" s="136" t="s">
        <v>193</v>
      </c>
      <c r="H45" s="136" t="s">
        <v>118</v>
      </c>
      <c r="I45" s="136"/>
    </row>
    <row r="46" customFormat="false" ht="16.5" hidden="false" customHeight="true" outlineLevel="0" collapsed="false">
      <c r="A46" s="131" t="n">
        <v>45924</v>
      </c>
      <c r="B46" s="136" t="s">
        <v>205</v>
      </c>
      <c r="C46" s="133" t="n">
        <v>-900</v>
      </c>
      <c r="D46" s="134" t="s">
        <v>95</v>
      </c>
      <c r="E46" s="133" t="n">
        <v>-900</v>
      </c>
      <c r="F46" s="135" t="s">
        <v>222</v>
      </c>
      <c r="G46" s="136" t="s">
        <v>140</v>
      </c>
      <c r="H46" s="136" t="s">
        <v>103</v>
      </c>
      <c r="I46" s="136"/>
    </row>
    <row r="47" customFormat="false" ht="16.5" hidden="false" customHeight="true" outlineLevel="0" collapsed="false">
      <c r="A47" s="131" t="n">
        <v>45924</v>
      </c>
      <c r="B47" s="136" t="s">
        <v>223</v>
      </c>
      <c r="C47" s="139" t="n">
        <v>1050.06</v>
      </c>
      <c r="D47" s="134" t="s">
        <v>100</v>
      </c>
      <c r="E47" s="133" t="n">
        <v>900</v>
      </c>
      <c r="F47" s="135" t="s">
        <v>222</v>
      </c>
      <c r="G47" s="136" t="s">
        <v>140</v>
      </c>
      <c r="H47" s="136" t="s">
        <v>113</v>
      </c>
      <c r="I47" s="136"/>
    </row>
    <row r="48" customFormat="false" ht="16.5" hidden="false" customHeight="true" outlineLevel="0" collapsed="false">
      <c r="A48" s="131" t="n">
        <v>45924</v>
      </c>
      <c r="B48" s="136" t="s">
        <v>224</v>
      </c>
      <c r="C48" s="139" t="n">
        <v>-0.76</v>
      </c>
      <c r="D48" s="134" t="s">
        <v>100</v>
      </c>
      <c r="E48" s="133"/>
      <c r="F48" s="135" t="s">
        <v>222</v>
      </c>
      <c r="G48" s="136" t="s">
        <v>146</v>
      </c>
      <c r="H48" s="136" t="s">
        <v>113</v>
      </c>
      <c r="I48" s="136"/>
    </row>
    <row r="49" customFormat="false" ht="16.5" hidden="false" customHeight="true" outlineLevel="0" collapsed="false">
      <c r="A49" s="131" t="n">
        <v>45924</v>
      </c>
      <c r="B49" s="136" t="s">
        <v>225</v>
      </c>
      <c r="C49" s="139" t="n">
        <v>-1000</v>
      </c>
      <c r="D49" s="134" t="s">
        <v>100</v>
      </c>
      <c r="E49" s="133" t="n">
        <v>-1175.09</v>
      </c>
      <c r="F49" s="135" t="s">
        <v>226</v>
      </c>
      <c r="G49" s="136" t="s">
        <v>143</v>
      </c>
      <c r="H49" s="136" t="s">
        <v>113</v>
      </c>
      <c r="I49" s="136"/>
    </row>
    <row r="50" customFormat="false" ht="16.5" hidden="false" customHeight="true" outlineLevel="0" collapsed="false">
      <c r="A50" s="131" t="n">
        <v>45924</v>
      </c>
      <c r="B50" s="136" t="s">
        <v>227</v>
      </c>
      <c r="C50" s="139" t="n">
        <v>-10</v>
      </c>
      <c r="D50" s="134" t="s">
        <v>100</v>
      </c>
      <c r="E50" s="133"/>
      <c r="F50" s="135" t="s">
        <v>226</v>
      </c>
      <c r="G50" s="136" t="s">
        <v>148</v>
      </c>
      <c r="H50" s="136" t="s">
        <v>113</v>
      </c>
      <c r="I50" s="136"/>
    </row>
    <row r="51" customFormat="false" ht="16.5" hidden="false" customHeight="true" outlineLevel="0" collapsed="false">
      <c r="A51" s="131" t="n">
        <v>45924</v>
      </c>
      <c r="B51" s="136" t="s">
        <v>225</v>
      </c>
      <c r="C51" s="139" t="n">
        <v>1000</v>
      </c>
      <c r="D51" s="134" t="s">
        <v>100</v>
      </c>
      <c r="E51" s="133" t="n">
        <v>1175.09</v>
      </c>
      <c r="F51" s="135" t="s">
        <v>226</v>
      </c>
      <c r="G51" s="136" t="s">
        <v>143</v>
      </c>
      <c r="H51" s="136" t="s">
        <v>99</v>
      </c>
      <c r="I51" s="136"/>
    </row>
    <row r="52" customFormat="false" ht="16.5" hidden="false" customHeight="true" outlineLevel="0" collapsed="false">
      <c r="A52" s="131" t="n">
        <v>45933</v>
      </c>
      <c r="B52" s="136" t="s">
        <v>228</v>
      </c>
      <c r="C52" s="133" t="n">
        <v>-120</v>
      </c>
      <c r="D52" s="134" t="s">
        <v>95</v>
      </c>
      <c r="E52" s="133"/>
      <c r="F52" s="135"/>
      <c r="G52" s="136" t="s">
        <v>150</v>
      </c>
      <c r="H52" s="136" t="s">
        <v>104</v>
      </c>
      <c r="I52" s="136"/>
    </row>
    <row r="53" customFormat="false" ht="16.5" hidden="false" customHeight="true" outlineLevel="0" collapsed="false">
      <c r="A53" s="131" t="n">
        <v>45939</v>
      </c>
      <c r="B53" s="136" t="s">
        <v>229</v>
      </c>
      <c r="C53" s="133" t="n">
        <v>-970</v>
      </c>
      <c r="D53" s="134" t="s">
        <v>95</v>
      </c>
      <c r="E53" s="133"/>
      <c r="F53" s="135"/>
      <c r="G53" s="136" t="s">
        <v>31</v>
      </c>
      <c r="H53" s="136" t="s">
        <v>104</v>
      </c>
      <c r="I53" s="136"/>
    </row>
    <row r="54" customFormat="false" ht="16.5" hidden="false" customHeight="true" outlineLevel="0" collapsed="false">
      <c r="A54" s="131" t="n">
        <v>45940</v>
      </c>
      <c r="B54" s="136" t="s">
        <v>205</v>
      </c>
      <c r="C54" s="133" t="n">
        <v>500</v>
      </c>
      <c r="D54" s="134" t="s">
        <v>95</v>
      </c>
      <c r="E54" s="133"/>
      <c r="F54" s="135" t="s">
        <v>230</v>
      </c>
      <c r="G54" s="136" t="s">
        <v>142</v>
      </c>
      <c r="H54" s="136" t="s">
        <v>103</v>
      </c>
      <c r="I54" s="136"/>
    </row>
    <row r="55" customFormat="false" ht="16.5" hidden="false" customHeight="true" outlineLevel="0" collapsed="false">
      <c r="A55" s="131" t="n">
        <v>45940</v>
      </c>
      <c r="B55" s="136" t="s">
        <v>231</v>
      </c>
      <c r="C55" s="133" t="n">
        <v>-500</v>
      </c>
      <c r="D55" s="134" t="s">
        <v>95</v>
      </c>
      <c r="E55" s="133"/>
      <c r="F55" s="135" t="s">
        <v>230</v>
      </c>
      <c r="G55" s="136" t="s">
        <v>142</v>
      </c>
      <c r="H55" s="136" t="s">
        <v>114</v>
      </c>
      <c r="I55" s="136"/>
    </row>
    <row r="56" customFormat="false" ht="16.5" hidden="false" customHeight="true" outlineLevel="0" collapsed="false">
      <c r="A56" s="131" t="n">
        <v>45945</v>
      </c>
      <c r="B56" s="136" t="s">
        <v>205</v>
      </c>
      <c r="C56" s="133" t="n">
        <v>-300</v>
      </c>
      <c r="D56" s="134" t="s">
        <v>95</v>
      </c>
      <c r="E56" s="133"/>
      <c r="F56" s="135" t="s">
        <v>232</v>
      </c>
      <c r="G56" s="136" t="s">
        <v>142</v>
      </c>
      <c r="H56" s="136" t="s">
        <v>103</v>
      </c>
      <c r="I56" s="136"/>
    </row>
    <row r="57" customFormat="false" ht="16.5" hidden="false" customHeight="true" outlineLevel="0" collapsed="false">
      <c r="A57" s="131" t="n">
        <v>45945</v>
      </c>
      <c r="B57" s="136" t="s">
        <v>210</v>
      </c>
      <c r="C57" s="133" t="n">
        <v>300</v>
      </c>
      <c r="D57" s="134" t="s">
        <v>95</v>
      </c>
      <c r="E57" s="133"/>
      <c r="F57" s="135" t="s">
        <v>232</v>
      </c>
      <c r="G57" s="136" t="s">
        <v>142</v>
      </c>
      <c r="H57" s="136" t="s">
        <v>104</v>
      </c>
      <c r="I57" s="136"/>
    </row>
    <row r="58" customFormat="false" ht="16.5" hidden="false" customHeight="true" outlineLevel="0" collapsed="false">
      <c r="A58" s="131" t="n">
        <v>45951</v>
      </c>
      <c r="B58" s="136" t="s">
        <v>207</v>
      </c>
      <c r="C58" s="133" t="n">
        <v>-700</v>
      </c>
      <c r="D58" s="134" t="s">
        <v>95</v>
      </c>
      <c r="E58" s="133"/>
      <c r="F58" s="135"/>
      <c r="G58" s="136" t="s">
        <v>31</v>
      </c>
      <c r="H58" s="136" t="s">
        <v>104</v>
      </c>
      <c r="I58" s="136"/>
    </row>
    <row r="59" customFormat="false" ht="16.5" hidden="false" customHeight="true" outlineLevel="0" collapsed="false">
      <c r="A59" s="131" t="n">
        <v>45967</v>
      </c>
      <c r="B59" s="136" t="s">
        <v>58</v>
      </c>
      <c r="C59" s="137" t="n">
        <v>51277</v>
      </c>
      <c r="D59" s="134" t="s">
        <v>116</v>
      </c>
      <c r="E59" s="133"/>
      <c r="F59" s="135"/>
      <c r="G59" s="136" t="s">
        <v>193</v>
      </c>
      <c r="H59" s="136" t="s">
        <v>118</v>
      </c>
      <c r="I59" s="136"/>
    </row>
    <row r="60" customFormat="false" ht="16.5" hidden="false" customHeight="true" outlineLevel="0" collapsed="false">
      <c r="A60" s="131" t="n">
        <v>46014</v>
      </c>
      <c r="B60" s="136" t="s">
        <v>205</v>
      </c>
      <c r="C60" s="133" t="n">
        <v>-118.08</v>
      </c>
      <c r="D60" s="134" t="s">
        <v>95</v>
      </c>
      <c r="E60" s="133" t="n">
        <v>-118.08</v>
      </c>
      <c r="F60" s="135" t="s">
        <v>233</v>
      </c>
      <c r="G60" s="136" t="s">
        <v>140</v>
      </c>
      <c r="H60" s="136" t="s">
        <v>103</v>
      </c>
      <c r="I60" s="136"/>
    </row>
    <row r="61" customFormat="false" ht="16.5" hidden="false" customHeight="true" outlineLevel="0" collapsed="false">
      <c r="A61" s="131" t="n">
        <v>46014</v>
      </c>
      <c r="B61" s="136" t="s">
        <v>234</v>
      </c>
      <c r="C61" s="139" t="n">
        <v>10.44</v>
      </c>
      <c r="D61" s="134" t="s">
        <v>100</v>
      </c>
      <c r="E61" s="133"/>
      <c r="F61" s="135"/>
      <c r="G61" s="136" t="s">
        <v>147</v>
      </c>
      <c r="H61" s="136" t="s">
        <v>113</v>
      </c>
      <c r="I61" s="136"/>
    </row>
    <row r="62" customFormat="false" ht="16.5" hidden="false" customHeight="true" outlineLevel="0" collapsed="false">
      <c r="A62" s="131" t="n">
        <v>46048</v>
      </c>
      <c r="B62" s="136" t="s">
        <v>235</v>
      </c>
      <c r="C62" s="139" t="n">
        <v>138.95</v>
      </c>
      <c r="D62" s="134" t="s">
        <v>100</v>
      </c>
      <c r="E62" s="133" t="n">
        <v>118.08</v>
      </c>
      <c r="F62" s="135" t="s">
        <v>233</v>
      </c>
      <c r="G62" s="136" t="s">
        <v>140</v>
      </c>
      <c r="H62" s="136" t="s">
        <v>113</v>
      </c>
      <c r="I62" s="136"/>
    </row>
    <row r="63" customFormat="false" ht="16.5" hidden="false" customHeight="true" outlineLevel="0" collapsed="false">
      <c r="A63" s="131" t="n">
        <v>46048</v>
      </c>
      <c r="B63" s="136" t="s">
        <v>236</v>
      </c>
      <c r="C63" s="139" t="n">
        <v>-138.93</v>
      </c>
      <c r="D63" s="134" t="s">
        <v>100</v>
      </c>
      <c r="E63" s="133" t="n">
        <v>-117.38</v>
      </c>
      <c r="F63" s="135" t="s">
        <v>237</v>
      </c>
      <c r="G63" s="136" t="s">
        <v>143</v>
      </c>
      <c r="H63" s="136" t="s">
        <v>113</v>
      </c>
      <c r="I63" s="136"/>
    </row>
    <row r="64" customFormat="false" ht="16.5" hidden="false" customHeight="true" outlineLevel="0" collapsed="false">
      <c r="A64" s="131" t="n">
        <v>46048</v>
      </c>
      <c r="B64" s="136" t="s">
        <v>236</v>
      </c>
      <c r="C64" s="139" t="n">
        <v>138.93</v>
      </c>
      <c r="D64" s="134" t="s">
        <v>100</v>
      </c>
      <c r="E64" s="133" t="n">
        <v>117.38</v>
      </c>
      <c r="F64" s="135" t="s">
        <v>237</v>
      </c>
      <c r="G64" s="136" t="s">
        <v>143</v>
      </c>
      <c r="H64" s="136" t="s">
        <v>99</v>
      </c>
      <c r="I64" s="136"/>
    </row>
    <row r="65" customFormat="false" ht="16.5" hidden="false" customHeight="true" outlineLevel="0" collapsed="false">
      <c r="A65" s="131" t="n">
        <v>46048</v>
      </c>
      <c r="B65" s="136" t="s">
        <v>236</v>
      </c>
      <c r="C65" s="139" t="n">
        <v>-2353.06</v>
      </c>
      <c r="D65" s="134" t="s">
        <v>100</v>
      </c>
      <c r="E65" s="133" t="n">
        <v>-1988.05</v>
      </c>
      <c r="F65" s="135" t="s">
        <v>238</v>
      </c>
      <c r="G65" s="136" t="s">
        <v>143</v>
      </c>
      <c r="H65" s="136" t="s">
        <v>113</v>
      </c>
      <c r="I65" s="136"/>
    </row>
    <row r="66" customFormat="false" ht="16.5" hidden="false" customHeight="true" outlineLevel="0" collapsed="false">
      <c r="A66" s="131" t="n">
        <v>46048</v>
      </c>
      <c r="B66" s="136" t="s">
        <v>236</v>
      </c>
      <c r="C66" s="139" t="n">
        <v>2353.06</v>
      </c>
      <c r="D66" s="134" t="s">
        <v>100</v>
      </c>
      <c r="E66" s="133" t="n">
        <v>1988.05</v>
      </c>
      <c r="F66" s="135" t="s">
        <v>238</v>
      </c>
      <c r="G66" s="136" t="s">
        <v>143</v>
      </c>
      <c r="H66" s="136" t="s">
        <v>99</v>
      </c>
      <c r="I66" s="136"/>
    </row>
    <row r="67" customFormat="false" ht="16.5" hidden="false" customHeight="true" outlineLevel="0" collapsed="false">
      <c r="A67" s="131" t="n">
        <v>46050</v>
      </c>
      <c r="B67" s="136" t="s">
        <v>58</v>
      </c>
      <c r="C67" s="139" t="n">
        <v>487.59</v>
      </c>
      <c r="D67" s="134" t="s">
        <v>100</v>
      </c>
      <c r="E67" s="133"/>
      <c r="F67" s="135"/>
      <c r="G67" s="136" t="s">
        <v>193</v>
      </c>
      <c r="H67" s="136" t="s">
        <v>113</v>
      </c>
      <c r="I67" s="136"/>
    </row>
    <row r="68" customFormat="false" ht="16.5" hidden="false" customHeight="true" outlineLevel="0" collapsed="false">
      <c r="A68" s="131" t="n">
        <v>46050</v>
      </c>
      <c r="B68" s="136" t="s">
        <v>58</v>
      </c>
      <c r="C68" s="139" t="n">
        <v>3549.43</v>
      </c>
      <c r="D68" s="134" t="s">
        <v>100</v>
      </c>
      <c r="E68" s="133"/>
      <c r="F68" s="135"/>
      <c r="G68" s="136" t="s">
        <v>193</v>
      </c>
      <c r="H68" s="136" t="s">
        <v>99</v>
      </c>
      <c r="I68" s="136"/>
    </row>
    <row r="69" customFormat="false" ht="16.5" hidden="false" customHeight="true" outlineLevel="0" collapsed="false">
      <c r="A69" s="131" t="n">
        <v>46058</v>
      </c>
      <c r="B69" s="136" t="s">
        <v>58</v>
      </c>
      <c r="C69" s="133" t="n">
        <v>9965</v>
      </c>
      <c r="D69" s="134" t="s">
        <v>95</v>
      </c>
      <c r="E69" s="133"/>
      <c r="F69" s="135"/>
      <c r="G69" s="136" t="s">
        <v>193</v>
      </c>
      <c r="H69" s="136" t="s">
        <v>114</v>
      </c>
      <c r="I69" s="136"/>
    </row>
    <row r="70" customFormat="false" ht="16.5" hidden="false" customHeight="true" outlineLevel="0" collapsed="false">
      <c r="A70" s="131" t="n">
        <v>46084</v>
      </c>
      <c r="B70" s="136" t="s">
        <v>58</v>
      </c>
      <c r="C70" s="133" t="n">
        <v>7</v>
      </c>
      <c r="D70" s="134" t="s">
        <v>95</v>
      </c>
      <c r="E70" s="133"/>
      <c r="F70" s="135"/>
      <c r="G70" s="136" t="s">
        <v>193</v>
      </c>
      <c r="H70" s="136" t="s">
        <v>104</v>
      </c>
      <c r="I70" s="136"/>
    </row>
    <row r="71" customFormat="false" ht="16.5" hidden="false" customHeight="true" outlineLevel="0" collapsed="false">
      <c r="A71" s="131" t="n">
        <v>46091</v>
      </c>
      <c r="B71" s="136" t="s">
        <v>205</v>
      </c>
      <c r="C71" s="133" t="n">
        <v>-10</v>
      </c>
      <c r="D71" s="134" t="s">
        <v>95</v>
      </c>
      <c r="E71" s="133"/>
      <c r="F71" s="135" t="s">
        <v>239</v>
      </c>
      <c r="G71" s="136" t="s">
        <v>142</v>
      </c>
      <c r="H71" s="136" t="s">
        <v>103</v>
      </c>
      <c r="I71" s="136"/>
    </row>
    <row r="72" customFormat="false" ht="16.5" hidden="false" customHeight="true" outlineLevel="0" collapsed="false">
      <c r="A72" s="131" t="n">
        <v>46091</v>
      </c>
      <c r="B72" s="136" t="s">
        <v>240</v>
      </c>
      <c r="C72" s="133" t="n">
        <v>10</v>
      </c>
      <c r="D72" s="134" t="s">
        <v>95</v>
      </c>
      <c r="E72" s="133"/>
      <c r="F72" s="135" t="s">
        <v>239</v>
      </c>
      <c r="G72" s="136" t="s">
        <v>142</v>
      </c>
      <c r="H72" s="136" t="s">
        <v>106</v>
      </c>
      <c r="I72" s="136"/>
    </row>
    <row r="73" customFormat="false" ht="16.5" hidden="false" customHeight="true" outlineLevel="0" collapsed="false">
      <c r="A73" s="131" t="n">
        <v>46091</v>
      </c>
      <c r="B73" s="136" t="s">
        <v>58</v>
      </c>
      <c r="C73" s="133" t="n">
        <v>10</v>
      </c>
      <c r="D73" s="134" t="s">
        <v>95</v>
      </c>
      <c r="E73" s="133"/>
      <c r="F73" s="135"/>
      <c r="G73" s="136" t="s">
        <v>193</v>
      </c>
      <c r="H73" s="136" t="s">
        <v>106</v>
      </c>
      <c r="I73" s="136"/>
    </row>
    <row r="74" customFormat="false" ht="16.5" hidden="false" customHeight="true" outlineLevel="0" collapsed="false">
      <c r="A74" s="131" t="n">
        <v>46092</v>
      </c>
      <c r="B74" s="136" t="s">
        <v>58</v>
      </c>
      <c r="C74" s="133" t="n">
        <v>2881.92</v>
      </c>
      <c r="D74" s="134" t="s">
        <v>95</v>
      </c>
      <c r="E74" s="133"/>
      <c r="F74" s="135"/>
      <c r="G74" s="136" t="s">
        <v>193</v>
      </c>
      <c r="H74" s="136" t="s">
        <v>103</v>
      </c>
      <c r="I74" s="136"/>
    </row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  <row r="1001" customFormat="false" ht="16.5" hidden="false" customHeight="true" outlineLevel="0" collapsed="false"/>
    <row r="1002" customFormat="false" ht="16.5" hidden="false" customHeight="true" outlineLevel="0" collapsed="false"/>
    <row r="1003" customFormat="false" ht="16.5" hidden="false" customHeight="true" outlineLevel="0" collapsed="false"/>
    <row r="1004" customFormat="false" ht="16.5" hidden="false" customHeight="true" outlineLevel="0" collapsed="false"/>
    <row r="1005" customFormat="false" ht="16.5" hidden="false" customHeight="true" outlineLevel="0" collapsed="false"/>
    <row r="1006" customFormat="false" ht="16.5" hidden="false" customHeight="true" outlineLevel="0" collapsed="false"/>
    <row r="1007" customFormat="false" ht="16.5" hidden="false" customHeight="true" outlineLevel="0" collapsed="false"/>
    <row r="1008" customFormat="false" ht="16.5" hidden="false" customHeight="true" outlineLevel="0" collapsed="false"/>
    <row r="1009" customFormat="false" ht="16.5" hidden="false" customHeight="true" outlineLevel="0" collapsed="false"/>
    <row r="1010" customFormat="false" ht="16.5" hidden="false" customHeight="true" outlineLevel="0" collapsed="false"/>
    <row r="1011" customFormat="false" ht="16.5" hidden="false" customHeight="true" outlineLevel="0" collapsed="false"/>
    <row r="1012" customFormat="false" ht="16.5" hidden="false" customHeight="true" outlineLevel="0" collapsed="false"/>
    <row r="1013" customFormat="false" ht="16.5" hidden="false" customHeight="true" outlineLevel="0" collapsed="false"/>
    <row r="1014" customFormat="false" ht="16.5" hidden="false" customHeight="true" outlineLevel="0" collapsed="false"/>
    <row r="1015" customFormat="false" ht="16.5" hidden="false" customHeight="true" outlineLevel="0" collapsed="false"/>
    <row r="1016" customFormat="false" ht="16.5" hidden="false" customHeight="true" outlineLevel="0" collapsed="false"/>
    <row r="1017" customFormat="false" ht="16.5" hidden="false" customHeight="true" outlineLevel="0" collapsed="false"/>
    <row r="1018" customFormat="false" ht="16.5" hidden="false" customHeight="true" outlineLevel="0" collapsed="false"/>
    <row r="1019" customFormat="false" ht="16.5" hidden="false" customHeight="true" outlineLevel="0" collapsed="false"/>
    <row r="1020" customFormat="false" ht="16.5" hidden="false" customHeight="true" outlineLevel="0" collapsed="false"/>
    <row r="1021" customFormat="false" ht="16.5" hidden="false" customHeight="true" outlineLevel="0" collapsed="false"/>
    <row r="1022" customFormat="false" ht="16.5" hidden="false" customHeight="true" outlineLevel="0" collapsed="false"/>
    <row r="1023" customFormat="false" ht="16.5" hidden="false" customHeight="true" outlineLevel="0" collapsed="false"/>
    <row r="1024" customFormat="false" ht="16.5" hidden="false" customHeight="true" outlineLevel="0" collapsed="false"/>
    <row r="1025" customFormat="false" ht="16.5" hidden="false" customHeight="true" outlineLevel="0" collapsed="false"/>
    <row r="1026" customFormat="false" ht="16.5" hidden="false" customHeight="true" outlineLevel="0" collapsed="false"/>
    <row r="1027" customFormat="false" ht="16.5" hidden="false" customHeight="true" outlineLevel="0" collapsed="false"/>
    <row r="1028" customFormat="false" ht="16.5" hidden="false" customHeight="true" outlineLevel="0" collapsed="false"/>
    <row r="1029" customFormat="false" ht="16.5" hidden="false" customHeight="true" outlineLevel="0" collapsed="false"/>
    <row r="1030" customFormat="false" ht="16.5" hidden="false" customHeight="true" outlineLevel="0" collapsed="false"/>
    <row r="1031" customFormat="false" ht="16.5" hidden="false" customHeight="true" outlineLevel="0" collapsed="false"/>
    <row r="1032" customFormat="false" ht="16.5" hidden="false" customHeight="true" outlineLevel="0" collapsed="false"/>
    <row r="1033" customFormat="false" ht="16.5" hidden="false" customHeight="true" outlineLevel="0" collapsed="false"/>
    <row r="1034" customFormat="false" ht="16.5" hidden="false" customHeight="true" outlineLevel="0" collapsed="false"/>
    <row r="1035" customFormat="false" ht="16.5" hidden="false" customHeight="true" outlineLevel="0" collapsed="false"/>
    <row r="1036" customFormat="false" ht="16.5" hidden="false" customHeight="true" outlineLevel="0" collapsed="false"/>
    <row r="1037" customFormat="false" ht="16.5" hidden="false" customHeight="true" outlineLevel="0" collapsed="false"/>
    <row r="1038" customFormat="false" ht="16.5" hidden="false" customHeight="true" outlineLevel="0" collapsed="false"/>
    <row r="1039" customFormat="false" ht="16.5" hidden="false" customHeight="true" outlineLevel="0" collapsed="false"/>
    <row r="1040" customFormat="false" ht="16.5" hidden="false" customHeight="true" outlineLevel="0" collapsed="false"/>
    <row r="1041" customFormat="false" ht="16.5" hidden="false" customHeight="true" outlineLevel="0" collapsed="false"/>
    <row r="1042" customFormat="false" ht="16.5" hidden="false" customHeight="true" outlineLevel="0" collapsed="false"/>
    <row r="1043" customFormat="false" ht="16.5" hidden="false" customHeight="true" outlineLevel="0" collapsed="false"/>
    <row r="1044" customFormat="false" ht="16.5" hidden="false" customHeight="true" outlineLevel="0" collapsed="false"/>
    <row r="1045" customFormat="false" ht="16.5" hidden="false" customHeight="true" outlineLevel="0" collapsed="false"/>
    <row r="1046" customFormat="false" ht="16.5" hidden="false" customHeight="true" outlineLevel="0" collapsed="false"/>
    <row r="1047" customFormat="false" ht="16.5" hidden="false" customHeight="true" outlineLevel="0" collapsed="false"/>
    <row r="1048" customFormat="false" ht="16.5" hidden="false" customHeight="true" outlineLevel="0" collapsed="false"/>
    <row r="1049" customFormat="false" ht="16.5" hidden="false" customHeight="true" outlineLevel="0" collapsed="false"/>
    <row r="1050" customFormat="false" ht="16.5" hidden="false" customHeight="true" outlineLevel="0" collapsed="false"/>
    <row r="1051" customFormat="false" ht="16.5" hidden="false" customHeight="true" outlineLevel="0" collapsed="false"/>
    <row r="1052" customFormat="false" ht="16.5" hidden="false" customHeight="true" outlineLevel="0" collapsed="false"/>
    <row r="1053" customFormat="false" ht="16.5" hidden="false" customHeight="true" outlineLevel="0" collapsed="false"/>
    <row r="1054" customFormat="false" ht="16.5" hidden="false" customHeight="true" outlineLevel="0" collapsed="false"/>
    <row r="1055" customFormat="false" ht="16.5" hidden="false" customHeight="true" outlineLevel="0" collapsed="false"/>
    <row r="1056" customFormat="false" ht="16.5" hidden="false" customHeight="true" outlineLevel="0" collapsed="false"/>
    <row r="1057" customFormat="false" ht="16.5" hidden="false" customHeight="true" outlineLevel="0" collapsed="false"/>
    <row r="1058" customFormat="false" ht="16.5" hidden="false" customHeight="true" outlineLevel="0" collapsed="false"/>
    <row r="1059" customFormat="false" ht="16.5" hidden="false" customHeight="true" outlineLevel="0" collapsed="false"/>
    <row r="1060" customFormat="false" ht="16.5" hidden="false" customHeight="true" outlineLevel="0" collapsed="false"/>
    <row r="1061" customFormat="false" ht="16.5" hidden="false" customHeight="true" outlineLevel="0" collapsed="false"/>
    <row r="1062" customFormat="false" ht="16.5" hidden="false" customHeight="true" outlineLevel="0" collapsed="false"/>
    <row r="1063" customFormat="false" ht="16.5" hidden="false" customHeight="true" outlineLevel="0" collapsed="false"/>
    <row r="1064" customFormat="false" ht="16.5" hidden="false" customHeight="true" outlineLevel="0" collapsed="false"/>
    <row r="1065" customFormat="false" ht="16.5" hidden="false" customHeight="true" outlineLevel="0" collapsed="false"/>
    <row r="1066" customFormat="false" ht="16.5" hidden="false" customHeight="true" outlineLevel="0" collapsed="false"/>
    <row r="1067" customFormat="false" ht="16.5" hidden="false" customHeight="true" outlineLevel="0" collapsed="false"/>
    <row r="1068" customFormat="false" ht="16.5" hidden="false" customHeight="true" outlineLevel="0" collapsed="false"/>
    <row r="1069" customFormat="false" ht="16.5" hidden="false" customHeight="true" outlineLevel="0" collapsed="false"/>
    <row r="1070" customFormat="false" ht="16.5" hidden="false" customHeight="true" outlineLevel="0" collapsed="false"/>
    <row r="1071" customFormat="false" ht="16.5" hidden="false" customHeight="true" outlineLevel="0" collapsed="false"/>
    <row r="1072" customFormat="false" ht="16.5" hidden="false" customHeight="true" outlineLevel="0" collapsed="false"/>
    <row r="1073" customFormat="false" ht="16.5" hidden="false" customHeight="true" outlineLevel="0" collapsed="false"/>
    <row r="1074" customFormat="false" ht="16.5" hidden="false" customHeight="true" outlineLevel="0" collapsed="false"/>
    <row r="1075" customFormat="false" ht="16.5" hidden="false" customHeight="true" outlineLevel="0" collapsed="false"/>
    <row r="1076" customFormat="false" ht="16.5" hidden="false" customHeight="true" outlineLevel="0" collapsed="false"/>
    <row r="1077" customFormat="false" ht="16.5" hidden="false" customHeight="true" outlineLevel="0" collapsed="false"/>
    <row r="1078" customFormat="false" ht="16.5" hidden="false" customHeight="true" outlineLevel="0" collapsed="false"/>
    <row r="1079" customFormat="false" ht="16.5" hidden="false" customHeight="true" outlineLevel="0" collapsed="false"/>
    <row r="1080" customFormat="false" ht="16.5" hidden="false" customHeight="true" outlineLevel="0" collapsed="false"/>
    <row r="1081" customFormat="false" ht="16.5" hidden="false" customHeight="true" outlineLevel="0" collapsed="false"/>
    <row r="1082" customFormat="false" ht="16.5" hidden="false" customHeight="true" outlineLevel="0" collapsed="false"/>
    <row r="1083" customFormat="false" ht="16.5" hidden="false" customHeight="true" outlineLevel="0" collapsed="false"/>
    <row r="1084" customFormat="false" ht="16.5" hidden="false" customHeight="true" outlineLevel="0" collapsed="false"/>
    <row r="1085" customFormat="false" ht="16.5" hidden="false" customHeight="true" outlineLevel="0" collapsed="false"/>
    <row r="1086" customFormat="false" ht="16.5" hidden="false" customHeight="true" outlineLevel="0" collapsed="false"/>
    <row r="1087" customFormat="false" ht="16.5" hidden="false" customHeight="true" outlineLevel="0" collapsed="false"/>
    <row r="1088" customFormat="false" ht="16.5" hidden="false" customHeight="true" outlineLevel="0" collapsed="false"/>
    <row r="1089" customFormat="false" ht="16.5" hidden="false" customHeight="true" outlineLevel="0" collapsed="false"/>
    <row r="1090" customFormat="false" ht="16.5" hidden="false" customHeight="true" outlineLevel="0" collapsed="false"/>
    <row r="1091" customFormat="false" ht="16.5" hidden="false" customHeight="true" outlineLevel="0" collapsed="false"/>
    <row r="1092" customFormat="false" ht="16.5" hidden="false" customHeight="true" outlineLevel="0" collapsed="false"/>
    <row r="1093" customFormat="false" ht="16.5" hidden="false" customHeight="true" outlineLevel="0" collapsed="false"/>
    <row r="1094" customFormat="false" ht="16.5" hidden="false" customHeight="true" outlineLevel="0" collapsed="false"/>
    <row r="1095" customFormat="false" ht="16.5" hidden="false" customHeight="true" outlineLevel="0" collapsed="false"/>
    <row r="1096" customFormat="false" ht="16.5" hidden="false" customHeight="true" outlineLevel="0" collapsed="false"/>
    <row r="1097" customFormat="false" ht="16.5" hidden="false" customHeight="true" outlineLevel="0" collapsed="false"/>
    <row r="1098" customFormat="false" ht="16.5" hidden="false" customHeight="true" outlineLevel="0" collapsed="false"/>
    <row r="1099" customFormat="false" ht="16.5" hidden="false" customHeight="true" outlineLevel="0" collapsed="false"/>
    <row r="1100" customFormat="false" ht="16.5" hidden="false" customHeight="true" outlineLevel="0" collapsed="false"/>
    <row r="1101" customFormat="false" ht="16.5" hidden="false" customHeight="true" outlineLevel="0" collapsed="false"/>
    <row r="1102" customFormat="false" ht="16.5" hidden="false" customHeight="true" outlineLevel="0" collapsed="false"/>
    <row r="1103" customFormat="false" ht="16.5" hidden="false" customHeight="true" outlineLevel="0" collapsed="false"/>
    <row r="1104" customFormat="false" ht="16.5" hidden="false" customHeight="true" outlineLevel="0" collapsed="false"/>
    <row r="1105" customFormat="false" ht="16.5" hidden="false" customHeight="true" outlineLevel="0" collapsed="false"/>
    <row r="1106" customFormat="false" ht="16.5" hidden="false" customHeight="true" outlineLevel="0" collapsed="false"/>
    <row r="1107" customFormat="false" ht="16.5" hidden="false" customHeight="true" outlineLevel="0" collapsed="false"/>
    <row r="1108" customFormat="false" ht="16.5" hidden="false" customHeight="true" outlineLevel="0" collapsed="false"/>
    <row r="1109" customFormat="false" ht="16.5" hidden="false" customHeight="true" outlineLevel="0" collapsed="false"/>
    <row r="1110" customFormat="false" ht="16.5" hidden="false" customHeight="true" outlineLevel="0" collapsed="false"/>
    <row r="1111" customFormat="false" ht="16.5" hidden="false" customHeight="true" outlineLevel="0" collapsed="false"/>
    <row r="1112" customFormat="false" ht="16.5" hidden="false" customHeight="true" outlineLevel="0" collapsed="false"/>
    <row r="1113" customFormat="false" ht="16.5" hidden="false" customHeight="true" outlineLevel="0" collapsed="false"/>
    <row r="1114" customFormat="false" ht="16.5" hidden="false" customHeight="true" outlineLevel="0" collapsed="false"/>
    <row r="1115" customFormat="false" ht="16.5" hidden="false" customHeight="true" outlineLevel="0" collapsed="false"/>
    <row r="1116" customFormat="false" ht="16.5" hidden="false" customHeight="true" outlineLevel="0" collapsed="false"/>
    <row r="1117" customFormat="false" ht="16.5" hidden="false" customHeight="true" outlineLevel="0" collapsed="false"/>
    <row r="1118" customFormat="false" ht="16.5" hidden="false" customHeight="true" outlineLevel="0" collapsed="false"/>
    <row r="1119" customFormat="false" ht="16.5" hidden="false" customHeight="true" outlineLevel="0" collapsed="false"/>
    <row r="1120" customFormat="false" ht="16.5" hidden="false" customHeight="true" outlineLevel="0" collapsed="false"/>
    <row r="1121" customFormat="false" ht="16.5" hidden="false" customHeight="true" outlineLevel="0" collapsed="false"/>
    <row r="1122" customFormat="false" ht="16.5" hidden="false" customHeight="true" outlineLevel="0" collapsed="false"/>
    <row r="1123" customFormat="false" ht="16.5" hidden="false" customHeight="true" outlineLevel="0" collapsed="false"/>
    <row r="1124" customFormat="false" ht="16.5" hidden="false" customHeight="true" outlineLevel="0" collapsed="false"/>
    <row r="1125" customFormat="false" ht="16.5" hidden="false" customHeight="true" outlineLevel="0" collapsed="false"/>
    <row r="1126" customFormat="false" ht="16.5" hidden="false" customHeight="true" outlineLevel="0" collapsed="false"/>
    <row r="1127" customFormat="false" ht="16.5" hidden="false" customHeight="true" outlineLevel="0" collapsed="false"/>
    <row r="1128" customFormat="false" ht="16.5" hidden="false" customHeight="true" outlineLevel="0" collapsed="false"/>
    <row r="1129" customFormat="false" ht="16.5" hidden="false" customHeight="true" outlineLevel="0" collapsed="false"/>
    <row r="1130" customFormat="false" ht="16.5" hidden="false" customHeight="true" outlineLevel="0" collapsed="false"/>
    <row r="1131" customFormat="false" ht="16.5" hidden="false" customHeight="true" outlineLevel="0" collapsed="false"/>
    <row r="1132" customFormat="false" ht="16.5" hidden="false" customHeight="true" outlineLevel="0" collapsed="false"/>
    <row r="1133" customFormat="false" ht="16.5" hidden="false" customHeight="true" outlineLevel="0" collapsed="false"/>
    <row r="1134" customFormat="false" ht="16.5" hidden="false" customHeight="true" outlineLevel="0" collapsed="false"/>
    <row r="1135" customFormat="false" ht="16.5" hidden="false" customHeight="true" outlineLevel="0" collapsed="false"/>
    <row r="1136" customFormat="false" ht="16.5" hidden="false" customHeight="true" outlineLevel="0" collapsed="false"/>
    <row r="1137" customFormat="false" ht="16.5" hidden="false" customHeight="true" outlineLevel="0" collapsed="false"/>
    <row r="1138" customFormat="false" ht="16.5" hidden="false" customHeight="true" outlineLevel="0" collapsed="false"/>
    <row r="1139" customFormat="false" ht="16.5" hidden="false" customHeight="true" outlineLevel="0" collapsed="false"/>
    <row r="1140" customFormat="false" ht="16.5" hidden="false" customHeight="true" outlineLevel="0" collapsed="false"/>
    <row r="1141" customFormat="false" ht="16.5" hidden="false" customHeight="true" outlineLevel="0" collapsed="false"/>
    <row r="1142" customFormat="false" ht="16.5" hidden="false" customHeight="true" outlineLevel="0" collapsed="false"/>
    <row r="1143" customFormat="false" ht="16.5" hidden="false" customHeight="true" outlineLevel="0" collapsed="false"/>
    <row r="1144" customFormat="false" ht="16.5" hidden="false" customHeight="true" outlineLevel="0" collapsed="false"/>
    <row r="1145" customFormat="false" ht="16.5" hidden="false" customHeight="true" outlineLevel="0" collapsed="false"/>
    <row r="1146" customFormat="false" ht="16.5" hidden="false" customHeight="true" outlineLevel="0" collapsed="false"/>
    <row r="1147" customFormat="false" ht="16.5" hidden="false" customHeight="true" outlineLevel="0" collapsed="false"/>
    <row r="1148" customFormat="false" ht="16.5" hidden="false" customHeight="true" outlineLevel="0" collapsed="false"/>
    <row r="1149" customFormat="false" ht="16.5" hidden="false" customHeight="true" outlineLevel="0" collapsed="false"/>
    <row r="1150" customFormat="false" ht="16.5" hidden="false" customHeight="true" outlineLevel="0" collapsed="false"/>
    <row r="1151" customFormat="false" ht="16.5" hidden="false" customHeight="true" outlineLevel="0" collapsed="false"/>
    <row r="1152" customFormat="false" ht="16.5" hidden="false" customHeight="true" outlineLevel="0" collapsed="false"/>
    <row r="1153" customFormat="false" ht="16.5" hidden="false" customHeight="true" outlineLevel="0" collapsed="false"/>
    <row r="1154" customFormat="false" ht="16.5" hidden="false" customHeight="true" outlineLevel="0" collapsed="false"/>
    <row r="1155" customFormat="false" ht="16.5" hidden="false" customHeight="true" outlineLevel="0" collapsed="false"/>
    <row r="1156" customFormat="false" ht="16.5" hidden="false" customHeight="true" outlineLevel="0" collapsed="false"/>
    <row r="1157" customFormat="false" ht="16.5" hidden="false" customHeight="true" outlineLevel="0" collapsed="false"/>
    <row r="1158" customFormat="false" ht="16.5" hidden="false" customHeight="true" outlineLevel="0" collapsed="false"/>
    <row r="1159" customFormat="false" ht="16.5" hidden="false" customHeight="true" outlineLevel="0" collapsed="false"/>
    <row r="1160" customFormat="false" ht="16.5" hidden="false" customHeight="true" outlineLevel="0" collapsed="false"/>
    <row r="1161" customFormat="false" ht="16.5" hidden="false" customHeight="true" outlineLevel="0" collapsed="false"/>
    <row r="1162" customFormat="false" ht="16.5" hidden="false" customHeight="true" outlineLevel="0" collapsed="false"/>
    <row r="1163" customFormat="false" ht="16.5" hidden="false" customHeight="true" outlineLevel="0" collapsed="false"/>
    <row r="1164" customFormat="false" ht="16.5" hidden="false" customHeight="true" outlineLevel="0" collapsed="false"/>
    <row r="1165" customFormat="false" ht="16.5" hidden="false" customHeight="true" outlineLevel="0" collapsed="false"/>
    <row r="1166" customFormat="false" ht="16.5" hidden="false" customHeight="true" outlineLevel="0" collapsed="false"/>
    <row r="1167" customFormat="false" ht="16.5" hidden="false" customHeight="true" outlineLevel="0" collapsed="false"/>
    <row r="1168" customFormat="false" ht="16.5" hidden="false" customHeight="true" outlineLevel="0" collapsed="false"/>
    <row r="1169" customFormat="false" ht="16.5" hidden="false" customHeight="true" outlineLevel="0" collapsed="false"/>
    <row r="1170" customFormat="false" ht="16.5" hidden="false" customHeight="true" outlineLevel="0" collapsed="false"/>
    <row r="1171" customFormat="false" ht="16.5" hidden="false" customHeight="true" outlineLevel="0" collapsed="false"/>
    <row r="1172" customFormat="false" ht="16.5" hidden="false" customHeight="true" outlineLevel="0" collapsed="false"/>
    <row r="1173" customFormat="false" ht="16.5" hidden="false" customHeight="true" outlineLevel="0" collapsed="false"/>
    <row r="1174" customFormat="false" ht="16.5" hidden="false" customHeight="true" outlineLevel="0" collapsed="false"/>
    <row r="1175" customFormat="false" ht="16.5" hidden="false" customHeight="true" outlineLevel="0" collapsed="false"/>
    <row r="1176" customFormat="false" ht="16.5" hidden="false" customHeight="true" outlineLevel="0" collapsed="false"/>
    <row r="1177" customFormat="false" ht="16.5" hidden="false" customHeight="true" outlineLevel="0" collapsed="false"/>
    <row r="1178" customFormat="false" ht="16.5" hidden="false" customHeight="true" outlineLevel="0" collapsed="false"/>
    <row r="1179" customFormat="false" ht="16.5" hidden="false" customHeight="true" outlineLevel="0" collapsed="false"/>
    <row r="1180" customFormat="false" ht="16.5" hidden="false" customHeight="true" outlineLevel="0" collapsed="false"/>
    <row r="1181" customFormat="false" ht="16.5" hidden="false" customHeight="true" outlineLevel="0" collapsed="false"/>
    <row r="1182" customFormat="false" ht="16.5" hidden="false" customHeight="true" outlineLevel="0" collapsed="false"/>
    <row r="1183" customFormat="false" ht="16.5" hidden="false" customHeight="true" outlineLevel="0" collapsed="false"/>
    <row r="1184" customFormat="false" ht="16.5" hidden="false" customHeight="true" outlineLevel="0" collapsed="false"/>
    <row r="1185" customFormat="false" ht="16.5" hidden="false" customHeight="true" outlineLevel="0" collapsed="false"/>
    <row r="1186" customFormat="false" ht="16.5" hidden="false" customHeight="true" outlineLevel="0" collapsed="false"/>
    <row r="1187" customFormat="false" ht="16.5" hidden="false" customHeight="true" outlineLevel="0" collapsed="false"/>
    <row r="1188" customFormat="false" ht="16.5" hidden="false" customHeight="true" outlineLevel="0" collapsed="false"/>
    <row r="1189" customFormat="false" ht="16.5" hidden="false" customHeight="true" outlineLevel="0" collapsed="false"/>
    <row r="1190" customFormat="false" ht="16.5" hidden="false" customHeight="true" outlineLevel="0" collapsed="false"/>
    <row r="1191" customFormat="false" ht="16.5" hidden="false" customHeight="true" outlineLevel="0" collapsed="false"/>
    <row r="1192" customFormat="false" ht="16.5" hidden="false" customHeight="true" outlineLevel="0" collapsed="false"/>
    <row r="1193" customFormat="false" ht="16.5" hidden="false" customHeight="true" outlineLevel="0" collapsed="false"/>
    <row r="1194" customFormat="false" ht="16.5" hidden="false" customHeight="true" outlineLevel="0" collapsed="false"/>
    <row r="1195" customFormat="false" ht="16.5" hidden="false" customHeight="true" outlineLevel="0" collapsed="false"/>
    <row r="1196" customFormat="false" ht="16.5" hidden="false" customHeight="true" outlineLevel="0" collapsed="false"/>
    <row r="1197" customFormat="false" ht="16.5" hidden="false" customHeight="true" outlineLevel="0" collapsed="false"/>
    <row r="1198" customFormat="false" ht="16.5" hidden="false" customHeight="true" outlineLevel="0" collapsed="false"/>
    <row r="1199" customFormat="false" ht="16.5" hidden="false" customHeight="true" outlineLevel="0" collapsed="false"/>
    <row r="1200" customFormat="false" ht="16.5" hidden="false" customHeight="true" outlineLevel="0" collapsed="false"/>
    <row r="1201" customFormat="false" ht="16.5" hidden="false" customHeight="true" outlineLevel="0" collapsed="false"/>
    <row r="1202" customFormat="false" ht="16.5" hidden="false" customHeight="true" outlineLevel="0" collapsed="false"/>
    <row r="1203" customFormat="false" ht="16.5" hidden="false" customHeight="true" outlineLevel="0" collapsed="false"/>
    <row r="1204" customFormat="false" ht="16.5" hidden="false" customHeight="true" outlineLevel="0" collapsed="false"/>
    <row r="1205" customFormat="false" ht="16.5" hidden="false" customHeight="true" outlineLevel="0" collapsed="false"/>
    <row r="1206" customFormat="false" ht="16.5" hidden="false" customHeight="true" outlineLevel="0" collapsed="false"/>
    <row r="1207" customFormat="false" ht="16.5" hidden="false" customHeight="true" outlineLevel="0" collapsed="false"/>
    <row r="1208" customFormat="false" ht="16.5" hidden="false" customHeight="true" outlineLevel="0" collapsed="false"/>
    <row r="1209" customFormat="false" ht="16.5" hidden="false" customHeight="true" outlineLevel="0" collapsed="false"/>
    <row r="1210" customFormat="false" ht="16.5" hidden="false" customHeight="true" outlineLevel="0" collapsed="false"/>
    <row r="1211" customFormat="false" ht="16.5" hidden="false" customHeight="true" outlineLevel="0" collapsed="false"/>
    <row r="1212" customFormat="false" ht="16.5" hidden="false" customHeight="true" outlineLevel="0" collapsed="false"/>
    <row r="1213" customFormat="false" ht="16.5" hidden="false" customHeight="true" outlineLevel="0" collapsed="false"/>
    <row r="1214" customFormat="false" ht="16.5" hidden="false" customHeight="true" outlineLevel="0" collapsed="false"/>
    <row r="1215" customFormat="false" ht="16.5" hidden="false" customHeight="true" outlineLevel="0" collapsed="false"/>
    <row r="1216" customFormat="false" ht="16.5" hidden="false" customHeight="true" outlineLevel="0" collapsed="false"/>
    <row r="1217" customFormat="false" ht="16.5" hidden="false" customHeight="true" outlineLevel="0" collapsed="false"/>
    <row r="1218" customFormat="false" ht="16.5" hidden="false" customHeight="true" outlineLevel="0" collapsed="false"/>
    <row r="1219" customFormat="false" ht="16.5" hidden="false" customHeight="true" outlineLevel="0" collapsed="false"/>
    <row r="1220" customFormat="false" ht="16.5" hidden="false" customHeight="true" outlineLevel="0" collapsed="false"/>
    <row r="1221" customFormat="false" ht="16.5" hidden="false" customHeight="true" outlineLevel="0" collapsed="false"/>
    <row r="1222" customFormat="false" ht="16.5" hidden="false" customHeight="true" outlineLevel="0" collapsed="false"/>
    <row r="1223" customFormat="false" ht="16.5" hidden="false" customHeight="true" outlineLevel="0" collapsed="false"/>
    <row r="1224" customFormat="false" ht="16.5" hidden="false" customHeight="true" outlineLevel="0" collapsed="false"/>
    <row r="1225" customFormat="false" ht="16.5" hidden="false" customHeight="true" outlineLevel="0" collapsed="false"/>
    <row r="1226" customFormat="false" ht="16.5" hidden="false" customHeight="true" outlineLevel="0" collapsed="false"/>
    <row r="1227" customFormat="false" ht="16.5" hidden="false" customHeight="true" outlineLevel="0" collapsed="false"/>
    <row r="1228" customFormat="false" ht="16.5" hidden="false" customHeight="true" outlineLevel="0" collapsed="false"/>
    <row r="1229" customFormat="false" ht="16.5" hidden="false" customHeight="true" outlineLevel="0" collapsed="false"/>
    <row r="1230" customFormat="false" ht="16.5" hidden="false" customHeight="true" outlineLevel="0" collapsed="false"/>
    <row r="1231" customFormat="false" ht="16.5" hidden="false" customHeight="true" outlineLevel="0" collapsed="false"/>
    <row r="1232" customFormat="false" ht="16.5" hidden="false" customHeight="true" outlineLevel="0" collapsed="false"/>
    <row r="1233" customFormat="false" ht="16.5" hidden="false" customHeight="true" outlineLevel="0" collapsed="false"/>
    <row r="1234" customFormat="false" ht="16.5" hidden="false" customHeight="true" outlineLevel="0" collapsed="false"/>
    <row r="1235" customFormat="false" ht="16.5" hidden="false" customHeight="true" outlineLevel="0" collapsed="false"/>
    <row r="1236" customFormat="false" ht="16.5" hidden="false" customHeight="true" outlineLevel="0" collapsed="false"/>
    <row r="1237" customFormat="false" ht="16.5" hidden="false" customHeight="true" outlineLevel="0" collapsed="false"/>
    <row r="1238" customFormat="false" ht="16.5" hidden="false" customHeight="true" outlineLevel="0" collapsed="false"/>
    <row r="1239" customFormat="false" ht="16.5" hidden="false" customHeight="true" outlineLevel="0" collapsed="false"/>
    <row r="1240" customFormat="false" ht="16.5" hidden="false" customHeight="true" outlineLevel="0" collapsed="false"/>
    <row r="1241" customFormat="false" ht="16.5" hidden="false" customHeight="true" outlineLevel="0" collapsed="false"/>
    <row r="1242" customFormat="false" ht="16.5" hidden="false" customHeight="true" outlineLevel="0" collapsed="false"/>
    <row r="1243" customFormat="false" ht="16.5" hidden="false" customHeight="true" outlineLevel="0" collapsed="false"/>
    <row r="1244" customFormat="false" ht="16.5" hidden="false" customHeight="true" outlineLevel="0" collapsed="false"/>
    <row r="1245" customFormat="false" ht="16.5" hidden="false" customHeight="true" outlineLevel="0" collapsed="false"/>
    <row r="1246" customFormat="false" ht="16.5" hidden="false" customHeight="true" outlineLevel="0" collapsed="false"/>
    <row r="1247" customFormat="false" ht="16.5" hidden="false" customHeight="true" outlineLevel="0" collapsed="false"/>
    <row r="1248" customFormat="false" ht="16.5" hidden="false" customHeight="true" outlineLevel="0" collapsed="false"/>
    <row r="1249" customFormat="false" ht="16.5" hidden="false" customHeight="true" outlineLevel="0" collapsed="false"/>
    <row r="1250" customFormat="false" ht="16.5" hidden="false" customHeight="true" outlineLevel="0" collapsed="false"/>
    <row r="1251" customFormat="false" ht="16.5" hidden="false" customHeight="true" outlineLevel="0" collapsed="false"/>
    <row r="1252" customFormat="false" ht="16.5" hidden="false" customHeight="true" outlineLevel="0" collapsed="false"/>
    <row r="1253" customFormat="false" ht="16.5" hidden="false" customHeight="true" outlineLevel="0" collapsed="false"/>
    <row r="1254" customFormat="false" ht="16.5" hidden="false" customHeight="true" outlineLevel="0" collapsed="false"/>
    <row r="1255" customFormat="false" ht="16.5" hidden="false" customHeight="true" outlineLevel="0" collapsed="false"/>
    <row r="1256" customFormat="false" ht="16.5" hidden="false" customHeight="true" outlineLevel="0" collapsed="false"/>
    <row r="1257" customFormat="false" ht="16.5" hidden="false" customHeight="true" outlineLevel="0" collapsed="false"/>
    <row r="1258" customFormat="false" ht="16.5" hidden="false" customHeight="true" outlineLevel="0" collapsed="false"/>
    <row r="1259" customFormat="false" ht="16.5" hidden="false" customHeight="true" outlineLevel="0" collapsed="false"/>
    <row r="1260" customFormat="false" ht="16.5" hidden="false" customHeight="true" outlineLevel="0" collapsed="false"/>
    <row r="1261" customFormat="false" ht="16.5" hidden="false" customHeight="true" outlineLevel="0" collapsed="false"/>
    <row r="1262" customFormat="false" ht="16.5" hidden="false" customHeight="true" outlineLevel="0" collapsed="false"/>
    <row r="1263" customFormat="false" ht="16.5" hidden="false" customHeight="true" outlineLevel="0" collapsed="false"/>
    <row r="1264" customFormat="false" ht="16.5" hidden="false" customHeight="true" outlineLevel="0" collapsed="false"/>
    <row r="1265" customFormat="false" ht="16.5" hidden="false" customHeight="true" outlineLevel="0" collapsed="false"/>
    <row r="1266" customFormat="false" ht="16.5" hidden="false" customHeight="true" outlineLevel="0" collapsed="false"/>
    <row r="1267" customFormat="false" ht="16.5" hidden="false" customHeight="true" outlineLevel="0" collapsed="false"/>
    <row r="1268" customFormat="false" ht="16.5" hidden="false" customHeight="true" outlineLevel="0" collapsed="false"/>
    <row r="1269" customFormat="false" ht="16.5" hidden="false" customHeight="true" outlineLevel="0" collapsed="false"/>
    <row r="1270" customFormat="false" ht="16.5" hidden="false" customHeight="true" outlineLevel="0" collapsed="false"/>
    <row r="1271" customFormat="false" ht="16.5" hidden="false" customHeight="true" outlineLevel="0" collapsed="false"/>
    <row r="1272" customFormat="false" ht="16.5" hidden="false" customHeight="true" outlineLevel="0" collapsed="false"/>
    <row r="1273" customFormat="false" ht="16.5" hidden="false" customHeight="true" outlineLevel="0" collapsed="false"/>
    <row r="1274" customFormat="false" ht="16.5" hidden="false" customHeight="true" outlineLevel="0" collapsed="false"/>
    <row r="1275" customFormat="false" ht="16.5" hidden="false" customHeight="true" outlineLevel="0" collapsed="false"/>
    <row r="1276" customFormat="false" ht="16.5" hidden="false" customHeight="true" outlineLevel="0" collapsed="false"/>
    <row r="1277" customFormat="false" ht="16.5" hidden="false" customHeight="true" outlineLevel="0" collapsed="false"/>
    <row r="1278" customFormat="false" ht="16.5" hidden="false" customHeight="true" outlineLevel="0" collapsed="false"/>
    <row r="1279" customFormat="false" ht="16.5" hidden="false" customHeight="true" outlineLevel="0" collapsed="false"/>
    <row r="1280" customFormat="false" ht="16.5" hidden="false" customHeight="true" outlineLevel="0" collapsed="false"/>
    <row r="1281" customFormat="false" ht="16.5" hidden="false" customHeight="true" outlineLevel="0" collapsed="false"/>
    <row r="1282" customFormat="false" ht="16.5" hidden="false" customHeight="true" outlineLevel="0" collapsed="false"/>
    <row r="1283" customFormat="false" ht="16.5" hidden="false" customHeight="true" outlineLevel="0" collapsed="false"/>
    <row r="1284" customFormat="false" ht="16.5" hidden="false" customHeight="true" outlineLevel="0" collapsed="false"/>
    <row r="1285" customFormat="false" ht="16.5" hidden="false" customHeight="true" outlineLevel="0" collapsed="false"/>
    <row r="1286" customFormat="false" ht="16.5" hidden="false" customHeight="true" outlineLevel="0" collapsed="false"/>
    <row r="1287" customFormat="false" ht="16.5" hidden="false" customHeight="true" outlineLevel="0" collapsed="false"/>
    <row r="1288" customFormat="false" ht="16.5" hidden="false" customHeight="true" outlineLevel="0" collapsed="false"/>
    <row r="1289" customFormat="false" ht="16.5" hidden="false" customHeight="true" outlineLevel="0" collapsed="false"/>
    <row r="1290" customFormat="false" ht="16.5" hidden="false" customHeight="true" outlineLevel="0" collapsed="false"/>
    <row r="1291" customFormat="false" ht="16.5" hidden="false" customHeight="true" outlineLevel="0" collapsed="false"/>
    <row r="1292" customFormat="false" ht="16.5" hidden="false" customHeight="true" outlineLevel="0" collapsed="false"/>
    <row r="1293" customFormat="false" ht="16.5" hidden="false" customHeight="true" outlineLevel="0" collapsed="false"/>
    <row r="1294" customFormat="false" ht="16.5" hidden="false" customHeight="true" outlineLevel="0" collapsed="false"/>
    <row r="1295" customFormat="false" ht="16.5" hidden="false" customHeight="true" outlineLevel="0" collapsed="false"/>
    <row r="1296" customFormat="false" ht="16.5" hidden="false" customHeight="true" outlineLevel="0" collapsed="false"/>
    <row r="1297" customFormat="false" ht="16.5" hidden="false" customHeight="true" outlineLevel="0" collapsed="false"/>
    <row r="1298" customFormat="false" ht="16.5" hidden="false" customHeight="true" outlineLevel="0" collapsed="false"/>
    <row r="1299" customFormat="false" ht="16.5" hidden="false" customHeight="true" outlineLevel="0" collapsed="false"/>
    <row r="1300" customFormat="false" ht="16.5" hidden="false" customHeight="true" outlineLevel="0" collapsed="false"/>
    <row r="1301" customFormat="false" ht="16.5" hidden="false" customHeight="true" outlineLevel="0" collapsed="false"/>
    <row r="1302" customFormat="false" ht="16.5" hidden="false" customHeight="true" outlineLevel="0" collapsed="false"/>
    <row r="1303" customFormat="false" ht="16.5" hidden="false" customHeight="true" outlineLevel="0" collapsed="false"/>
    <row r="1304" customFormat="false" ht="16.5" hidden="false" customHeight="true" outlineLevel="0" collapsed="false"/>
    <row r="1305" customFormat="false" ht="16.5" hidden="false" customHeight="true" outlineLevel="0" collapsed="false"/>
    <row r="1306" customFormat="false" ht="16.5" hidden="false" customHeight="true" outlineLevel="0" collapsed="false"/>
    <row r="1307" customFormat="false" ht="16.5" hidden="false" customHeight="true" outlineLevel="0" collapsed="false"/>
    <row r="1308" customFormat="false" ht="16.5" hidden="false" customHeight="true" outlineLevel="0" collapsed="false"/>
    <row r="1309" customFormat="false" ht="16.5" hidden="false" customHeight="true" outlineLevel="0" collapsed="false"/>
    <row r="1310" customFormat="false" ht="16.5" hidden="false" customHeight="true" outlineLevel="0" collapsed="false"/>
    <row r="1311" customFormat="false" ht="16.5" hidden="false" customHeight="true" outlineLevel="0" collapsed="false"/>
    <row r="1312" customFormat="false" ht="16.5" hidden="false" customHeight="true" outlineLevel="0" collapsed="false"/>
    <row r="1313" customFormat="false" ht="16.5" hidden="false" customHeight="true" outlineLevel="0" collapsed="false"/>
    <row r="1314" customFormat="false" ht="16.5" hidden="false" customHeight="true" outlineLevel="0" collapsed="false"/>
    <row r="1315" customFormat="false" ht="16.5" hidden="false" customHeight="true" outlineLevel="0" collapsed="false"/>
    <row r="1316" customFormat="false" ht="16.5" hidden="false" customHeight="true" outlineLevel="0" collapsed="false"/>
    <row r="1317" customFormat="false" ht="16.5" hidden="false" customHeight="true" outlineLevel="0" collapsed="false"/>
    <row r="1318" customFormat="false" ht="16.5" hidden="false" customHeight="true" outlineLevel="0" collapsed="false"/>
    <row r="1319" customFormat="false" ht="16.5" hidden="false" customHeight="true" outlineLevel="0" collapsed="false"/>
    <row r="1320" customFormat="false" ht="16.5" hidden="false" customHeight="true" outlineLevel="0" collapsed="false"/>
    <row r="1321" customFormat="false" ht="16.5" hidden="false" customHeight="true" outlineLevel="0" collapsed="false"/>
    <row r="1322" customFormat="false" ht="16.5" hidden="false" customHeight="true" outlineLevel="0" collapsed="false"/>
    <row r="1323" customFormat="false" ht="16.5" hidden="false" customHeight="true" outlineLevel="0" collapsed="false"/>
    <row r="1324" customFormat="false" ht="16.5" hidden="false" customHeight="true" outlineLevel="0" collapsed="false"/>
    <row r="1325" customFormat="false" ht="16.5" hidden="false" customHeight="true" outlineLevel="0" collapsed="false"/>
    <row r="1326" customFormat="false" ht="16.5" hidden="false" customHeight="true" outlineLevel="0" collapsed="false"/>
    <row r="1327" customFormat="false" ht="16.5" hidden="false" customHeight="true" outlineLevel="0" collapsed="false"/>
    <row r="1328" customFormat="false" ht="16.5" hidden="false" customHeight="true" outlineLevel="0" collapsed="false"/>
    <row r="1329" customFormat="false" ht="16.5" hidden="false" customHeight="true" outlineLevel="0" collapsed="false"/>
    <row r="1330" customFormat="false" ht="16.5" hidden="false" customHeight="true" outlineLevel="0" collapsed="false"/>
    <row r="1331" customFormat="false" ht="16.5" hidden="false" customHeight="true" outlineLevel="0" collapsed="false"/>
    <row r="1332" customFormat="false" ht="16.5" hidden="false" customHeight="true" outlineLevel="0" collapsed="false"/>
    <row r="1333" customFormat="false" ht="16.5" hidden="false" customHeight="true" outlineLevel="0" collapsed="false"/>
    <row r="1334" customFormat="false" ht="16.5" hidden="false" customHeight="true" outlineLevel="0" collapsed="false"/>
    <row r="1335" customFormat="false" ht="16.5" hidden="false" customHeight="true" outlineLevel="0" collapsed="false"/>
    <row r="1336" customFormat="false" ht="16.5" hidden="false" customHeight="true" outlineLevel="0" collapsed="false"/>
    <row r="1337" customFormat="false" ht="16.5" hidden="false" customHeight="true" outlineLevel="0" collapsed="false"/>
    <row r="1338" customFormat="false" ht="16.5" hidden="false" customHeight="true" outlineLevel="0" collapsed="false"/>
    <row r="1339" customFormat="false" ht="16.5" hidden="false" customHeight="true" outlineLevel="0" collapsed="false"/>
    <row r="1340" customFormat="false" ht="16.5" hidden="false" customHeight="true" outlineLevel="0" collapsed="false"/>
    <row r="1341" customFormat="false" ht="16.5" hidden="false" customHeight="true" outlineLevel="0" collapsed="false"/>
    <row r="1342" customFormat="false" ht="16.5" hidden="false" customHeight="true" outlineLevel="0" collapsed="false"/>
    <row r="1343" customFormat="false" ht="16.5" hidden="false" customHeight="true" outlineLevel="0" collapsed="false"/>
    <row r="1344" customFormat="false" ht="16.5" hidden="false" customHeight="true" outlineLevel="0" collapsed="false"/>
    <row r="1345" customFormat="false" ht="16.5" hidden="false" customHeight="true" outlineLevel="0" collapsed="false"/>
    <row r="1346" customFormat="false" ht="16.5" hidden="false" customHeight="true" outlineLevel="0" collapsed="false"/>
    <row r="1347" customFormat="false" ht="16.5" hidden="false" customHeight="true" outlineLevel="0" collapsed="false"/>
    <row r="1348" customFormat="false" ht="16.5" hidden="false" customHeight="true" outlineLevel="0" collapsed="false"/>
    <row r="1349" customFormat="false" ht="16.5" hidden="false" customHeight="true" outlineLevel="0" collapsed="false"/>
    <row r="1350" customFormat="false" ht="16.5" hidden="false" customHeight="true" outlineLevel="0" collapsed="false"/>
    <row r="1351" customFormat="false" ht="16.5" hidden="false" customHeight="true" outlineLevel="0" collapsed="false"/>
    <row r="1352" customFormat="false" ht="16.5" hidden="false" customHeight="true" outlineLevel="0" collapsed="false"/>
    <row r="1353" customFormat="false" ht="16.5" hidden="false" customHeight="true" outlineLevel="0" collapsed="false"/>
    <row r="1354" customFormat="false" ht="16.5" hidden="false" customHeight="true" outlineLevel="0" collapsed="false"/>
    <row r="1355" customFormat="false" ht="16.5" hidden="false" customHeight="true" outlineLevel="0" collapsed="false"/>
    <row r="1356" customFormat="false" ht="16.5" hidden="false" customHeight="true" outlineLevel="0" collapsed="false"/>
    <row r="1357" customFormat="false" ht="16.5" hidden="false" customHeight="true" outlineLevel="0" collapsed="false"/>
    <row r="1358" customFormat="false" ht="16.5" hidden="false" customHeight="true" outlineLevel="0" collapsed="false"/>
    <row r="1359" customFormat="false" ht="16.5" hidden="false" customHeight="true" outlineLevel="0" collapsed="false"/>
    <row r="1360" customFormat="false" ht="16.5" hidden="false" customHeight="true" outlineLevel="0" collapsed="false"/>
    <row r="1361" customFormat="false" ht="16.5" hidden="false" customHeight="true" outlineLevel="0" collapsed="false"/>
    <row r="1362" customFormat="false" ht="16.5" hidden="false" customHeight="true" outlineLevel="0" collapsed="false"/>
    <row r="1363" customFormat="false" ht="16.5" hidden="false" customHeight="true" outlineLevel="0" collapsed="false"/>
    <row r="1364" customFormat="false" ht="16.5" hidden="false" customHeight="true" outlineLevel="0" collapsed="false"/>
    <row r="1365" customFormat="false" ht="16.5" hidden="false" customHeight="true" outlineLevel="0" collapsed="false"/>
    <row r="1366" customFormat="false" ht="16.5" hidden="false" customHeight="true" outlineLevel="0" collapsed="false"/>
    <row r="1367" customFormat="false" ht="16.5" hidden="false" customHeight="true" outlineLevel="0" collapsed="false"/>
    <row r="1368" customFormat="false" ht="16.5" hidden="false" customHeight="true" outlineLevel="0" collapsed="false"/>
    <row r="1369" customFormat="false" ht="16.5" hidden="false" customHeight="true" outlineLevel="0" collapsed="false"/>
    <row r="1370" customFormat="false" ht="16.5" hidden="false" customHeight="true" outlineLevel="0" collapsed="false"/>
    <row r="1371" customFormat="false" ht="16.5" hidden="false" customHeight="true" outlineLevel="0" collapsed="false"/>
    <row r="1372" customFormat="false" ht="16.5" hidden="false" customHeight="true" outlineLevel="0" collapsed="false"/>
    <row r="1373" customFormat="false" ht="16.5" hidden="false" customHeight="true" outlineLevel="0" collapsed="false"/>
    <row r="1374" customFormat="false" ht="16.5" hidden="false" customHeight="true" outlineLevel="0" collapsed="false"/>
    <row r="1375" customFormat="false" ht="16.5" hidden="false" customHeight="true" outlineLevel="0" collapsed="false"/>
    <row r="1376" customFormat="false" ht="16.5" hidden="false" customHeight="true" outlineLevel="0" collapsed="false"/>
    <row r="1377" customFormat="false" ht="16.5" hidden="false" customHeight="true" outlineLevel="0" collapsed="false"/>
    <row r="1378" customFormat="false" ht="16.5" hidden="false" customHeight="true" outlineLevel="0" collapsed="false"/>
    <row r="1379" customFormat="false" ht="16.5" hidden="false" customHeight="true" outlineLevel="0" collapsed="false"/>
    <row r="1380" customFormat="false" ht="16.5" hidden="false" customHeight="true" outlineLevel="0" collapsed="false"/>
    <row r="1381" customFormat="false" ht="16.5" hidden="false" customHeight="true" outlineLevel="0" collapsed="false"/>
    <row r="1382" customFormat="false" ht="16.5" hidden="false" customHeight="true" outlineLevel="0" collapsed="false"/>
    <row r="1383" customFormat="false" ht="16.5" hidden="false" customHeight="true" outlineLevel="0" collapsed="false"/>
    <row r="1384" customFormat="false" ht="16.5" hidden="false" customHeight="true" outlineLevel="0" collapsed="false"/>
    <row r="1385" customFormat="false" ht="16.5" hidden="false" customHeight="true" outlineLevel="0" collapsed="false"/>
    <row r="1386" customFormat="false" ht="16.5" hidden="false" customHeight="true" outlineLevel="0" collapsed="false"/>
    <row r="1387" customFormat="false" ht="16.5" hidden="false" customHeight="true" outlineLevel="0" collapsed="false"/>
    <row r="1388" customFormat="false" ht="16.5" hidden="false" customHeight="true" outlineLevel="0" collapsed="false"/>
    <row r="1389" customFormat="false" ht="16.5" hidden="false" customHeight="true" outlineLevel="0" collapsed="false"/>
    <row r="1390" customFormat="false" ht="16.5" hidden="false" customHeight="true" outlineLevel="0" collapsed="false"/>
    <row r="1391" customFormat="false" ht="16.5" hidden="false" customHeight="true" outlineLevel="0" collapsed="false"/>
    <row r="1392" customFormat="false" ht="16.5" hidden="false" customHeight="true" outlineLevel="0" collapsed="false"/>
    <row r="1393" customFormat="false" ht="16.5" hidden="false" customHeight="true" outlineLevel="0" collapsed="false"/>
    <row r="1394" customFormat="false" ht="16.5" hidden="false" customHeight="true" outlineLevel="0" collapsed="false"/>
    <row r="1395" customFormat="false" ht="16.5" hidden="false" customHeight="true" outlineLevel="0" collapsed="false"/>
    <row r="1396" customFormat="false" ht="16.5" hidden="false" customHeight="true" outlineLevel="0" collapsed="false"/>
    <row r="1397" customFormat="false" ht="16.5" hidden="false" customHeight="true" outlineLevel="0" collapsed="false"/>
    <row r="1398" customFormat="false" ht="16.5" hidden="false" customHeight="true" outlineLevel="0" collapsed="false"/>
    <row r="1399" customFormat="false" ht="16.5" hidden="false" customHeight="true" outlineLevel="0" collapsed="false"/>
    <row r="1400" customFormat="false" ht="16.5" hidden="false" customHeight="true" outlineLevel="0" collapsed="false"/>
    <row r="1401" customFormat="false" ht="16.5" hidden="false" customHeight="true" outlineLevel="0" collapsed="false"/>
    <row r="1402" customFormat="false" ht="16.5" hidden="false" customHeight="true" outlineLevel="0" collapsed="false"/>
    <row r="1403" customFormat="false" ht="16.5" hidden="false" customHeight="true" outlineLevel="0" collapsed="false"/>
    <row r="1404" customFormat="false" ht="16.5" hidden="false" customHeight="true" outlineLevel="0" collapsed="false"/>
    <row r="1405" customFormat="false" ht="16.5" hidden="false" customHeight="true" outlineLevel="0" collapsed="false"/>
    <row r="1406" customFormat="false" ht="16.5" hidden="false" customHeight="true" outlineLevel="0" collapsed="false"/>
    <row r="1407" customFormat="false" ht="16.5" hidden="false" customHeight="true" outlineLevel="0" collapsed="false"/>
    <row r="1408" customFormat="false" ht="16.5" hidden="false" customHeight="true" outlineLevel="0" collapsed="false"/>
    <row r="1409" customFormat="false" ht="16.5" hidden="false" customHeight="true" outlineLevel="0" collapsed="false"/>
    <row r="1410" customFormat="false" ht="16.5" hidden="false" customHeight="true" outlineLevel="0" collapsed="false"/>
    <row r="1411" customFormat="false" ht="16.5" hidden="false" customHeight="true" outlineLevel="0" collapsed="false"/>
    <row r="1412" customFormat="false" ht="16.5" hidden="false" customHeight="true" outlineLevel="0" collapsed="false"/>
    <row r="1413" customFormat="false" ht="16.5" hidden="false" customHeight="true" outlineLevel="0" collapsed="false"/>
    <row r="1414" customFormat="false" ht="16.5" hidden="false" customHeight="true" outlineLevel="0" collapsed="false"/>
    <row r="1415" customFormat="false" ht="16.5" hidden="false" customHeight="true" outlineLevel="0" collapsed="false"/>
    <row r="1416" customFormat="false" ht="16.5" hidden="false" customHeight="true" outlineLevel="0" collapsed="false"/>
    <row r="1417" customFormat="false" ht="16.5" hidden="false" customHeight="true" outlineLevel="0" collapsed="false"/>
    <row r="1418" customFormat="false" ht="16.5" hidden="false" customHeight="true" outlineLevel="0" collapsed="false"/>
    <row r="1419" customFormat="false" ht="16.5" hidden="false" customHeight="true" outlineLevel="0" collapsed="false"/>
    <row r="1420" customFormat="false" ht="16.5" hidden="false" customHeight="true" outlineLevel="0" collapsed="false"/>
    <row r="1421" customFormat="false" ht="16.5" hidden="false" customHeight="true" outlineLevel="0" collapsed="false"/>
    <row r="1422" customFormat="false" ht="16.5" hidden="false" customHeight="true" outlineLevel="0" collapsed="false"/>
    <row r="1423" customFormat="false" ht="16.5" hidden="false" customHeight="true" outlineLevel="0" collapsed="false"/>
    <row r="1424" customFormat="false" ht="16.5" hidden="false" customHeight="true" outlineLevel="0" collapsed="false"/>
    <row r="1425" customFormat="false" ht="16.5" hidden="false" customHeight="true" outlineLevel="0" collapsed="false"/>
    <row r="1426" customFormat="false" ht="16.5" hidden="false" customHeight="true" outlineLevel="0" collapsed="false"/>
    <row r="1427" customFormat="false" ht="16.5" hidden="false" customHeight="true" outlineLevel="0" collapsed="false"/>
    <row r="1428" customFormat="false" ht="16.5" hidden="false" customHeight="true" outlineLevel="0" collapsed="false"/>
    <row r="1429" customFormat="false" ht="16.5" hidden="false" customHeight="true" outlineLevel="0" collapsed="false"/>
    <row r="1430" customFormat="false" ht="16.5" hidden="false" customHeight="true" outlineLevel="0" collapsed="false"/>
    <row r="1431" customFormat="false" ht="16.5" hidden="false" customHeight="true" outlineLevel="0" collapsed="false"/>
    <row r="1432" customFormat="false" ht="16.5" hidden="false" customHeight="true" outlineLevel="0" collapsed="false"/>
    <row r="1433" customFormat="false" ht="16.5" hidden="false" customHeight="true" outlineLevel="0" collapsed="false"/>
    <row r="1434" customFormat="false" ht="16.5" hidden="false" customHeight="true" outlineLevel="0" collapsed="false"/>
    <row r="1435" customFormat="false" ht="16.5" hidden="false" customHeight="true" outlineLevel="0" collapsed="false"/>
    <row r="1436" customFormat="false" ht="16.5" hidden="false" customHeight="true" outlineLevel="0" collapsed="false"/>
    <row r="1437" customFormat="false" ht="16.5" hidden="false" customHeight="true" outlineLevel="0" collapsed="false"/>
    <row r="1438" customFormat="false" ht="16.5" hidden="false" customHeight="true" outlineLevel="0" collapsed="false"/>
    <row r="1439" customFormat="false" ht="16.5" hidden="false" customHeight="true" outlineLevel="0" collapsed="false"/>
    <row r="1440" customFormat="false" ht="16.5" hidden="false" customHeight="true" outlineLevel="0" collapsed="false"/>
    <row r="1441" customFormat="false" ht="16.5" hidden="false" customHeight="true" outlineLevel="0" collapsed="false"/>
    <row r="1442" customFormat="false" ht="16.5" hidden="false" customHeight="true" outlineLevel="0" collapsed="false"/>
    <row r="1443" customFormat="false" ht="16.5" hidden="false" customHeight="true" outlineLevel="0" collapsed="false"/>
    <row r="1444" customFormat="false" ht="16.5" hidden="false" customHeight="true" outlineLevel="0" collapsed="false"/>
    <row r="1445" customFormat="false" ht="16.5" hidden="false" customHeight="true" outlineLevel="0" collapsed="false"/>
    <row r="1446" customFormat="false" ht="16.5" hidden="false" customHeight="true" outlineLevel="0" collapsed="false"/>
    <row r="1447" customFormat="false" ht="16.5" hidden="false" customHeight="true" outlineLevel="0" collapsed="false"/>
    <row r="1448" customFormat="false" ht="16.5" hidden="false" customHeight="true" outlineLevel="0" collapsed="false"/>
    <row r="1449" customFormat="false" ht="16.5" hidden="false" customHeight="true" outlineLevel="0" collapsed="false"/>
    <row r="1450" customFormat="false" ht="16.5" hidden="false" customHeight="true" outlineLevel="0" collapsed="false"/>
    <row r="1451" customFormat="false" ht="16.5" hidden="false" customHeight="true" outlineLevel="0" collapsed="false"/>
    <row r="1452" customFormat="false" ht="16.5" hidden="false" customHeight="true" outlineLevel="0" collapsed="false"/>
    <row r="1453" customFormat="false" ht="16.5" hidden="false" customHeight="true" outlineLevel="0" collapsed="false"/>
    <row r="1454" customFormat="false" ht="16.5" hidden="false" customHeight="true" outlineLevel="0" collapsed="false"/>
    <row r="1455" customFormat="false" ht="16.5" hidden="false" customHeight="true" outlineLevel="0" collapsed="false"/>
    <row r="1456" customFormat="false" ht="16.5" hidden="false" customHeight="true" outlineLevel="0" collapsed="false"/>
    <row r="1457" customFormat="false" ht="16.5" hidden="false" customHeight="true" outlineLevel="0" collapsed="false"/>
    <row r="1458" customFormat="false" ht="16.5" hidden="false" customHeight="true" outlineLevel="0" collapsed="false"/>
    <row r="1459" customFormat="false" ht="16.5" hidden="false" customHeight="true" outlineLevel="0" collapsed="false"/>
    <row r="1460" customFormat="false" ht="16.5" hidden="false" customHeight="true" outlineLevel="0" collapsed="false"/>
    <row r="1461" customFormat="false" ht="16.5" hidden="false" customHeight="true" outlineLevel="0" collapsed="false"/>
    <row r="1462" customFormat="false" ht="16.5" hidden="false" customHeight="true" outlineLevel="0" collapsed="false"/>
    <row r="1463" customFormat="false" ht="16.5" hidden="false" customHeight="true" outlineLevel="0" collapsed="false"/>
    <row r="1464" customFormat="false" ht="16.5" hidden="false" customHeight="true" outlineLevel="0" collapsed="false"/>
    <row r="1465" customFormat="false" ht="16.5" hidden="false" customHeight="true" outlineLevel="0" collapsed="false"/>
    <row r="1466" customFormat="false" ht="16.5" hidden="false" customHeight="true" outlineLevel="0" collapsed="false"/>
    <row r="1467" customFormat="false" ht="16.5" hidden="false" customHeight="true" outlineLevel="0" collapsed="false"/>
    <row r="1468" customFormat="false" ht="16.5" hidden="false" customHeight="true" outlineLevel="0" collapsed="false"/>
    <row r="1469" customFormat="false" ht="16.5" hidden="false" customHeight="true" outlineLevel="0" collapsed="false"/>
    <row r="1470" customFormat="false" ht="16.5" hidden="false" customHeight="true" outlineLevel="0" collapsed="false"/>
    <row r="1471" customFormat="false" ht="16.5" hidden="false" customHeight="true" outlineLevel="0" collapsed="false"/>
    <row r="1472" customFormat="false" ht="16.5" hidden="false" customHeight="true" outlineLevel="0" collapsed="false"/>
    <row r="1473" customFormat="false" ht="16.5" hidden="false" customHeight="true" outlineLevel="0" collapsed="false"/>
    <row r="1474" customFormat="false" ht="16.5" hidden="false" customHeight="true" outlineLevel="0" collapsed="false"/>
    <row r="1475" customFormat="false" ht="16.5" hidden="false" customHeight="true" outlineLevel="0" collapsed="false"/>
    <row r="1476" customFormat="false" ht="16.5" hidden="false" customHeight="true" outlineLevel="0" collapsed="false"/>
    <row r="1477" customFormat="false" ht="16.5" hidden="false" customHeight="true" outlineLevel="0" collapsed="false"/>
    <row r="1478" customFormat="false" ht="16.5" hidden="false" customHeight="true" outlineLevel="0" collapsed="false"/>
    <row r="1479" customFormat="false" ht="16.5" hidden="false" customHeight="true" outlineLevel="0" collapsed="false"/>
    <row r="1480" customFormat="false" ht="16.5" hidden="false" customHeight="true" outlineLevel="0" collapsed="false"/>
    <row r="1481" customFormat="false" ht="16.5" hidden="false" customHeight="true" outlineLevel="0" collapsed="false"/>
    <row r="1482" customFormat="false" ht="16.5" hidden="false" customHeight="true" outlineLevel="0" collapsed="false"/>
    <row r="1483" customFormat="false" ht="16.5" hidden="false" customHeight="true" outlineLevel="0" collapsed="false"/>
    <row r="1484" customFormat="false" ht="16.5" hidden="false" customHeight="true" outlineLevel="0" collapsed="false"/>
    <row r="1485" customFormat="false" ht="16.5" hidden="false" customHeight="true" outlineLevel="0" collapsed="false"/>
    <row r="1486" customFormat="false" ht="16.5" hidden="false" customHeight="true" outlineLevel="0" collapsed="false"/>
    <row r="1487" customFormat="false" ht="16.5" hidden="false" customHeight="true" outlineLevel="0" collapsed="false"/>
    <row r="1488" customFormat="false" ht="16.5" hidden="false" customHeight="true" outlineLevel="0" collapsed="false"/>
    <row r="1489" customFormat="false" ht="16.5" hidden="false" customHeight="true" outlineLevel="0" collapsed="false"/>
    <row r="1490" customFormat="false" ht="16.5" hidden="false" customHeight="true" outlineLevel="0" collapsed="false"/>
    <row r="1491" customFormat="false" ht="16.5" hidden="false" customHeight="true" outlineLevel="0" collapsed="false"/>
    <row r="1492" customFormat="false" ht="16.5" hidden="false" customHeight="true" outlineLevel="0" collapsed="false"/>
    <row r="1493" customFormat="false" ht="16.5" hidden="false" customHeight="true" outlineLevel="0" collapsed="false"/>
    <row r="1494" customFormat="false" ht="16.5" hidden="false" customHeight="true" outlineLevel="0" collapsed="false"/>
    <row r="1495" customFormat="false" ht="16.5" hidden="false" customHeight="true" outlineLevel="0" collapsed="false"/>
    <row r="1496" customFormat="false" ht="16.5" hidden="false" customHeight="true" outlineLevel="0" collapsed="false"/>
    <row r="1497" customFormat="false" ht="16.5" hidden="false" customHeight="true" outlineLevel="0" collapsed="false"/>
    <row r="1498" customFormat="false" ht="16.5" hidden="false" customHeight="true" outlineLevel="0" collapsed="false"/>
    <row r="1499" customFormat="false" ht="16.5" hidden="false" customHeight="true" outlineLevel="0" collapsed="false"/>
    <row r="1500" customFormat="false" ht="16.5" hidden="false" customHeight="true" outlineLevel="0" collapsed="false"/>
    <row r="1501" customFormat="false" ht="16.5" hidden="false" customHeight="true" outlineLevel="0" collapsed="false"/>
    <row r="1502" customFormat="false" ht="16.5" hidden="false" customHeight="true" outlineLevel="0" collapsed="false"/>
    <row r="1503" customFormat="false" ht="16.5" hidden="false" customHeight="true" outlineLevel="0" collapsed="false"/>
    <row r="1504" customFormat="false" ht="16.5" hidden="false" customHeight="true" outlineLevel="0" collapsed="false"/>
    <row r="1505" customFormat="false" ht="16.5" hidden="false" customHeight="true" outlineLevel="0" collapsed="false"/>
    <row r="1506" customFormat="false" ht="16.5" hidden="false" customHeight="true" outlineLevel="0" collapsed="false"/>
    <row r="1507" customFormat="false" ht="16.5" hidden="false" customHeight="true" outlineLevel="0" collapsed="false"/>
    <row r="1508" customFormat="false" ht="16.5" hidden="false" customHeight="true" outlineLevel="0" collapsed="false"/>
    <row r="1509" customFormat="false" ht="16.5" hidden="false" customHeight="true" outlineLevel="0" collapsed="false"/>
    <row r="1510" customFormat="false" ht="16.5" hidden="false" customHeight="true" outlineLevel="0" collapsed="false"/>
    <row r="1511" customFormat="false" ht="16.5" hidden="false" customHeight="true" outlineLevel="0" collapsed="false"/>
    <row r="1512" customFormat="false" ht="16.5" hidden="false" customHeight="true" outlineLevel="0" collapsed="false"/>
    <row r="1513" customFormat="false" ht="16.5" hidden="false" customHeight="true" outlineLevel="0" collapsed="false"/>
    <row r="1514" customFormat="false" ht="16.5" hidden="false" customHeight="true" outlineLevel="0" collapsed="false"/>
    <row r="1515" customFormat="false" ht="16.5" hidden="false" customHeight="true" outlineLevel="0" collapsed="false"/>
    <row r="1516" customFormat="false" ht="16.5" hidden="false" customHeight="true" outlineLevel="0" collapsed="false"/>
    <row r="1517" customFormat="false" ht="16.5" hidden="false" customHeight="true" outlineLevel="0" collapsed="false"/>
    <row r="1518" customFormat="false" ht="16.5" hidden="false" customHeight="true" outlineLevel="0" collapsed="false"/>
    <row r="1519" customFormat="false" ht="16.5" hidden="false" customHeight="true" outlineLevel="0" collapsed="false"/>
    <row r="1520" customFormat="false" ht="16.5" hidden="false" customHeight="true" outlineLevel="0" collapsed="false"/>
    <row r="1521" customFormat="false" ht="16.5" hidden="false" customHeight="true" outlineLevel="0" collapsed="false"/>
    <row r="1522" customFormat="false" ht="16.5" hidden="false" customHeight="true" outlineLevel="0" collapsed="false"/>
    <row r="1523" customFormat="false" ht="16.5" hidden="false" customHeight="true" outlineLevel="0" collapsed="false"/>
    <row r="1524" customFormat="false" ht="16.5" hidden="false" customHeight="true" outlineLevel="0" collapsed="false"/>
    <row r="1525" customFormat="false" ht="16.5" hidden="false" customHeight="true" outlineLevel="0" collapsed="false"/>
    <row r="1526" customFormat="false" ht="16.5" hidden="false" customHeight="true" outlineLevel="0" collapsed="false"/>
    <row r="1527" customFormat="false" ht="16.5" hidden="false" customHeight="true" outlineLevel="0" collapsed="false"/>
    <row r="1528" customFormat="false" ht="16.5" hidden="false" customHeight="true" outlineLevel="0" collapsed="false"/>
    <row r="1529" customFormat="false" ht="16.5" hidden="false" customHeight="true" outlineLevel="0" collapsed="false"/>
    <row r="1530" customFormat="false" ht="16.5" hidden="false" customHeight="true" outlineLevel="0" collapsed="false"/>
    <row r="1531" customFormat="false" ht="16.5" hidden="false" customHeight="true" outlineLevel="0" collapsed="false"/>
    <row r="1532" customFormat="false" ht="16.5" hidden="false" customHeight="true" outlineLevel="0" collapsed="false"/>
    <row r="1533" customFormat="false" ht="16.5" hidden="false" customHeight="true" outlineLevel="0" collapsed="false"/>
    <row r="1534" customFormat="false" ht="16.5" hidden="false" customHeight="true" outlineLevel="0" collapsed="false"/>
    <row r="1535" customFormat="false" ht="16.5" hidden="false" customHeight="true" outlineLevel="0" collapsed="false"/>
    <row r="1536" customFormat="false" ht="16.5" hidden="false" customHeight="true" outlineLevel="0" collapsed="false"/>
    <row r="1537" customFormat="false" ht="16.5" hidden="false" customHeight="true" outlineLevel="0" collapsed="false"/>
    <row r="1538" customFormat="false" ht="16.5" hidden="false" customHeight="true" outlineLevel="0" collapsed="false"/>
    <row r="1539" customFormat="false" ht="16.5" hidden="false" customHeight="true" outlineLevel="0" collapsed="false"/>
    <row r="1540" customFormat="false" ht="16.5" hidden="false" customHeight="true" outlineLevel="0" collapsed="false"/>
    <row r="1541" customFormat="false" ht="16.5" hidden="false" customHeight="true" outlineLevel="0" collapsed="false"/>
    <row r="1542" customFormat="false" ht="16.5" hidden="false" customHeight="true" outlineLevel="0" collapsed="false"/>
    <row r="1543" customFormat="false" ht="16.5" hidden="false" customHeight="true" outlineLevel="0" collapsed="false"/>
    <row r="1544" customFormat="false" ht="16.5" hidden="false" customHeight="true" outlineLevel="0" collapsed="false"/>
    <row r="1545" customFormat="false" ht="16.5" hidden="false" customHeight="true" outlineLevel="0" collapsed="false"/>
    <row r="1546" customFormat="false" ht="16.5" hidden="false" customHeight="true" outlineLevel="0" collapsed="false"/>
    <row r="1547" customFormat="false" ht="16.5" hidden="false" customHeight="true" outlineLevel="0" collapsed="false"/>
    <row r="1548" customFormat="false" ht="16.5" hidden="false" customHeight="true" outlineLevel="0" collapsed="false"/>
    <row r="1549" customFormat="false" ht="16.5" hidden="false" customHeight="true" outlineLevel="0" collapsed="false"/>
    <row r="1550" customFormat="false" ht="16.5" hidden="false" customHeight="true" outlineLevel="0" collapsed="false"/>
    <row r="1551" customFormat="false" ht="16.5" hidden="false" customHeight="true" outlineLevel="0" collapsed="false"/>
    <row r="1552" customFormat="false" ht="16.5" hidden="false" customHeight="true" outlineLevel="0" collapsed="false"/>
    <row r="1553" customFormat="false" ht="16.5" hidden="false" customHeight="true" outlineLevel="0" collapsed="false"/>
    <row r="1554" customFormat="false" ht="16.5" hidden="false" customHeight="true" outlineLevel="0" collapsed="false"/>
    <row r="1555" customFormat="false" ht="16.5" hidden="false" customHeight="true" outlineLevel="0" collapsed="false"/>
    <row r="1556" customFormat="false" ht="16.5" hidden="false" customHeight="true" outlineLevel="0" collapsed="false"/>
    <row r="1557" customFormat="false" ht="16.5" hidden="false" customHeight="true" outlineLevel="0" collapsed="false"/>
    <row r="1558" customFormat="false" ht="16.5" hidden="false" customHeight="true" outlineLevel="0" collapsed="false"/>
    <row r="1559" customFormat="false" ht="16.5" hidden="false" customHeight="true" outlineLevel="0" collapsed="false"/>
    <row r="1560" customFormat="false" ht="16.5" hidden="false" customHeight="true" outlineLevel="0" collapsed="false"/>
    <row r="1561" customFormat="false" ht="16.5" hidden="false" customHeight="true" outlineLevel="0" collapsed="false"/>
    <row r="1562" customFormat="false" ht="16.5" hidden="false" customHeight="true" outlineLevel="0" collapsed="false"/>
    <row r="1563" customFormat="false" ht="16.5" hidden="false" customHeight="true" outlineLevel="0" collapsed="false"/>
    <row r="1564" customFormat="false" ht="16.5" hidden="false" customHeight="true" outlineLevel="0" collapsed="false"/>
    <row r="1565" customFormat="false" ht="16.5" hidden="false" customHeight="true" outlineLevel="0" collapsed="false"/>
    <row r="1566" customFormat="false" ht="16.5" hidden="false" customHeight="true" outlineLevel="0" collapsed="false"/>
    <row r="1567" customFormat="false" ht="16.5" hidden="false" customHeight="true" outlineLevel="0" collapsed="false"/>
    <row r="1568" customFormat="false" ht="16.5" hidden="false" customHeight="true" outlineLevel="0" collapsed="false"/>
    <row r="1569" customFormat="false" ht="16.5" hidden="false" customHeight="true" outlineLevel="0" collapsed="false"/>
    <row r="1570" customFormat="false" ht="16.5" hidden="false" customHeight="true" outlineLevel="0" collapsed="false"/>
    <row r="1571" customFormat="false" ht="16.5" hidden="false" customHeight="true" outlineLevel="0" collapsed="false"/>
    <row r="1572" customFormat="false" ht="16.5" hidden="false" customHeight="true" outlineLevel="0" collapsed="false"/>
    <row r="1573" customFormat="false" ht="16.5" hidden="false" customHeight="true" outlineLevel="0" collapsed="false"/>
    <row r="1574" customFormat="false" ht="16.5" hidden="false" customHeight="true" outlineLevel="0" collapsed="false"/>
    <row r="1575" customFormat="false" ht="16.5" hidden="false" customHeight="true" outlineLevel="0" collapsed="false"/>
    <row r="1576" customFormat="false" ht="16.5" hidden="false" customHeight="true" outlineLevel="0" collapsed="false"/>
    <row r="1577" customFormat="false" ht="16.5" hidden="false" customHeight="true" outlineLevel="0" collapsed="false"/>
    <row r="1578" customFormat="false" ht="16.5" hidden="false" customHeight="true" outlineLevel="0" collapsed="false"/>
    <row r="1579" customFormat="false" ht="16.5" hidden="false" customHeight="true" outlineLevel="0" collapsed="false"/>
    <row r="1580" customFormat="false" ht="16.5" hidden="false" customHeight="true" outlineLevel="0" collapsed="false"/>
    <row r="1581" customFormat="false" ht="16.5" hidden="false" customHeight="true" outlineLevel="0" collapsed="false"/>
    <row r="1582" customFormat="false" ht="16.5" hidden="false" customHeight="true" outlineLevel="0" collapsed="false"/>
    <row r="1583" customFormat="false" ht="16.5" hidden="false" customHeight="true" outlineLevel="0" collapsed="false"/>
    <row r="1584" customFormat="false" ht="16.5" hidden="false" customHeight="true" outlineLevel="0" collapsed="false"/>
    <row r="1585" customFormat="false" ht="16.5" hidden="false" customHeight="true" outlineLevel="0" collapsed="false"/>
    <row r="1586" customFormat="false" ht="16.5" hidden="false" customHeight="true" outlineLevel="0" collapsed="false"/>
    <row r="1587" customFormat="false" ht="16.5" hidden="false" customHeight="true" outlineLevel="0" collapsed="false"/>
    <row r="1588" customFormat="false" ht="16.5" hidden="false" customHeight="true" outlineLevel="0" collapsed="false"/>
    <row r="1589" customFormat="false" ht="16.5" hidden="false" customHeight="true" outlineLevel="0" collapsed="false"/>
    <row r="1590" customFormat="false" ht="16.5" hidden="false" customHeight="true" outlineLevel="0" collapsed="false"/>
    <row r="1591" customFormat="false" ht="16.5" hidden="false" customHeight="true" outlineLevel="0" collapsed="false"/>
    <row r="1592" customFormat="false" ht="16.5" hidden="false" customHeight="true" outlineLevel="0" collapsed="false"/>
    <row r="1593" customFormat="false" ht="16.5" hidden="false" customHeight="true" outlineLevel="0" collapsed="false"/>
    <row r="1594" customFormat="false" ht="16.5" hidden="false" customHeight="true" outlineLevel="0" collapsed="false"/>
    <row r="1595" customFormat="false" ht="16.5" hidden="false" customHeight="true" outlineLevel="0" collapsed="false"/>
    <row r="1596" customFormat="false" ht="16.5" hidden="false" customHeight="true" outlineLevel="0" collapsed="false"/>
    <row r="1597" customFormat="false" ht="16.5" hidden="false" customHeight="true" outlineLevel="0" collapsed="false"/>
    <row r="1598" customFormat="false" ht="16.5" hidden="false" customHeight="true" outlineLevel="0" collapsed="false"/>
    <row r="1599" customFormat="false" ht="16.5" hidden="false" customHeight="true" outlineLevel="0" collapsed="false"/>
    <row r="1600" customFormat="false" ht="16.5" hidden="false" customHeight="true" outlineLevel="0" collapsed="false"/>
    <row r="1601" customFormat="false" ht="16.5" hidden="false" customHeight="true" outlineLevel="0" collapsed="false"/>
    <row r="1602" customFormat="false" ht="16.5" hidden="false" customHeight="true" outlineLevel="0" collapsed="false"/>
    <row r="1603" customFormat="false" ht="16.5" hidden="false" customHeight="true" outlineLevel="0" collapsed="false"/>
    <row r="1604" customFormat="false" ht="16.5" hidden="false" customHeight="true" outlineLevel="0" collapsed="false"/>
    <row r="1605" customFormat="false" ht="16.5" hidden="false" customHeight="true" outlineLevel="0" collapsed="false"/>
    <row r="1606" customFormat="false" ht="16.5" hidden="false" customHeight="true" outlineLevel="0" collapsed="false"/>
    <row r="1607" customFormat="false" ht="16.5" hidden="false" customHeight="true" outlineLevel="0" collapsed="false"/>
    <row r="1608" customFormat="false" ht="16.5" hidden="false" customHeight="true" outlineLevel="0" collapsed="false"/>
    <row r="1609" customFormat="false" ht="16.5" hidden="false" customHeight="true" outlineLevel="0" collapsed="false"/>
    <row r="1610" customFormat="false" ht="16.5" hidden="false" customHeight="true" outlineLevel="0" collapsed="false"/>
    <row r="1611" customFormat="false" ht="16.5" hidden="false" customHeight="true" outlineLevel="0" collapsed="false"/>
    <row r="1612" customFormat="false" ht="16.5" hidden="false" customHeight="true" outlineLevel="0" collapsed="false"/>
    <row r="1613" customFormat="false" ht="16.5" hidden="false" customHeight="true" outlineLevel="0" collapsed="false"/>
    <row r="1614" customFormat="false" ht="16.5" hidden="false" customHeight="true" outlineLevel="0" collapsed="false"/>
    <row r="1615" customFormat="false" ht="16.5" hidden="false" customHeight="true" outlineLevel="0" collapsed="false"/>
    <row r="1616" customFormat="false" ht="16.5" hidden="false" customHeight="true" outlineLevel="0" collapsed="false"/>
    <row r="1617" customFormat="false" ht="16.5" hidden="false" customHeight="true" outlineLevel="0" collapsed="false"/>
    <row r="1618" customFormat="false" ht="16.5" hidden="false" customHeight="true" outlineLevel="0" collapsed="false"/>
    <row r="1619" customFormat="false" ht="16.5" hidden="false" customHeight="true" outlineLevel="0" collapsed="false"/>
    <row r="1620" customFormat="false" ht="16.5" hidden="false" customHeight="true" outlineLevel="0" collapsed="false"/>
    <row r="1621" customFormat="false" ht="16.5" hidden="false" customHeight="true" outlineLevel="0" collapsed="false"/>
    <row r="1622" customFormat="false" ht="16.5" hidden="false" customHeight="true" outlineLevel="0" collapsed="false"/>
    <row r="1623" customFormat="false" ht="16.5" hidden="false" customHeight="true" outlineLevel="0" collapsed="false"/>
    <row r="1624" customFormat="false" ht="16.5" hidden="false" customHeight="true" outlineLevel="0" collapsed="false"/>
    <row r="1625" customFormat="false" ht="16.5" hidden="false" customHeight="true" outlineLevel="0" collapsed="false"/>
    <row r="1626" customFormat="false" ht="16.5" hidden="false" customHeight="true" outlineLevel="0" collapsed="false"/>
    <row r="1627" customFormat="false" ht="16.5" hidden="false" customHeight="true" outlineLevel="0" collapsed="false"/>
    <row r="1628" customFormat="false" ht="16.5" hidden="false" customHeight="true" outlineLevel="0" collapsed="false"/>
    <row r="1629" customFormat="false" ht="16.5" hidden="false" customHeight="true" outlineLevel="0" collapsed="false"/>
    <row r="1630" customFormat="false" ht="16.5" hidden="false" customHeight="true" outlineLevel="0" collapsed="false"/>
    <row r="1631" customFormat="false" ht="16.5" hidden="false" customHeight="true" outlineLevel="0" collapsed="false"/>
    <row r="1632" customFormat="false" ht="16.5" hidden="false" customHeight="true" outlineLevel="0" collapsed="false"/>
    <row r="1633" customFormat="false" ht="16.5" hidden="false" customHeight="true" outlineLevel="0" collapsed="false"/>
    <row r="1634" customFormat="false" ht="16.5" hidden="false" customHeight="true" outlineLevel="0" collapsed="false"/>
    <row r="1635" customFormat="false" ht="16.5" hidden="false" customHeight="true" outlineLevel="0" collapsed="false"/>
    <row r="1636" customFormat="false" ht="16.5" hidden="false" customHeight="true" outlineLevel="0" collapsed="false"/>
    <row r="1637" customFormat="false" ht="16.5" hidden="false" customHeight="true" outlineLevel="0" collapsed="false"/>
    <row r="1638" customFormat="false" ht="16.5" hidden="false" customHeight="true" outlineLevel="0" collapsed="false"/>
    <row r="1639" customFormat="false" ht="16.5" hidden="false" customHeight="true" outlineLevel="0" collapsed="false"/>
    <row r="1640" customFormat="false" ht="16.5" hidden="false" customHeight="true" outlineLevel="0" collapsed="false"/>
    <row r="1641" customFormat="false" ht="16.5" hidden="false" customHeight="true" outlineLevel="0" collapsed="false"/>
    <row r="1642" customFormat="false" ht="16.5" hidden="false" customHeight="true" outlineLevel="0" collapsed="false"/>
    <row r="1643" customFormat="false" ht="16.5" hidden="false" customHeight="true" outlineLevel="0" collapsed="false"/>
    <row r="1644" customFormat="false" ht="16.5" hidden="false" customHeight="true" outlineLevel="0" collapsed="false"/>
    <row r="1645" customFormat="false" ht="16.5" hidden="false" customHeight="true" outlineLevel="0" collapsed="false"/>
    <row r="1646" customFormat="false" ht="16.5" hidden="false" customHeight="true" outlineLevel="0" collapsed="false"/>
    <row r="1647" customFormat="false" ht="16.5" hidden="false" customHeight="true" outlineLevel="0" collapsed="false"/>
    <row r="1648" customFormat="false" ht="16.5" hidden="false" customHeight="true" outlineLevel="0" collapsed="false"/>
    <row r="1649" customFormat="false" ht="16.5" hidden="false" customHeight="true" outlineLevel="0" collapsed="false"/>
    <row r="1650" customFormat="false" ht="16.5" hidden="false" customHeight="true" outlineLevel="0" collapsed="false"/>
    <row r="1651" customFormat="false" ht="16.5" hidden="false" customHeight="true" outlineLevel="0" collapsed="false"/>
    <row r="1652" customFormat="false" ht="16.5" hidden="false" customHeight="true" outlineLevel="0" collapsed="false"/>
    <row r="1653" customFormat="false" ht="16.5" hidden="false" customHeight="true" outlineLevel="0" collapsed="false"/>
    <row r="1654" customFormat="false" ht="16.5" hidden="false" customHeight="true" outlineLevel="0" collapsed="false"/>
    <row r="1655" customFormat="false" ht="16.5" hidden="false" customHeight="true" outlineLevel="0" collapsed="false"/>
    <row r="1656" customFormat="false" ht="16.5" hidden="false" customHeight="true" outlineLevel="0" collapsed="false"/>
    <row r="1657" customFormat="false" ht="16.5" hidden="false" customHeight="true" outlineLevel="0" collapsed="false"/>
    <row r="1658" customFormat="false" ht="16.5" hidden="false" customHeight="true" outlineLevel="0" collapsed="false"/>
    <row r="1659" customFormat="false" ht="16.5" hidden="false" customHeight="true" outlineLevel="0" collapsed="false"/>
    <row r="1660" customFormat="false" ht="16.5" hidden="false" customHeight="true" outlineLevel="0" collapsed="false"/>
    <row r="1661" customFormat="false" ht="16.5" hidden="false" customHeight="true" outlineLevel="0" collapsed="false"/>
    <row r="1662" customFormat="false" ht="16.5" hidden="false" customHeight="true" outlineLevel="0" collapsed="false"/>
    <row r="1663" customFormat="false" ht="16.5" hidden="false" customHeight="true" outlineLevel="0" collapsed="false"/>
    <row r="1664" customFormat="false" ht="16.5" hidden="false" customHeight="true" outlineLevel="0" collapsed="false"/>
    <row r="1665" customFormat="false" ht="16.5" hidden="false" customHeight="true" outlineLevel="0" collapsed="false"/>
    <row r="1666" customFormat="false" ht="16.5" hidden="false" customHeight="true" outlineLevel="0" collapsed="false"/>
    <row r="1667" customFormat="false" ht="16.5" hidden="false" customHeight="true" outlineLevel="0" collapsed="false"/>
    <row r="1668" customFormat="false" ht="16.5" hidden="false" customHeight="true" outlineLevel="0" collapsed="false"/>
    <row r="1669" customFormat="false" ht="16.5" hidden="false" customHeight="true" outlineLevel="0" collapsed="false"/>
    <row r="1670" customFormat="false" ht="16.5" hidden="false" customHeight="true" outlineLevel="0" collapsed="false"/>
    <row r="1671" customFormat="false" ht="16.5" hidden="false" customHeight="true" outlineLevel="0" collapsed="false"/>
    <row r="1672" customFormat="false" ht="16.5" hidden="false" customHeight="true" outlineLevel="0" collapsed="false"/>
    <row r="1673" customFormat="false" ht="16.5" hidden="false" customHeight="true" outlineLevel="0" collapsed="false"/>
    <row r="1674" customFormat="false" ht="16.5" hidden="false" customHeight="true" outlineLevel="0" collapsed="false"/>
    <row r="1675" customFormat="false" ht="16.5" hidden="false" customHeight="true" outlineLevel="0" collapsed="false"/>
    <row r="1676" customFormat="false" ht="16.5" hidden="false" customHeight="true" outlineLevel="0" collapsed="false"/>
    <row r="1677" customFormat="false" ht="16.5" hidden="false" customHeight="true" outlineLevel="0" collapsed="false"/>
    <row r="1678" customFormat="false" ht="16.5" hidden="false" customHeight="true" outlineLevel="0" collapsed="false"/>
    <row r="1679" customFormat="false" ht="16.5" hidden="false" customHeight="true" outlineLevel="0" collapsed="false"/>
    <row r="1680" customFormat="false" ht="16.5" hidden="false" customHeight="true" outlineLevel="0" collapsed="false"/>
    <row r="1681" customFormat="false" ht="16.5" hidden="false" customHeight="true" outlineLevel="0" collapsed="false"/>
    <row r="1682" customFormat="false" ht="16.5" hidden="false" customHeight="true" outlineLevel="0" collapsed="false"/>
    <row r="1683" customFormat="false" ht="16.5" hidden="false" customHeight="true" outlineLevel="0" collapsed="false"/>
    <row r="1684" customFormat="false" ht="16.5" hidden="false" customHeight="true" outlineLevel="0" collapsed="false"/>
    <row r="1685" customFormat="false" ht="16.5" hidden="false" customHeight="true" outlineLevel="0" collapsed="false"/>
    <row r="1686" customFormat="false" ht="16.5" hidden="false" customHeight="true" outlineLevel="0" collapsed="false"/>
    <row r="1687" customFormat="false" ht="16.5" hidden="false" customHeight="true" outlineLevel="0" collapsed="false"/>
    <row r="1688" customFormat="false" ht="16.5" hidden="false" customHeight="true" outlineLevel="0" collapsed="false"/>
    <row r="1689" customFormat="false" ht="16.5" hidden="false" customHeight="true" outlineLevel="0" collapsed="false"/>
    <row r="1690" customFormat="false" ht="16.5" hidden="false" customHeight="true" outlineLevel="0" collapsed="false"/>
    <row r="1691" customFormat="false" ht="16.5" hidden="false" customHeight="true" outlineLevel="0" collapsed="false"/>
    <row r="1692" customFormat="false" ht="16.5" hidden="false" customHeight="true" outlineLevel="0" collapsed="false"/>
    <row r="1693" customFormat="false" ht="16.5" hidden="false" customHeight="true" outlineLevel="0" collapsed="false"/>
    <row r="1694" customFormat="false" ht="16.5" hidden="false" customHeight="true" outlineLevel="0" collapsed="false"/>
    <row r="1695" customFormat="false" ht="16.5" hidden="false" customHeight="true" outlineLevel="0" collapsed="false"/>
    <row r="1696" customFormat="false" ht="16.5" hidden="false" customHeight="true" outlineLevel="0" collapsed="false"/>
    <row r="1697" customFormat="false" ht="16.5" hidden="false" customHeight="true" outlineLevel="0" collapsed="false"/>
    <row r="1698" customFormat="false" ht="16.5" hidden="false" customHeight="true" outlineLevel="0" collapsed="false"/>
    <row r="1699" customFormat="false" ht="16.5" hidden="false" customHeight="true" outlineLevel="0" collapsed="false"/>
    <row r="1700" customFormat="false" ht="16.5" hidden="false" customHeight="true" outlineLevel="0" collapsed="false"/>
    <row r="1701" customFormat="false" ht="16.5" hidden="false" customHeight="true" outlineLevel="0" collapsed="false"/>
    <row r="1702" customFormat="false" ht="16.5" hidden="false" customHeight="true" outlineLevel="0" collapsed="false"/>
    <row r="1703" customFormat="false" ht="16.5" hidden="false" customHeight="true" outlineLevel="0" collapsed="false"/>
    <row r="1704" customFormat="false" ht="16.5" hidden="false" customHeight="true" outlineLevel="0" collapsed="false"/>
    <row r="1705" customFormat="false" ht="16.5" hidden="false" customHeight="true" outlineLevel="0" collapsed="false"/>
    <row r="1706" customFormat="false" ht="16.5" hidden="false" customHeight="true" outlineLevel="0" collapsed="false"/>
    <row r="1707" customFormat="false" ht="16.5" hidden="false" customHeight="true" outlineLevel="0" collapsed="false"/>
    <row r="1708" customFormat="false" ht="16.5" hidden="false" customHeight="true" outlineLevel="0" collapsed="false"/>
    <row r="1709" customFormat="false" ht="16.5" hidden="false" customHeight="true" outlineLevel="0" collapsed="false"/>
    <row r="1710" customFormat="false" ht="16.5" hidden="false" customHeight="true" outlineLevel="0" collapsed="false"/>
    <row r="1711" customFormat="false" ht="16.5" hidden="false" customHeight="true" outlineLevel="0" collapsed="false"/>
    <row r="1712" customFormat="false" ht="16.5" hidden="false" customHeight="true" outlineLevel="0" collapsed="false"/>
    <row r="1713" customFormat="false" ht="16.5" hidden="false" customHeight="true" outlineLevel="0" collapsed="false"/>
    <row r="1714" customFormat="false" ht="16.5" hidden="false" customHeight="true" outlineLevel="0" collapsed="false"/>
    <row r="1715" customFormat="false" ht="16.5" hidden="false" customHeight="true" outlineLevel="0" collapsed="false"/>
    <row r="1716" customFormat="false" ht="16.5" hidden="false" customHeight="true" outlineLevel="0" collapsed="false"/>
    <row r="1717" customFormat="false" ht="16.5" hidden="false" customHeight="true" outlineLevel="0" collapsed="false"/>
    <row r="1718" customFormat="false" ht="16.5" hidden="false" customHeight="true" outlineLevel="0" collapsed="false"/>
    <row r="1719" customFormat="false" ht="16.5" hidden="false" customHeight="true" outlineLevel="0" collapsed="false"/>
    <row r="1720" customFormat="false" ht="16.5" hidden="false" customHeight="true" outlineLevel="0" collapsed="false"/>
    <row r="1721" customFormat="false" ht="16.5" hidden="false" customHeight="true" outlineLevel="0" collapsed="false"/>
    <row r="1722" customFormat="false" ht="16.5" hidden="false" customHeight="true" outlineLevel="0" collapsed="false"/>
    <row r="1723" customFormat="false" ht="16.5" hidden="false" customHeight="true" outlineLevel="0" collapsed="false"/>
    <row r="1724" customFormat="false" ht="16.5" hidden="false" customHeight="true" outlineLevel="0" collapsed="false"/>
    <row r="1725" customFormat="false" ht="16.5" hidden="false" customHeight="true" outlineLevel="0" collapsed="false"/>
    <row r="1726" customFormat="false" ht="16.5" hidden="false" customHeight="true" outlineLevel="0" collapsed="false"/>
    <row r="1727" customFormat="false" ht="16.5" hidden="false" customHeight="true" outlineLevel="0" collapsed="false"/>
    <row r="1728" customFormat="false" ht="16.5" hidden="false" customHeight="true" outlineLevel="0" collapsed="false"/>
    <row r="1729" customFormat="false" ht="16.5" hidden="false" customHeight="true" outlineLevel="0" collapsed="false"/>
    <row r="1730" customFormat="false" ht="16.5" hidden="false" customHeight="true" outlineLevel="0" collapsed="false"/>
    <row r="1731" customFormat="false" ht="16.5" hidden="false" customHeight="true" outlineLevel="0" collapsed="false"/>
    <row r="1732" customFormat="false" ht="16.5" hidden="false" customHeight="true" outlineLevel="0" collapsed="false"/>
    <row r="1733" customFormat="false" ht="16.5" hidden="false" customHeight="true" outlineLevel="0" collapsed="false"/>
    <row r="1734" customFormat="false" ht="16.5" hidden="false" customHeight="true" outlineLevel="0" collapsed="false"/>
    <row r="1735" customFormat="false" ht="16.5" hidden="false" customHeight="true" outlineLevel="0" collapsed="false"/>
    <row r="1736" customFormat="false" ht="16.5" hidden="false" customHeight="true" outlineLevel="0" collapsed="false"/>
    <row r="1737" customFormat="false" ht="16.5" hidden="false" customHeight="true" outlineLevel="0" collapsed="false"/>
    <row r="1738" customFormat="false" ht="16.5" hidden="false" customHeight="true" outlineLevel="0" collapsed="false"/>
    <row r="1739" customFormat="false" ht="16.5" hidden="false" customHeight="true" outlineLevel="0" collapsed="false"/>
    <row r="1740" customFormat="false" ht="16.5" hidden="false" customHeight="true" outlineLevel="0" collapsed="false"/>
    <row r="1741" customFormat="false" ht="16.5" hidden="false" customHeight="true" outlineLevel="0" collapsed="false"/>
    <row r="1742" customFormat="false" ht="16.5" hidden="false" customHeight="true" outlineLevel="0" collapsed="false"/>
    <row r="1743" customFormat="false" ht="16.5" hidden="false" customHeight="true" outlineLevel="0" collapsed="false"/>
    <row r="1744" customFormat="false" ht="16.5" hidden="false" customHeight="true" outlineLevel="0" collapsed="false"/>
    <row r="1745" customFormat="false" ht="16.5" hidden="false" customHeight="true" outlineLevel="0" collapsed="false"/>
    <row r="1746" customFormat="false" ht="16.5" hidden="false" customHeight="true" outlineLevel="0" collapsed="false"/>
    <row r="1747" customFormat="false" ht="16.5" hidden="false" customHeight="true" outlineLevel="0" collapsed="false"/>
    <row r="1748" customFormat="false" ht="16.5" hidden="false" customHeight="true" outlineLevel="0" collapsed="false"/>
    <row r="1749" customFormat="false" ht="16.5" hidden="false" customHeight="true" outlineLevel="0" collapsed="false"/>
    <row r="1750" customFormat="false" ht="16.5" hidden="false" customHeight="true" outlineLevel="0" collapsed="false"/>
    <row r="1751" customFormat="false" ht="16.5" hidden="false" customHeight="true" outlineLevel="0" collapsed="false"/>
    <row r="1752" customFormat="false" ht="16.5" hidden="false" customHeight="true" outlineLevel="0" collapsed="false"/>
    <row r="1753" customFormat="false" ht="16.5" hidden="false" customHeight="true" outlineLevel="0" collapsed="false"/>
    <row r="1754" customFormat="false" ht="16.5" hidden="false" customHeight="true" outlineLevel="0" collapsed="false"/>
    <row r="1755" customFormat="false" ht="16.5" hidden="false" customHeight="true" outlineLevel="0" collapsed="false"/>
    <row r="1756" customFormat="false" ht="16.5" hidden="false" customHeight="true" outlineLevel="0" collapsed="false"/>
    <row r="1757" customFormat="false" ht="16.5" hidden="false" customHeight="true" outlineLevel="0" collapsed="false"/>
    <row r="1758" customFormat="false" ht="16.5" hidden="false" customHeight="true" outlineLevel="0" collapsed="false"/>
    <row r="1759" customFormat="false" ht="16.5" hidden="false" customHeight="true" outlineLevel="0" collapsed="false"/>
    <row r="1760" customFormat="false" ht="16.5" hidden="false" customHeight="true" outlineLevel="0" collapsed="false"/>
    <row r="1761" customFormat="false" ht="16.5" hidden="false" customHeight="true" outlineLevel="0" collapsed="false"/>
    <row r="1762" customFormat="false" ht="16.5" hidden="false" customHeight="true" outlineLevel="0" collapsed="false"/>
    <row r="1763" customFormat="false" ht="16.5" hidden="false" customHeight="true" outlineLevel="0" collapsed="false"/>
    <row r="1764" customFormat="false" ht="16.5" hidden="false" customHeight="true" outlineLevel="0" collapsed="false"/>
    <row r="1765" customFormat="false" ht="16.5" hidden="false" customHeight="true" outlineLevel="0" collapsed="false"/>
    <row r="1766" customFormat="false" ht="16.5" hidden="false" customHeight="true" outlineLevel="0" collapsed="false"/>
    <row r="1767" customFormat="false" ht="16.5" hidden="false" customHeight="true" outlineLevel="0" collapsed="false"/>
    <row r="1768" customFormat="false" ht="16.5" hidden="false" customHeight="true" outlineLevel="0" collapsed="false"/>
    <row r="1769" customFormat="false" ht="16.5" hidden="false" customHeight="true" outlineLevel="0" collapsed="false"/>
    <row r="1770" customFormat="false" ht="16.5" hidden="false" customHeight="true" outlineLevel="0" collapsed="false"/>
    <row r="1771" customFormat="false" ht="16.5" hidden="false" customHeight="true" outlineLevel="0" collapsed="false"/>
    <row r="1772" customFormat="false" ht="16.5" hidden="false" customHeight="true" outlineLevel="0" collapsed="false"/>
    <row r="1773" customFormat="false" ht="16.5" hidden="false" customHeight="true" outlineLevel="0" collapsed="false"/>
    <row r="1774" customFormat="false" ht="16.5" hidden="false" customHeight="true" outlineLevel="0" collapsed="false"/>
    <row r="1775" customFormat="false" ht="16.5" hidden="false" customHeight="true" outlineLevel="0" collapsed="false"/>
    <row r="1776" customFormat="false" ht="16.5" hidden="false" customHeight="true" outlineLevel="0" collapsed="false"/>
    <row r="1777" customFormat="false" ht="16.5" hidden="false" customHeight="true" outlineLevel="0" collapsed="false"/>
    <row r="1778" customFormat="false" ht="16.5" hidden="false" customHeight="true" outlineLevel="0" collapsed="false"/>
    <row r="1779" customFormat="false" ht="16.5" hidden="false" customHeight="true" outlineLevel="0" collapsed="false"/>
    <row r="1780" customFormat="false" ht="16.5" hidden="false" customHeight="true" outlineLevel="0" collapsed="false"/>
    <row r="1781" customFormat="false" ht="16.5" hidden="false" customHeight="true" outlineLevel="0" collapsed="false"/>
    <row r="1782" customFormat="false" ht="16.5" hidden="false" customHeight="true" outlineLevel="0" collapsed="false"/>
    <row r="1783" customFormat="false" ht="16.5" hidden="false" customHeight="true" outlineLevel="0" collapsed="false"/>
    <row r="1784" customFormat="false" ht="16.5" hidden="false" customHeight="true" outlineLevel="0" collapsed="false"/>
    <row r="1785" customFormat="false" ht="16.5" hidden="false" customHeight="true" outlineLevel="0" collapsed="false"/>
    <row r="1786" customFormat="false" ht="16.5" hidden="false" customHeight="true" outlineLevel="0" collapsed="false"/>
    <row r="1787" customFormat="false" ht="16.5" hidden="false" customHeight="true" outlineLevel="0" collapsed="false"/>
    <row r="1788" customFormat="false" ht="16.5" hidden="false" customHeight="true" outlineLevel="0" collapsed="false"/>
    <row r="1789" customFormat="false" ht="16.5" hidden="false" customHeight="true" outlineLevel="0" collapsed="false"/>
    <row r="1790" customFormat="false" ht="16.5" hidden="false" customHeight="true" outlineLevel="0" collapsed="false"/>
    <row r="1791" customFormat="false" ht="16.5" hidden="false" customHeight="true" outlineLevel="0" collapsed="false"/>
    <row r="1792" customFormat="false" ht="16.5" hidden="false" customHeight="true" outlineLevel="0" collapsed="false"/>
    <row r="1793" customFormat="false" ht="16.5" hidden="false" customHeight="true" outlineLevel="0" collapsed="false"/>
    <row r="1794" customFormat="false" ht="16.5" hidden="false" customHeight="true" outlineLevel="0" collapsed="false"/>
    <row r="1795" customFormat="false" ht="16.5" hidden="false" customHeight="true" outlineLevel="0" collapsed="false"/>
    <row r="1796" customFormat="false" ht="16.5" hidden="false" customHeight="true" outlineLevel="0" collapsed="false"/>
    <row r="1797" customFormat="false" ht="16.5" hidden="false" customHeight="true" outlineLevel="0" collapsed="false"/>
    <row r="1798" customFormat="false" ht="16.5" hidden="false" customHeight="true" outlineLevel="0" collapsed="false"/>
    <row r="1799" customFormat="false" ht="16.5" hidden="false" customHeight="true" outlineLevel="0" collapsed="false"/>
    <row r="1800" customFormat="false" ht="16.5" hidden="false" customHeight="true" outlineLevel="0" collapsed="false"/>
    <row r="1801" customFormat="false" ht="16.5" hidden="false" customHeight="true" outlineLevel="0" collapsed="false"/>
    <row r="1802" customFormat="false" ht="16.5" hidden="false" customHeight="true" outlineLevel="0" collapsed="false"/>
    <row r="1803" customFormat="false" ht="16.5" hidden="false" customHeight="true" outlineLevel="0" collapsed="false"/>
    <row r="1804" customFormat="false" ht="16.5" hidden="false" customHeight="true" outlineLevel="0" collapsed="false"/>
    <row r="1805" customFormat="false" ht="16.5" hidden="false" customHeight="true" outlineLevel="0" collapsed="false"/>
    <row r="1806" customFormat="false" ht="16.5" hidden="false" customHeight="true" outlineLevel="0" collapsed="false"/>
    <row r="1807" customFormat="false" ht="16.5" hidden="false" customHeight="true" outlineLevel="0" collapsed="false"/>
    <row r="1808" customFormat="false" ht="16.5" hidden="false" customHeight="true" outlineLevel="0" collapsed="false"/>
    <row r="1809" customFormat="false" ht="16.5" hidden="false" customHeight="true" outlineLevel="0" collapsed="false"/>
    <row r="1810" customFormat="false" ht="16.5" hidden="false" customHeight="true" outlineLevel="0" collapsed="false"/>
    <row r="1811" customFormat="false" ht="16.5" hidden="false" customHeight="true" outlineLevel="0" collapsed="false"/>
    <row r="1812" customFormat="false" ht="16.5" hidden="false" customHeight="true" outlineLevel="0" collapsed="false"/>
    <row r="1813" customFormat="false" ht="16.5" hidden="false" customHeight="true" outlineLevel="0" collapsed="false"/>
    <row r="1814" customFormat="false" ht="16.5" hidden="false" customHeight="true" outlineLevel="0" collapsed="false"/>
    <row r="1815" customFormat="false" ht="16.5" hidden="false" customHeight="true" outlineLevel="0" collapsed="false"/>
    <row r="1816" customFormat="false" ht="16.5" hidden="false" customHeight="true" outlineLevel="0" collapsed="false"/>
    <row r="1817" customFormat="false" ht="16.5" hidden="false" customHeight="true" outlineLevel="0" collapsed="false"/>
    <row r="1818" customFormat="false" ht="16.5" hidden="false" customHeight="true" outlineLevel="0" collapsed="false"/>
    <row r="1819" customFormat="false" ht="16.5" hidden="false" customHeight="true" outlineLevel="0" collapsed="false"/>
    <row r="1820" customFormat="false" ht="16.5" hidden="false" customHeight="true" outlineLevel="0" collapsed="false"/>
    <row r="1821" customFormat="false" ht="16.5" hidden="false" customHeight="true" outlineLevel="0" collapsed="false"/>
    <row r="1822" customFormat="false" ht="16.5" hidden="false" customHeight="true" outlineLevel="0" collapsed="false"/>
    <row r="1823" customFormat="false" ht="16.5" hidden="false" customHeight="true" outlineLevel="0" collapsed="false"/>
    <row r="1824" customFormat="false" ht="16.5" hidden="false" customHeight="true" outlineLevel="0" collapsed="false"/>
    <row r="1825" customFormat="false" ht="16.5" hidden="false" customHeight="true" outlineLevel="0" collapsed="false"/>
    <row r="1826" customFormat="false" ht="16.5" hidden="false" customHeight="true" outlineLevel="0" collapsed="false"/>
    <row r="1827" customFormat="false" ht="16.5" hidden="false" customHeight="true" outlineLevel="0" collapsed="false"/>
    <row r="1828" customFormat="false" ht="16.5" hidden="false" customHeight="true" outlineLevel="0" collapsed="false"/>
    <row r="1829" customFormat="false" ht="16.5" hidden="false" customHeight="true" outlineLevel="0" collapsed="false"/>
    <row r="1830" customFormat="false" ht="16.5" hidden="false" customHeight="true" outlineLevel="0" collapsed="false"/>
    <row r="1831" customFormat="false" ht="16.5" hidden="false" customHeight="true" outlineLevel="0" collapsed="false"/>
    <row r="1832" customFormat="false" ht="16.5" hidden="false" customHeight="true" outlineLevel="0" collapsed="false"/>
    <row r="1833" customFormat="false" ht="16.5" hidden="false" customHeight="true" outlineLevel="0" collapsed="false"/>
    <row r="1834" customFormat="false" ht="16.5" hidden="false" customHeight="true" outlineLevel="0" collapsed="false"/>
    <row r="1835" customFormat="false" ht="16.5" hidden="false" customHeight="true" outlineLevel="0" collapsed="false"/>
    <row r="1836" customFormat="false" ht="16.5" hidden="false" customHeight="true" outlineLevel="0" collapsed="false"/>
    <row r="1837" customFormat="false" ht="16.5" hidden="false" customHeight="true" outlineLevel="0" collapsed="false"/>
    <row r="1838" customFormat="false" ht="16.5" hidden="false" customHeight="true" outlineLevel="0" collapsed="false"/>
    <row r="1839" customFormat="false" ht="16.5" hidden="false" customHeight="true" outlineLevel="0" collapsed="false"/>
    <row r="1840" customFormat="false" ht="16.5" hidden="false" customHeight="true" outlineLevel="0" collapsed="false"/>
    <row r="1841" customFormat="false" ht="16.5" hidden="false" customHeight="true" outlineLevel="0" collapsed="false"/>
    <row r="1842" customFormat="false" ht="16.5" hidden="false" customHeight="true" outlineLevel="0" collapsed="false"/>
    <row r="1843" customFormat="false" ht="16.5" hidden="false" customHeight="true" outlineLevel="0" collapsed="false"/>
    <row r="1844" customFormat="false" ht="16.5" hidden="false" customHeight="true" outlineLevel="0" collapsed="false"/>
    <row r="1845" customFormat="false" ht="16.5" hidden="false" customHeight="true" outlineLevel="0" collapsed="false"/>
    <row r="1846" customFormat="false" ht="16.5" hidden="false" customHeight="true" outlineLevel="0" collapsed="false"/>
    <row r="1847" customFormat="false" ht="16.5" hidden="false" customHeight="true" outlineLevel="0" collapsed="false"/>
    <row r="1848" customFormat="false" ht="16.5" hidden="false" customHeight="true" outlineLevel="0" collapsed="false"/>
    <row r="1849" customFormat="false" ht="16.5" hidden="false" customHeight="true" outlineLevel="0" collapsed="false"/>
    <row r="1850" customFormat="false" ht="16.5" hidden="false" customHeight="true" outlineLevel="0" collapsed="false"/>
    <row r="1851" customFormat="false" ht="16.5" hidden="false" customHeight="true" outlineLevel="0" collapsed="false"/>
    <row r="1852" customFormat="false" ht="16.5" hidden="false" customHeight="true" outlineLevel="0" collapsed="false"/>
    <row r="1853" customFormat="false" ht="16.5" hidden="false" customHeight="true" outlineLevel="0" collapsed="false"/>
    <row r="1854" customFormat="false" ht="16.5" hidden="false" customHeight="true" outlineLevel="0" collapsed="false"/>
    <row r="1855" customFormat="false" ht="16.5" hidden="false" customHeight="true" outlineLevel="0" collapsed="false"/>
    <row r="1856" customFormat="false" ht="16.5" hidden="false" customHeight="true" outlineLevel="0" collapsed="false"/>
    <row r="1857" customFormat="false" ht="16.5" hidden="false" customHeight="true" outlineLevel="0" collapsed="false"/>
    <row r="1858" customFormat="false" ht="16.5" hidden="false" customHeight="true" outlineLevel="0" collapsed="false"/>
    <row r="1859" customFormat="false" ht="16.5" hidden="false" customHeight="true" outlineLevel="0" collapsed="false"/>
    <row r="1860" customFormat="false" ht="16.5" hidden="false" customHeight="true" outlineLevel="0" collapsed="false"/>
    <row r="1861" customFormat="false" ht="16.5" hidden="false" customHeight="true" outlineLevel="0" collapsed="false"/>
    <row r="1862" customFormat="false" ht="16.5" hidden="false" customHeight="true" outlineLevel="0" collapsed="false"/>
    <row r="1863" customFormat="false" ht="16.5" hidden="false" customHeight="true" outlineLevel="0" collapsed="false"/>
    <row r="1864" customFormat="false" ht="16.5" hidden="false" customHeight="true" outlineLevel="0" collapsed="false"/>
    <row r="1865" customFormat="false" ht="16.5" hidden="false" customHeight="true" outlineLevel="0" collapsed="false"/>
    <row r="1866" customFormat="false" ht="16.5" hidden="false" customHeight="true" outlineLevel="0" collapsed="false"/>
    <row r="1867" customFormat="false" ht="16.5" hidden="false" customHeight="true" outlineLevel="0" collapsed="false"/>
    <row r="1868" customFormat="false" ht="16.5" hidden="false" customHeight="true" outlineLevel="0" collapsed="false"/>
    <row r="1869" customFormat="false" ht="16.5" hidden="false" customHeight="true" outlineLevel="0" collapsed="false"/>
    <row r="1870" customFormat="false" ht="16.5" hidden="false" customHeight="true" outlineLevel="0" collapsed="false"/>
    <row r="1871" customFormat="false" ht="16.5" hidden="false" customHeight="true" outlineLevel="0" collapsed="false"/>
    <row r="1872" customFormat="false" ht="16.5" hidden="false" customHeight="true" outlineLevel="0" collapsed="false"/>
    <row r="1873" customFormat="false" ht="16.5" hidden="false" customHeight="true" outlineLevel="0" collapsed="false"/>
    <row r="1874" customFormat="false" ht="16.5" hidden="false" customHeight="true" outlineLevel="0" collapsed="false"/>
    <row r="1875" customFormat="false" ht="16.5" hidden="false" customHeight="true" outlineLevel="0" collapsed="false"/>
    <row r="1876" customFormat="false" ht="16.5" hidden="false" customHeight="true" outlineLevel="0" collapsed="false"/>
    <row r="1877" customFormat="false" ht="16.5" hidden="false" customHeight="true" outlineLevel="0" collapsed="false"/>
    <row r="1878" customFormat="false" ht="16.5" hidden="false" customHeight="true" outlineLevel="0" collapsed="false"/>
    <row r="1879" customFormat="false" ht="16.5" hidden="false" customHeight="true" outlineLevel="0" collapsed="false"/>
    <row r="1880" customFormat="false" ht="16.5" hidden="false" customHeight="true" outlineLevel="0" collapsed="false"/>
    <row r="1881" customFormat="false" ht="16.5" hidden="false" customHeight="true" outlineLevel="0" collapsed="false"/>
    <row r="1882" customFormat="false" ht="16.5" hidden="false" customHeight="true" outlineLevel="0" collapsed="false"/>
    <row r="1883" customFormat="false" ht="16.5" hidden="false" customHeight="true" outlineLevel="0" collapsed="false"/>
    <row r="1884" customFormat="false" ht="16.5" hidden="false" customHeight="true" outlineLevel="0" collapsed="false"/>
    <row r="1885" customFormat="false" ht="16.5" hidden="false" customHeight="true" outlineLevel="0" collapsed="false"/>
    <row r="1886" customFormat="false" ht="16.5" hidden="false" customHeight="true" outlineLevel="0" collapsed="false"/>
    <row r="1887" customFormat="false" ht="16.5" hidden="false" customHeight="true" outlineLevel="0" collapsed="false"/>
    <row r="1888" customFormat="false" ht="16.5" hidden="false" customHeight="true" outlineLevel="0" collapsed="false"/>
    <row r="1889" customFormat="false" ht="16.5" hidden="false" customHeight="true" outlineLevel="0" collapsed="false"/>
    <row r="1890" customFormat="false" ht="16.5" hidden="false" customHeight="true" outlineLevel="0" collapsed="false"/>
    <row r="1891" customFormat="false" ht="16.5" hidden="false" customHeight="true" outlineLevel="0" collapsed="false"/>
    <row r="1892" customFormat="false" ht="16.5" hidden="false" customHeight="true" outlineLevel="0" collapsed="false"/>
    <row r="1893" customFormat="false" ht="16.5" hidden="false" customHeight="true" outlineLevel="0" collapsed="false"/>
    <row r="1894" customFormat="false" ht="16.5" hidden="false" customHeight="true" outlineLevel="0" collapsed="false"/>
    <row r="1895" customFormat="false" ht="16.5" hidden="false" customHeight="true" outlineLevel="0" collapsed="false"/>
    <row r="1896" customFormat="false" ht="16.5" hidden="false" customHeight="true" outlineLevel="0" collapsed="false"/>
    <row r="1897" customFormat="false" ht="16.5" hidden="false" customHeight="true" outlineLevel="0" collapsed="false"/>
    <row r="1898" customFormat="false" ht="16.5" hidden="false" customHeight="true" outlineLevel="0" collapsed="false"/>
    <row r="1899" customFormat="false" ht="16.5" hidden="false" customHeight="true" outlineLevel="0" collapsed="false"/>
    <row r="1900" customFormat="false" ht="16.5" hidden="false" customHeight="true" outlineLevel="0" collapsed="false"/>
    <row r="1901" customFormat="false" ht="16.5" hidden="false" customHeight="true" outlineLevel="0" collapsed="false"/>
    <row r="1902" customFormat="false" ht="16.5" hidden="false" customHeight="true" outlineLevel="0" collapsed="false"/>
    <row r="1903" customFormat="false" ht="16.5" hidden="false" customHeight="true" outlineLevel="0" collapsed="false"/>
    <row r="1904" customFormat="false" ht="16.5" hidden="false" customHeight="true" outlineLevel="0" collapsed="false"/>
    <row r="1905" customFormat="false" ht="16.5" hidden="false" customHeight="true" outlineLevel="0" collapsed="false"/>
    <row r="1906" customFormat="false" ht="16.5" hidden="false" customHeight="true" outlineLevel="0" collapsed="false"/>
    <row r="1907" customFormat="false" ht="16.5" hidden="false" customHeight="true" outlineLevel="0" collapsed="false"/>
    <row r="1908" customFormat="false" ht="16.5" hidden="false" customHeight="true" outlineLevel="0" collapsed="false"/>
    <row r="1909" customFormat="false" ht="16.5" hidden="false" customHeight="true" outlineLevel="0" collapsed="false"/>
    <row r="1910" customFormat="false" ht="16.5" hidden="false" customHeight="true" outlineLevel="0" collapsed="false"/>
    <row r="1911" customFormat="false" ht="16.5" hidden="false" customHeight="true" outlineLevel="0" collapsed="false"/>
    <row r="1912" customFormat="false" ht="16.5" hidden="false" customHeight="true" outlineLevel="0" collapsed="false"/>
    <row r="1913" customFormat="false" ht="16.5" hidden="false" customHeight="true" outlineLevel="0" collapsed="false"/>
    <row r="1914" customFormat="false" ht="16.5" hidden="false" customHeight="true" outlineLevel="0" collapsed="false"/>
    <row r="1915" customFormat="false" ht="16.5" hidden="false" customHeight="true" outlineLevel="0" collapsed="false"/>
    <row r="1916" customFormat="false" ht="16.5" hidden="false" customHeight="true" outlineLevel="0" collapsed="false"/>
    <row r="1917" customFormat="false" ht="16.5" hidden="false" customHeight="true" outlineLevel="0" collapsed="false"/>
    <row r="1918" customFormat="false" ht="16.5" hidden="false" customHeight="true" outlineLevel="0" collapsed="false"/>
    <row r="1919" customFormat="false" ht="16.5" hidden="false" customHeight="true" outlineLevel="0" collapsed="false"/>
    <row r="1920" customFormat="false" ht="16.5" hidden="false" customHeight="true" outlineLevel="0" collapsed="false"/>
    <row r="1921" customFormat="false" ht="16.5" hidden="false" customHeight="true" outlineLevel="0" collapsed="false"/>
    <row r="1922" customFormat="false" ht="16.5" hidden="false" customHeight="true" outlineLevel="0" collapsed="false"/>
    <row r="1923" customFormat="false" ht="16.5" hidden="false" customHeight="true" outlineLevel="0" collapsed="false"/>
    <row r="1924" customFormat="false" ht="16.5" hidden="false" customHeight="true" outlineLevel="0" collapsed="false"/>
    <row r="1925" customFormat="false" ht="16.5" hidden="false" customHeight="true" outlineLevel="0" collapsed="false"/>
    <row r="1926" customFormat="false" ht="16.5" hidden="false" customHeight="true" outlineLevel="0" collapsed="false"/>
    <row r="1927" customFormat="false" ht="16.5" hidden="false" customHeight="true" outlineLevel="0" collapsed="false"/>
    <row r="1928" customFormat="false" ht="16.5" hidden="false" customHeight="true" outlineLevel="0" collapsed="false"/>
    <row r="1929" customFormat="false" ht="16.5" hidden="false" customHeight="true" outlineLevel="0" collapsed="false"/>
    <row r="1930" customFormat="false" ht="16.5" hidden="false" customHeight="true" outlineLevel="0" collapsed="false"/>
    <row r="1931" customFormat="false" ht="16.5" hidden="false" customHeight="true" outlineLevel="0" collapsed="false"/>
    <row r="1932" customFormat="false" ht="16.5" hidden="false" customHeight="true" outlineLevel="0" collapsed="false"/>
    <row r="1933" customFormat="false" ht="16.5" hidden="false" customHeight="true" outlineLevel="0" collapsed="false"/>
    <row r="1934" customFormat="false" ht="16.5" hidden="false" customHeight="true" outlineLevel="0" collapsed="false"/>
    <row r="1935" customFormat="false" ht="16.5" hidden="false" customHeight="true" outlineLevel="0" collapsed="false"/>
    <row r="1936" customFormat="false" ht="16.5" hidden="false" customHeight="true" outlineLevel="0" collapsed="false"/>
    <row r="1937" customFormat="false" ht="16.5" hidden="false" customHeight="true" outlineLevel="0" collapsed="false"/>
    <row r="1938" customFormat="false" ht="16.5" hidden="false" customHeight="true" outlineLevel="0" collapsed="false"/>
    <row r="1939" customFormat="false" ht="16.5" hidden="false" customHeight="true" outlineLevel="0" collapsed="false"/>
    <row r="1940" customFormat="false" ht="16.5" hidden="false" customHeight="true" outlineLevel="0" collapsed="false"/>
    <row r="1941" customFormat="false" ht="16.5" hidden="false" customHeight="true" outlineLevel="0" collapsed="false"/>
    <row r="1942" customFormat="false" ht="16.5" hidden="false" customHeight="true" outlineLevel="0" collapsed="false"/>
    <row r="1943" customFormat="false" ht="16.5" hidden="false" customHeight="true" outlineLevel="0" collapsed="false"/>
    <row r="1944" customFormat="false" ht="16.5" hidden="false" customHeight="true" outlineLevel="0" collapsed="false"/>
    <row r="1945" customFormat="false" ht="16.5" hidden="false" customHeight="true" outlineLevel="0" collapsed="false"/>
    <row r="1946" customFormat="false" ht="16.5" hidden="false" customHeight="true" outlineLevel="0" collapsed="false"/>
    <row r="1947" customFormat="false" ht="16.5" hidden="false" customHeight="true" outlineLevel="0" collapsed="false"/>
    <row r="1948" customFormat="false" ht="16.5" hidden="false" customHeight="true" outlineLevel="0" collapsed="false"/>
    <row r="1949" customFormat="false" ht="16.5" hidden="false" customHeight="true" outlineLevel="0" collapsed="false"/>
    <row r="1950" customFormat="false" ht="16.5" hidden="false" customHeight="true" outlineLevel="0" collapsed="false"/>
    <row r="1951" customFormat="false" ht="16.5" hidden="false" customHeight="true" outlineLevel="0" collapsed="false"/>
    <row r="1952" customFormat="false" ht="16.5" hidden="false" customHeight="true" outlineLevel="0" collapsed="false"/>
    <row r="1953" customFormat="false" ht="16.5" hidden="false" customHeight="true" outlineLevel="0" collapsed="false"/>
    <row r="1954" customFormat="false" ht="16.5" hidden="false" customHeight="true" outlineLevel="0" collapsed="false"/>
    <row r="1955" customFormat="false" ht="16.5" hidden="false" customHeight="true" outlineLevel="0" collapsed="false"/>
    <row r="1956" customFormat="false" ht="16.5" hidden="false" customHeight="true" outlineLevel="0" collapsed="false"/>
    <row r="1957" customFormat="false" ht="16.5" hidden="false" customHeight="true" outlineLevel="0" collapsed="false"/>
    <row r="1958" customFormat="false" ht="16.5" hidden="false" customHeight="true" outlineLevel="0" collapsed="false"/>
    <row r="1959" customFormat="false" ht="16.5" hidden="false" customHeight="true" outlineLevel="0" collapsed="false"/>
    <row r="1960" customFormat="false" ht="16.5" hidden="false" customHeight="true" outlineLevel="0" collapsed="false"/>
    <row r="1961" customFormat="false" ht="16.5" hidden="false" customHeight="true" outlineLevel="0" collapsed="false"/>
    <row r="1962" customFormat="false" ht="16.5" hidden="false" customHeight="true" outlineLevel="0" collapsed="false"/>
    <row r="1963" customFormat="false" ht="16.5" hidden="false" customHeight="true" outlineLevel="0" collapsed="false"/>
    <row r="1964" customFormat="false" ht="16.5" hidden="false" customHeight="true" outlineLevel="0" collapsed="false"/>
    <row r="1965" customFormat="false" ht="16.5" hidden="false" customHeight="true" outlineLevel="0" collapsed="false"/>
    <row r="1966" customFormat="false" ht="16.5" hidden="false" customHeight="true" outlineLevel="0" collapsed="false"/>
    <row r="1967" customFormat="false" ht="16.5" hidden="false" customHeight="true" outlineLevel="0" collapsed="false"/>
    <row r="1968" customFormat="false" ht="16.5" hidden="false" customHeight="true" outlineLevel="0" collapsed="false"/>
    <row r="1969" customFormat="false" ht="16.5" hidden="false" customHeight="true" outlineLevel="0" collapsed="false"/>
    <row r="1970" customFormat="false" ht="16.5" hidden="false" customHeight="true" outlineLevel="0" collapsed="false"/>
    <row r="1971" customFormat="false" ht="16.5" hidden="false" customHeight="true" outlineLevel="0" collapsed="false"/>
    <row r="1972" customFormat="false" ht="16.5" hidden="false" customHeight="true" outlineLevel="0" collapsed="false"/>
    <row r="1973" customFormat="false" ht="16.5" hidden="false" customHeight="true" outlineLevel="0" collapsed="false"/>
    <row r="1974" customFormat="false" ht="16.5" hidden="false" customHeight="true" outlineLevel="0" collapsed="false"/>
    <row r="1975" customFormat="false" ht="16.5" hidden="false" customHeight="true" outlineLevel="0" collapsed="false"/>
    <row r="1976" customFormat="false" ht="16.5" hidden="false" customHeight="true" outlineLevel="0" collapsed="false"/>
    <row r="1977" customFormat="false" ht="16.5" hidden="false" customHeight="true" outlineLevel="0" collapsed="false"/>
    <row r="1978" customFormat="false" ht="16.5" hidden="false" customHeight="true" outlineLevel="0" collapsed="false"/>
    <row r="1979" customFormat="false" ht="16.5" hidden="false" customHeight="true" outlineLevel="0" collapsed="false"/>
    <row r="1980" customFormat="false" ht="16.5" hidden="false" customHeight="true" outlineLevel="0" collapsed="false"/>
    <row r="1981" customFormat="false" ht="16.5" hidden="false" customHeight="true" outlineLevel="0" collapsed="false"/>
    <row r="1982" customFormat="false" ht="16.5" hidden="false" customHeight="true" outlineLevel="0" collapsed="false"/>
    <row r="1983" customFormat="false" ht="16.5" hidden="false" customHeight="true" outlineLevel="0" collapsed="false"/>
    <row r="1984" customFormat="false" ht="16.5" hidden="false" customHeight="true" outlineLevel="0" collapsed="false"/>
    <row r="1985" customFormat="false" ht="16.5" hidden="false" customHeight="true" outlineLevel="0" collapsed="false"/>
    <row r="1986" customFormat="false" ht="16.5" hidden="false" customHeight="true" outlineLevel="0" collapsed="false"/>
    <row r="1987" customFormat="false" ht="16.5" hidden="false" customHeight="true" outlineLevel="0" collapsed="false"/>
    <row r="1988" customFormat="false" ht="16.5" hidden="false" customHeight="true" outlineLevel="0" collapsed="false"/>
    <row r="1989" customFormat="false" ht="16.5" hidden="false" customHeight="true" outlineLevel="0" collapsed="false"/>
    <row r="1990" customFormat="false" ht="16.5" hidden="false" customHeight="true" outlineLevel="0" collapsed="false"/>
    <row r="1991" customFormat="false" ht="16.5" hidden="false" customHeight="true" outlineLevel="0" collapsed="false"/>
    <row r="1992" customFormat="false" ht="16.5" hidden="false" customHeight="true" outlineLevel="0" collapsed="false"/>
    <row r="1993" customFormat="false" ht="16.5" hidden="false" customHeight="true" outlineLevel="0" collapsed="false"/>
    <row r="1994" customFormat="false" ht="16.5" hidden="false" customHeight="true" outlineLevel="0" collapsed="false"/>
    <row r="1995" customFormat="false" ht="16.5" hidden="false" customHeight="true" outlineLevel="0" collapsed="false"/>
    <row r="1996" customFormat="false" ht="16.5" hidden="false" customHeight="true" outlineLevel="0" collapsed="false"/>
    <row r="1997" customFormat="false" ht="16.5" hidden="false" customHeight="true" outlineLevel="0" collapsed="false"/>
    <row r="1998" customFormat="false" ht="16.5" hidden="false" customHeight="true" outlineLevel="0" collapsed="false"/>
    <row r="1999" customFormat="false" ht="16.5" hidden="false" customHeight="true" outlineLevel="0" collapsed="false"/>
    <row r="2000" customFormat="false" ht="16.5" hidden="false" customHeight="true" outlineLevel="0" collapsed="false"/>
    <row r="2001" customFormat="false" ht="16.5" hidden="false" customHeight="true" outlineLevel="0" collapsed="false"/>
    <row r="2002" customFormat="false" ht="16.5" hidden="false" customHeight="true" outlineLevel="0" collapsed="false"/>
    <row r="2003" customFormat="false" ht="16.5" hidden="false" customHeight="true" outlineLevel="0" collapsed="false"/>
    <row r="2004" customFormat="false" ht="16.5" hidden="false" customHeight="true" outlineLevel="0" collapsed="false"/>
    <row r="2005" customFormat="false" ht="16.5" hidden="false" customHeight="true" outlineLevel="0" collapsed="false"/>
    <row r="2006" customFormat="false" ht="16.5" hidden="false" customHeight="true" outlineLevel="0" collapsed="false"/>
    <row r="2007" customFormat="false" ht="16.5" hidden="false" customHeight="true" outlineLevel="0" collapsed="false"/>
    <row r="2008" customFormat="false" ht="16.5" hidden="false" customHeight="true" outlineLevel="0" collapsed="false"/>
    <row r="2009" customFormat="false" ht="16.5" hidden="false" customHeight="true" outlineLevel="0" collapsed="false"/>
    <row r="2010" customFormat="false" ht="16.5" hidden="false" customHeight="true" outlineLevel="0" collapsed="false"/>
    <row r="2011" customFormat="false" ht="16.5" hidden="false" customHeight="true" outlineLevel="0" collapsed="false"/>
    <row r="2012" customFormat="false" ht="16.5" hidden="false" customHeight="true" outlineLevel="0" collapsed="false"/>
    <row r="2013" customFormat="false" ht="16.5" hidden="false" customHeight="true" outlineLevel="0" collapsed="false"/>
    <row r="2014" customFormat="false" ht="16.5" hidden="false" customHeight="true" outlineLevel="0" collapsed="false"/>
    <row r="2015" customFormat="false" ht="16.5" hidden="false" customHeight="true" outlineLevel="0" collapsed="false"/>
    <row r="2016" customFormat="false" ht="16.5" hidden="false" customHeight="true" outlineLevel="0" collapsed="false"/>
    <row r="2017" customFormat="false" ht="16.5" hidden="false" customHeight="true" outlineLevel="0" collapsed="false"/>
    <row r="2018" customFormat="false" ht="16.5" hidden="false" customHeight="true" outlineLevel="0" collapsed="false"/>
    <row r="2019" customFormat="false" ht="16.5" hidden="false" customHeight="true" outlineLevel="0" collapsed="false"/>
    <row r="2020" customFormat="false" ht="16.5" hidden="false" customHeight="true" outlineLevel="0" collapsed="false"/>
    <row r="2021" customFormat="false" ht="16.5" hidden="false" customHeight="true" outlineLevel="0" collapsed="false"/>
    <row r="2022" customFormat="false" ht="16.5" hidden="false" customHeight="true" outlineLevel="0" collapsed="false"/>
    <row r="2023" customFormat="false" ht="16.5" hidden="false" customHeight="true" outlineLevel="0" collapsed="false"/>
    <row r="2024" customFormat="false" ht="16.5" hidden="false" customHeight="true" outlineLevel="0" collapsed="false"/>
    <row r="2025" customFormat="false" ht="16.5" hidden="false" customHeight="true" outlineLevel="0" collapsed="false"/>
    <row r="2026" customFormat="false" ht="16.5" hidden="false" customHeight="true" outlineLevel="0" collapsed="false"/>
    <row r="2027" customFormat="false" ht="16.5" hidden="false" customHeight="true" outlineLevel="0" collapsed="false"/>
    <row r="2028" customFormat="false" ht="16.5" hidden="false" customHeight="true" outlineLevel="0" collapsed="false"/>
    <row r="2029" customFormat="false" ht="16.5" hidden="false" customHeight="true" outlineLevel="0" collapsed="false"/>
    <row r="2030" customFormat="false" ht="16.5" hidden="false" customHeight="true" outlineLevel="0" collapsed="false"/>
    <row r="2031" customFormat="false" ht="16.5" hidden="false" customHeight="true" outlineLevel="0" collapsed="false"/>
    <row r="2032" customFormat="false" ht="16.5" hidden="false" customHeight="true" outlineLevel="0" collapsed="false"/>
    <row r="2033" customFormat="false" ht="16.5" hidden="false" customHeight="true" outlineLevel="0" collapsed="false"/>
    <row r="2034" customFormat="false" ht="16.5" hidden="false" customHeight="true" outlineLevel="0" collapsed="false"/>
    <row r="2035" customFormat="false" ht="16.5" hidden="false" customHeight="true" outlineLevel="0" collapsed="false"/>
    <row r="2036" customFormat="false" ht="16.5" hidden="false" customHeight="true" outlineLevel="0" collapsed="false"/>
    <row r="2037" customFormat="false" ht="16.5" hidden="false" customHeight="true" outlineLevel="0" collapsed="false"/>
    <row r="2038" customFormat="false" ht="16.5" hidden="false" customHeight="true" outlineLevel="0" collapsed="false"/>
    <row r="2039" customFormat="false" ht="16.5" hidden="false" customHeight="true" outlineLevel="0" collapsed="false"/>
    <row r="2040" customFormat="false" ht="16.5" hidden="false" customHeight="true" outlineLevel="0" collapsed="false"/>
    <row r="2041" customFormat="false" ht="16.5" hidden="false" customHeight="true" outlineLevel="0" collapsed="false"/>
    <row r="2042" customFormat="false" ht="16.5" hidden="false" customHeight="true" outlineLevel="0" collapsed="false"/>
    <row r="2043" customFormat="false" ht="16.5" hidden="false" customHeight="true" outlineLevel="0" collapsed="false"/>
    <row r="2044" customFormat="false" ht="16.5" hidden="false" customHeight="true" outlineLevel="0" collapsed="false"/>
    <row r="2045" customFormat="false" ht="16.5" hidden="false" customHeight="true" outlineLevel="0" collapsed="false"/>
    <row r="2046" customFormat="false" ht="16.5" hidden="false" customHeight="true" outlineLevel="0" collapsed="false"/>
    <row r="2047" customFormat="false" ht="16.5" hidden="false" customHeight="true" outlineLevel="0" collapsed="false"/>
    <row r="2048" customFormat="false" ht="16.5" hidden="false" customHeight="true" outlineLevel="0" collapsed="false"/>
    <row r="2049" customFormat="false" ht="16.5" hidden="false" customHeight="true" outlineLevel="0" collapsed="false"/>
    <row r="2050" customFormat="false" ht="16.5" hidden="false" customHeight="true" outlineLevel="0" collapsed="false"/>
    <row r="2051" customFormat="false" ht="16.5" hidden="false" customHeight="true" outlineLevel="0" collapsed="false"/>
    <row r="2052" customFormat="false" ht="16.5" hidden="false" customHeight="true" outlineLevel="0" collapsed="false"/>
    <row r="2053" customFormat="false" ht="16.5" hidden="false" customHeight="true" outlineLevel="0" collapsed="false"/>
    <row r="2054" customFormat="false" ht="16.5" hidden="false" customHeight="true" outlineLevel="0" collapsed="false"/>
    <row r="2055" customFormat="false" ht="16.5" hidden="false" customHeight="true" outlineLevel="0" collapsed="false"/>
    <row r="2056" customFormat="false" ht="16.5" hidden="false" customHeight="true" outlineLevel="0" collapsed="false"/>
    <row r="2057" customFormat="false" ht="16.5" hidden="false" customHeight="true" outlineLevel="0" collapsed="false"/>
    <row r="2058" customFormat="false" ht="16.5" hidden="false" customHeight="true" outlineLevel="0" collapsed="false"/>
    <row r="2059" customFormat="false" ht="16.5" hidden="false" customHeight="true" outlineLevel="0" collapsed="false"/>
    <row r="2060" customFormat="false" ht="16.5" hidden="false" customHeight="true" outlineLevel="0" collapsed="false"/>
    <row r="2061" customFormat="false" ht="16.5" hidden="false" customHeight="true" outlineLevel="0" collapsed="false"/>
    <row r="2062" customFormat="false" ht="16.5" hidden="false" customHeight="true" outlineLevel="0" collapsed="false"/>
    <row r="2063" customFormat="false" ht="16.5" hidden="false" customHeight="true" outlineLevel="0" collapsed="false"/>
    <row r="2064" customFormat="false" ht="16.5" hidden="false" customHeight="true" outlineLevel="0" collapsed="false"/>
    <row r="2065" customFormat="false" ht="16.5" hidden="false" customHeight="true" outlineLevel="0" collapsed="false"/>
    <row r="2066" customFormat="false" ht="16.5" hidden="false" customHeight="true" outlineLevel="0" collapsed="false"/>
    <row r="2067" customFormat="false" ht="16.5" hidden="false" customHeight="true" outlineLevel="0" collapsed="false"/>
    <row r="2068" customFormat="false" ht="16.5" hidden="false" customHeight="true" outlineLevel="0" collapsed="false"/>
    <row r="2069" customFormat="false" ht="16.5" hidden="false" customHeight="true" outlineLevel="0" collapsed="false"/>
    <row r="2070" customFormat="false" ht="16.5" hidden="false" customHeight="true" outlineLevel="0" collapsed="false"/>
    <row r="2071" customFormat="false" ht="16.5" hidden="false" customHeight="true" outlineLevel="0" collapsed="false"/>
    <row r="2072" customFormat="false" ht="16.5" hidden="false" customHeight="true" outlineLevel="0" collapsed="false"/>
    <row r="2073" customFormat="false" ht="16.5" hidden="false" customHeight="true" outlineLevel="0" collapsed="false"/>
    <row r="2074" customFormat="false" ht="16.5" hidden="false" customHeight="true" outlineLevel="0" collapsed="false"/>
    <row r="2075" customFormat="false" ht="16.5" hidden="false" customHeight="true" outlineLevel="0" collapsed="false"/>
    <row r="2076" customFormat="false" ht="16.5" hidden="false" customHeight="true" outlineLevel="0" collapsed="false"/>
    <row r="2077" customFormat="false" ht="16.5" hidden="false" customHeight="true" outlineLevel="0" collapsed="false"/>
    <row r="2078" customFormat="false" ht="16.5" hidden="false" customHeight="true" outlineLevel="0" collapsed="false"/>
    <row r="2079" customFormat="false" ht="16.5" hidden="false" customHeight="true" outlineLevel="0" collapsed="false"/>
    <row r="2080" customFormat="false" ht="16.5" hidden="false" customHeight="true" outlineLevel="0" collapsed="false"/>
    <row r="2081" customFormat="false" ht="16.5" hidden="false" customHeight="true" outlineLevel="0" collapsed="false"/>
    <row r="2082" customFormat="false" ht="16.5" hidden="false" customHeight="true" outlineLevel="0" collapsed="false"/>
    <row r="2083" customFormat="false" ht="16.5" hidden="false" customHeight="true" outlineLevel="0" collapsed="false"/>
    <row r="2084" customFormat="false" ht="16.5" hidden="false" customHeight="true" outlineLevel="0" collapsed="false"/>
    <row r="2085" customFormat="false" ht="16.5" hidden="false" customHeight="true" outlineLevel="0" collapsed="false"/>
    <row r="2086" customFormat="false" ht="16.5" hidden="false" customHeight="true" outlineLevel="0" collapsed="false"/>
    <row r="2087" customFormat="false" ht="16.5" hidden="false" customHeight="true" outlineLevel="0" collapsed="false"/>
    <row r="2088" customFormat="false" ht="16.5" hidden="false" customHeight="true" outlineLevel="0" collapsed="false"/>
    <row r="2089" customFormat="false" ht="16.5" hidden="false" customHeight="true" outlineLevel="0" collapsed="false"/>
    <row r="2090" customFormat="false" ht="16.5" hidden="false" customHeight="true" outlineLevel="0" collapsed="false"/>
    <row r="2091" customFormat="false" ht="16.5" hidden="false" customHeight="true" outlineLevel="0" collapsed="false"/>
    <row r="2092" customFormat="false" ht="16.5" hidden="false" customHeight="true" outlineLevel="0" collapsed="false"/>
    <row r="2093" customFormat="false" ht="16.5" hidden="false" customHeight="true" outlineLevel="0" collapsed="false"/>
    <row r="2094" customFormat="false" ht="16.5" hidden="false" customHeight="true" outlineLevel="0" collapsed="false"/>
    <row r="2095" customFormat="false" ht="16.5" hidden="false" customHeight="true" outlineLevel="0" collapsed="false"/>
    <row r="2096" customFormat="false" ht="16.5" hidden="false" customHeight="true" outlineLevel="0" collapsed="false"/>
    <row r="2097" customFormat="false" ht="16.5" hidden="false" customHeight="true" outlineLevel="0" collapsed="false"/>
    <row r="2098" customFormat="false" ht="16.5" hidden="false" customHeight="true" outlineLevel="0" collapsed="false"/>
    <row r="2099" customFormat="false" ht="16.5" hidden="false" customHeight="true" outlineLevel="0" collapsed="false"/>
    <row r="2100" customFormat="false" ht="16.5" hidden="false" customHeight="true" outlineLevel="0" collapsed="false"/>
    <row r="2101" customFormat="false" ht="16.5" hidden="false" customHeight="true" outlineLevel="0" collapsed="false"/>
    <row r="2102" customFormat="false" ht="16.5" hidden="false" customHeight="true" outlineLevel="0" collapsed="false"/>
    <row r="2103" customFormat="false" ht="16.5" hidden="false" customHeight="true" outlineLevel="0" collapsed="false"/>
    <row r="2104" customFormat="false" ht="16.5" hidden="false" customHeight="true" outlineLevel="0" collapsed="false"/>
    <row r="2105" customFormat="false" ht="16.5" hidden="false" customHeight="true" outlineLevel="0" collapsed="false"/>
    <row r="2106" customFormat="false" ht="16.5" hidden="false" customHeight="true" outlineLevel="0" collapsed="false"/>
    <row r="2107" customFormat="false" ht="16.5" hidden="false" customHeight="true" outlineLevel="0" collapsed="false"/>
    <row r="2108" customFormat="false" ht="16.5" hidden="false" customHeight="true" outlineLevel="0" collapsed="false"/>
    <row r="2109" customFormat="false" ht="16.5" hidden="false" customHeight="true" outlineLevel="0" collapsed="false"/>
    <row r="2110" customFormat="false" ht="16.5" hidden="false" customHeight="true" outlineLevel="0" collapsed="false"/>
    <row r="2111" customFormat="false" ht="16.5" hidden="false" customHeight="true" outlineLevel="0" collapsed="false"/>
    <row r="2112" customFormat="false" ht="16.5" hidden="false" customHeight="true" outlineLevel="0" collapsed="false"/>
    <row r="2113" customFormat="false" ht="16.5" hidden="false" customHeight="true" outlineLevel="0" collapsed="false"/>
    <row r="2114" customFormat="false" ht="16.5" hidden="false" customHeight="true" outlineLevel="0" collapsed="false"/>
    <row r="2115" customFormat="false" ht="16.5" hidden="false" customHeight="true" outlineLevel="0" collapsed="false"/>
    <row r="2116" customFormat="false" ht="16.5" hidden="false" customHeight="true" outlineLevel="0" collapsed="false"/>
    <row r="2117" customFormat="false" ht="16.5" hidden="false" customHeight="true" outlineLevel="0" collapsed="false"/>
    <row r="2118" customFormat="false" ht="16.5" hidden="false" customHeight="true" outlineLevel="0" collapsed="false"/>
    <row r="2119" customFormat="false" ht="16.5" hidden="false" customHeight="true" outlineLevel="0" collapsed="false"/>
    <row r="2120" customFormat="false" ht="16.5" hidden="false" customHeight="true" outlineLevel="0" collapsed="false"/>
    <row r="2121" customFormat="false" ht="16.5" hidden="false" customHeight="true" outlineLevel="0" collapsed="false"/>
    <row r="2122" customFormat="false" ht="16.5" hidden="false" customHeight="true" outlineLevel="0" collapsed="false"/>
    <row r="2123" customFormat="false" ht="16.5" hidden="false" customHeight="true" outlineLevel="0" collapsed="false"/>
    <row r="2124" customFormat="false" ht="16.5" hidden="false" customHeight="true" outlineLevel="0" collapsed="false"/>
    <row r="2125" customFormat="false" ht="16.5" hidden="false" customHeight="true" outlineLevel="0" collapsed="false"/>
    <row r="2126" customFormat="false" ht="16.5" hidden="false" customHeight="true" outlineLevel="0" collapsed="false"/>
    <row r="2127" customFormat="false" ht="16.5" hidden="false" customHeight="true" outlineLevel="0" collapsed="false"/>
    <row r="2128" customFormat="false" ht="16.5" hidden="false" customHeight="true" outlineLevel="0" collapsed="false"/>
    <row r="2129" customFormat="false" ht="16.5" hidden="false" customHeight="true" outlineLevel="0" collapsed="false"/>
    <row r="2130" customFormat="false" ht="16.5" hidden="false" customHeight="true" outlineLevel="0" collapsed="false"/>
    <row r="2131" customFormat="false" ht="16.5" hidden="false" customHeight="true" outlineLevel="0" collapsed="false"/>
    <row r="2132" customFormat="false" ht="16.5" hidden="false" customHeight="true" outlineLevel="0" collapsed="false"/>
    <row r="2133" customFormat="false" ht="16.5" hidden="false" customHeight="true" outlineLevel="0" collapsed="false"/>
    <row r="2134" customFormat="false" ht="16.5" hidden="false" customHeight="true" outlineLevel="0" collapsed="false"/>
    <row r="2135" customFormat="false" ht="16.5" hidden="false" customHeight="true" outlineLevel="0" collapsed="false"/>
    <row r="2136" customFormat="false" ht="16.5" hidden="false" customHeight="true" outlineLevel="0" collapsed="false"/>
    <row r="2137" customFormat="false" ht="16.5" hidden="false" customHeight="true" outlineLevel="0" collapsed="false"/>
    <row r="2138" customFormat="false" ht="16.5" hidden="false" customHeight="true" outlineLevel="0" collapsed="false"/>
    <row r="2139" customFormat="false" ht="16.5" hidden="false" customHeight="true" outlineLevel="0" collapsed="false"/>
    <row r="2140" customFormat="false" ht="16.5" hidden="false" customHeight="true" outlineLevel="0" collapsed="false"/>
    <row r="2141" customFormat="false" ht="16.5" hidden="false" customHeight="true" outlineLevel="0" collapsed="false"/>
    <row r="2142" customFormat="false" ht="16.5" hidden="false" customHeight="true" outlineLevel="0" collapsed="false"/>
    <row r="2143" customFormat="false" ht="16.5" hidden="false" customHeight="true" outlineLevel="0" collapsed="false"/>
    <row r="2144" customFormat="false" ht="16.5" hidden="false" customHeight="true" outlineLevel="0" collapsed="false"/>
    <row r="2145" customFormat="false" ht="16.5" hidden="false" customHeight="true" outlineLevel="0" collapsed="false"/>
    <row r="2146" customFormat="false" ht="16.5" hidden="false" customHeight="true" outlineLevel="0" collapsed="false"/>
    <row r="2147" customFormat="false" ht="16.5" hidden="false" customHeight="true" outlineLevel="0" collapsed="false"/>
    <row r="2148" customFormat="false" ht="16.5" hidden="false" customHeight="true" outlineLevel="0" collapsed="false"/>
    <row r="2149" customFormat="false" ht="16.5" hidden="false" customHeight="true" outlineLevel="0" collapsed="false"/>
    <row r="2150" customFormat="false" ht="16.5" hidden="false" customHeight="true" outlineLevel="0" collapsed="false"/>
    <row r="2151" customFormat="false" ht="16.5" hidden="false" customHeight="true" outlineLevel="0" collapsed="false"/>
    <row r="2152" customFormat="false" ht="16.5" hidden="false" customHeight="true" outlineLevel="0" collapsed="false"/>
    <row r="2153" customFormat="false" ht="16.5" hidden="false" customHeight="true" outlineLevel="0" collapsed="false"/>
    <row r="2154" customFormat="false" ht="16.5" hidden="false" customHeight="true" outlineLevel="0" collapsed="false"/>
    <row r="2155" customFormat="false" ht="16.5" hidden="false" customHeight="true" outlineLevel="0" collapsed="false"/>
    <row r="2156" customFormat="false" ht="16.5" hidden="false" customHeight="true" outlineLevel="0" collapsed="false"/>
    <row r="2157" customFormat="false" ht="16.5" hidden="false" customHeight="true" outlineLevel="0" collapsed="false"/>
    <row r="2158" customFormat="false" ht="16.5" hidden="false" customHeight="true" outlineLevel="0" collapsed="false"/>
    <row r="2159" customFormat="false" ht="16.5" hidden="false" customHeight="true" outlineLevel="0" collapsed="false"/>
    <row r="2160" customFormat="false" ht="16.5" hidden="false" customHeight="true" outlineLevel="0" collapsed="false"/>
    <row r="2161" customFormat="false" ht="16.5" hidden="false" customHeight="true" outlineLevel="0" collapsed="false"/>
    <row r="2162" customFormat="false" ht="16.5" hidden="false" customHeight="true" outlineLevel="0" collapsed="false"/>
    <row r="2163" customFormat="false" ht="16.5" hidden="false" customHeight="true" outlineLevel="0" collapsed="false"/>
    <row r="2164" customFormat="false" ht="16.5" hidden="false" customHeight="true" outlineLevel="0" collapsed="false"/>
    <row r="2165" customFormat="false" ht="16.5" hidden="false" customHeight="true" outlineLevel="0" collapsed="false"/>
    <row r="2166" customFormat="false" ht="16.5" hidden="false" customHeight="true" outlineLevel="0" collapsed="false"/>
    <row r="2167" customFormat="false" ht="16.5" hidden="false" customHeight="true" outlineLevel="0" collapsed="false"/>
    <row r="2168" customFormat="false" ht="16.5" hidden="false" customHeight="true" outlineLevel="0" collapsed="false"/>
    <row r="2169" customFormat="false" ht="16.5" hidden="false" customHeight="true" outlineLevel="0" collapsed="false"/>
    <row r="2170" customFormat="false" ht="16.5" hidden="false" customHeight="true" outlineLevel="0" collapsed="false"/>
    <row r="2171" customFormat="false" ht="16.5" hidden="false" customHeight="true" outlineLevel="0" collapsed="false"/>
    <row r="2172" customFormat="false" ht="16.5" hidden="false" customHeight="true" outlineLevel="0" collapsed="false"/>
    <row r="2173" customFormat="false" ht="16.5" hidden="false" customHeight="true" outlineLevel="0" collapsed="false"/>
    <row r="2174" customFormat="false" ht="16.5" hidden="false" customHeight="true" outlineLevel="0" collapsed="false"/>
    <row r="2175" customFormat="false" ht="16.5" hidden="false" customHeight="true" outlineLevel="0" collapsed="false"/>
    <row r="2176" customFormat="false" ht="16.5" hidden="false" customHeight="true" outlineLevel="0" collapsed="false"/>
    <row r="2177" customFormat="false" ht="16.5" hidden="false" customHeight="true" outlineLevel="0" collapsed="false"/>
    <row r="2178" customFormat="false" ht="16.5" hidden="false" customHeight="true" outlineLevel="0" collapsed="false"/>
    <row r="2179" customFormat="false" ht="16.5" hidden="false" customHeight="true" outlineLevel="0" collapsed="false"/>
    <row r="2180" customFormat="false" ht="16.5" hidden="false" customHeight="true" outlineLevel="0" collapsed="false"/>
    <row r="2181" customFormat="false" ht="16.5" hidden="false" customHeight="true" outlineLevel="0" collapsed="false"/>
    <row r="2182" customFormat="false" ht="16.5" hidden="false" customHeight="true" outlineLevel="0" collapsed="false"/>
    <row r="2183" customFormat="false" ht="16.5" hidden="false" customHeight="true" outlineLevel="0" collapsed="false"/>
    <row r="2184" customFormat="false" ht="16.5" hidden="false" customHeight="true" outlineLevel="0" collapsed="false"/>
    <row r="2185" customFormat="false" ht="16.5" hidden="false" customHeight="true" outlineLevel="0" collapsed="false"/>
    <row r="2186" customFormat="false" ht="16.5" hidden="false" customHeight="true" outlineLevel="0" collapsed="false"/>
    <row r="2187" customFormat="false" ht="16.5" hidden="false" customHeight="true" outlineLevel="0" collapsed="false"/>
    <row r="2188" customFormat="false" ht="16.5" hidden="false" customHeight="true" outlineLevel="0" collapsed="false"/>
    <row r="2189" customFormat="false" ht="16.5" hidden="false" customHeight="true" outlineLevel="0" collapsed="false"/>
    <row r="2190" customFormat="false" ht="16.5" hidden="false" customHeight="true" outlineLevel="0" collapsed="false"/>
    <row r="2191" customFormat="false" ht="16.5" hidden="false" customHeight="true" outlineLevel="0" collapsed="false"/>
    <row r="2192" customFormat="false" ht="16.5" hidden="false" customHeight="true" outlineLevel="0" collapsed="false"/>
    <row r="2193" customFormat="false" ht="16.5" hidden="false" customHeight="true" outlineLevel="0" collapsed="false"/>
    <row r="2194" customFormat="false" ht="16.5" hidden="false" customHeight="true" outlineLevel="0" collapsed="false"/>
    <row r="2195" customFormat="false" ht="16.5" hidden="false" customHeight="true" outlineLevel="0" collapsed="false"/>
    <row r="2196" customFormat="false" ht="16.5" hidden="false" customHeight="true" outlineLevel="0" collapsed="false"/>
    <row r="2197" customFormat="false" ht="16.5" hidden="false" customHeight="true" outlineLevel="0" collapsed="false"/>
    <row r="2198" customFormat="false" ht="16.5" hidden="false" customHeight="true" outlineLevel="0" collapsed="false"/>
    <row r="2199" customFormat="false" ht="16.5" hidden="false" customHeight="true" outlineLevel="0" collapsed="false"/>
    <row r="2200" customFormat="false" ht="16.5" hidden="false" customHeight="true" outlineLevel="0" collapsed="false"/>
    <row r="2201" customFormat="false" ht="16.5" hidden="false" customHeight="true" outlineLevel="0" collapsed="false"/>
    <row r="2202" customFormat="false" ht="16.5" hidden="false" customHeight="true" outlineLevel="0" collapsed="false"/>
    <row r="2203" customFormat="false" ht="16.5" hidden="false" customHeight="true" outlineLevel="0" collapsed="false"/>
    <row r="2204" customFormat="false" ht="16.5" hidden="false" customHeight="true" outlineLevel="0" collapsed="false"/>
    <row r="2205" customFormat="false" ht="16.5" hidden="false" customHeight="true" outlineLevel="0" collapsed="false"/>
    <row r="2206" customFormat="false" ht="16.5" hidden="false" customHeight="true" outlineLevel="0" collapsed="false"/>
    <row r="2207" customFormat="false" ht="16.5" hidden="false" customHeight="true" outlineLevel="0" collapsed="false"/>
    <row r="2208" customFormat="false" ht="16.5" hidden="false" customHeight="true" outlineLevel="0" collapsed="false"/>
    <row r="2209" customFormat="false" ht="16.5" hidden="false" customHeight="true" outlineLevel="0" collapsed="false"/>
    <row r="2210" customFormat="false" ht="16.5" hidden="false" customHeight="true" outlineLevel="0" collapsed="false"/>
    <row r="2211" customFormat="false" ht="16.5" hidden="false" customHeight="true" outlineLevel="0" collapsed="false"/>
    <row r="2212" customFormat="false" ht="16.5" hidden="false" customHeight="true" outlineLevel="0" collapsed="false"/>
    <row r="2213" customFormat="false" ht="16.5" hidden="false" customHeight="true" outlineLevel="0" collapsed="false"/>
    <row r="2214" customFormat="false" ht="16.5" hidden="false" customHeight="true" outlineLevel="0" collapsed="false"/>
    <row r="2215" customFormat="false" ht="16.5" hidden="false" customHeight="true" outlineLevel="0" collapsed="false"/>
    <row r="2216" customFormat="false" ht="16.5" hidden="false" customHeight="true" outlineLevel="0" collapsed="false"/>
    <row r="2217" customFormat="false" ht="16.5" hidden="false" customHeight="true" outlineLevel="0" collapsed="false"/>
    <row r="2218" customFormat="false" ht="16.5" hidden="false" customHeight="true" outlineLevel="0" collapsed="false"/>
    <row r="2219" customFormat="false" ht="16.5" hidden="false" customHeight="true" outlineLevel="0" collapsed="false"/>
    <row r="2220" customFormat="false" ht="16.5" hidden="false" customHeight="true" outlineLevel="0" collapsed="false"/>
    <row r="2221" customFormat="false" ht="16.5" hidden="false" customHeight="true" outlineLevel="0" collapsed="false"/>
    <row r="2222" customFormat="false" ht="16.5" hidden="false" customHeight="true" outlineLevel="0" collapsed="false"/>
    <row r="2223" customFormat="false" ht="16.5" hidden="false" customHeight="true" outlineLevel="0" collapsed="false"/>
    <row r="2224" customFormat="false" ht="16.5" hidden="false" customHeight="true" outlineLevel="0" collapsed="false"/>
    <row r="2225" customFormat="false" ht="16.5" hidden="false" customHeight="true" outlineLevel="0" collapsed="false"/>
    <row r="2226" customFormat="false" ht="16.5" hidden="false" customHeight="true" outlineLevel="0" collapsed="false"/>
    <row r="2227" customFormat="false" ht="16.5" hidden="false" customHeight="true" outlineLevel="0" collapsed="false"/>
    <row r="2228" customFormat="false" ht="16.5" hidden="false" customHeight="true" outlineLevel="0" collapsed="false"/>
    <row r="2229" customFormat="false" ht="16.5" hidden="false" customHeight="true" outlineLevel="0" collapsed="false"/>
    <row r="2230" customFormat="false" ht="16.5" hidden="false" customHeight="true" outlineLevel="0" collapsed="false"/>
    <row r="2231" customFormat="false" ht="16.5" hidden="false" customHeight="true" outlineLevel="0" collapsed="false"/>
    <row r="2232" customFormat="false" ht="16.5" hidden="false" customHeight="true" outlineLevel="0" collapsed="false"/>
    <row r="2233" customFormat="false" ht="16.5" hidden="false" customHeight="true" outlineLevel="0" collapsed="false"/>
    <row r="2234" customFormat="false" ht="16.5" hidden="false" customHeight="true" outlineLevel="0" collapsed="false"/>
    <row r="2235" customFormat="false" ht="16.5" hidden="false" customHeight="true" outlineLevel="0" collapsed="false"/>
    <row r="2236" customFormat="false" ht="16.5" hidden="false" customHeight="true" outlineLevel="0" collapsed="false"/>
    <row r="2237" customFormat="false" ht="16.5" hidden="false" customHeight="true" outlineLevel="0" collapsed="false"/>
    <row r="2238" customFormat="false" ht="16.5" hidden="false" customHeight="true" outlineLevel="0" collapsed="false"/>
    <row r="2239" customFormat="false" ht="16.5" hidden="false" customHeight="true" outlineLevel="0" collapsed="false"/>
    <row r="2240" customFormat="false" ht="16.5" hidden="false" customHeight="true" outlineLevel="0" collapsed="false"/>
    <row r="2241" customFormat="false" ht="16.5" hidden="false" customHeight="true" outlineLevel="0" collapsed="false"/>
    <row r="2242" customFormat="false" ht="16.5" hidden="false" customHeight="true" outlineLevel="0" collapsed="false"/>
    <row r="2243" customFormat="false" ht="16.5" hidden="false" customHeight="true" outlineLevel="0" collapsed="false"/>
    <row r="2244" customFormat="false" ht="16.5" hidden="false" customHeight="true" outlineLevel="0" collapsed="false"/>
    <row r="2245" customFormat="false" ht="16.5" hidden="false" customHeight="true" outlineLevel="0" collapsed="false"/>
    <row r="2246" customFormat="false" ht="16.5" hidden="false" customHeight="true" outlineLevel="0" collapsed="false"/>
    <row r="2247" customFormat="false" ht="16.5" hidden="false" customHeight="true" outlineLevel="0" collapsed="false"/>
    <row r="2248" customFormat="false" ht="16.5" hidden="false" customHeight="true" outlineLevel="0" collapsed="false"/>
    <row r="2249" customFormat="false" ht="16.5" hidden="false" customHeight="true" outlineLevel="0" collapsed="false"/>
    <row r="2250" customFormat="false" ht="16.5" hidden="false" customHeight="true" outlineLevel="0" collapsed="false"/>
    <row r="2251" customFormat="false" ht="16.5" hidden="false" customHeight="true" outlineLevel="0" collapsed="false"/>
    <row r="2252" customFormat="false" ht="16.5" hidden="false" customHeight="true" outlineLevel="0" collapsed="false"/>
    <row r="2253" customFormat="false" ht="16.5" hidden="false" customHeight="true" outlineLevel="0" collapsed="false"/>
    <row r="2254" customFormat="false" ht="16.5" hidden="false" customHeight="true" outlineLevel="0" collapsed="false"/>
    <row r="2255" customFormat="false" ht="16.5" hidden="false" customHeight="true" outlineLevel="0" collapsed="false"/>
    <row r="2256" customFormat="false" ht="16.5" hidden="false" customHeight="true" outlineLevel="0" collapsed="false"/>
    <row r="2257" customFormat="false" ht="16.5" hidden="false" customHeight="true" outlineLevel="0" collapsed="false"/>
    <row r="2258" customFormat="false" ht="16.5" hidden="false" customHeight="true" outlineLevel="0" collapsed="false"/>
    <row r="2259" customFormat="false" ht="16.5" hidden="false" customHeight="true" outlineLevel="0" collapsed="false"/>
    <row r="2260" customFormat="false" ht="16.5" hidden="false" customHeight="true" outlineLevel="0" collapsed="false"/>
    <row r="2261" customFormat="false" ht="16.5" hidden="false" customHeight="true" outlineLevel="0" collapsed="false"/>
    <row r="2262" customFormat="false" ht="16.5" hidden="false" customHeight="true" outlineLevel="0" collapsed="false"/>
    <row r="2263" customFormat="false" ht="16.5" hidden="false" customHeight="true" outlineLevel="0" collapsed="false"/>
    <row r="2264" customFormat="false" ht="16.5" hidden="false" customHeight="true" outlineLevel="0" collapsed="false"/>
    <row r="2265" customFormat="false" ht="16.5" hidden="false" customHeight="true" outlineLevel="0" collapsed="false"/>
    <row r="2266" customFormat="false" ht="16.5" hidden="false" customHeight="true" outlineLevel="0" collapsed="false"/>
    <row r="2267" customFormat="false" ht="16.5" hidden="false" customHeight="true" outlineLevel="0" collapsed="false"/>
    <row r="2268" customFormat="false" ht="16.5" hidden="false" customHeight="true" outlineLevel="0" collapsed="false"/>
    <row r="2269" customFormat="false" ht="16.5" hidden="false" customHeight="true" outlineLevel="0" collapsed="false"/>
    <row r="2270" customFormat="false" ht="16.5" hidden="false" customHeight="true" outlineLevel="0" collapsed="false"/>
    <row r="2271" customFormat="false" ht="16.5" hidden="false" customHeight="true" outlineLevel="0" collapsed="false"/>
    <row r="2272" customFormat="false" ht="16.5" hidden="false" customHeight="true" outlineLevel="0" collapsed="false"/>
    <row r="2273" customFormat="false" ht="16.5" hidden="false" customHeight="true" outlineLevel="0" collapsed="false"/>
    <row r="2274" customFormat="false" ht="16.5" hidden="false" customHeight="true" outlineLevel="0" collapsed="false"/>
    <row r="2275" customFormat="false" ht="16.5" hidden="false" customHeight="true" outlineLevel="0" collapsed="false"/>
    <row r="2276" customFormat="false" ht="16.5" hidden="false" customHeight="true" outlineLevel="0" collapsed="false"/>
    <row r="2277" customFormat="false" ht="16.5" hidden="false" customHeight="true" outlineLevel="0" collapsed="false"/>
    <row r="2278" customFormat="false" ht="16.5" hidden="false" customHeight="true" outlineLevel="0" collapsed="false"/>
    <row r="2279" customFormat="false" ht="16.5" hidden="false" customHeight="true" outlineLevel="0" collapsed="false"/>
    <row r="2280" customFormat="false" ht="16.5" hidden="false" customHeight="true" outlineLevel="0" collapsed="false"/>
    <row r="2281" customFormat="false" ht="16.5" hidden="false" customHeight="true" outlineLevel="0" collapsed="false"/>
    <row r="2282" customFormat="false" ht="16.5" hidden="false" customHeight="true" outlineLevel="0" collapsed="false"/>
    <row r="2283" customFormat="false" ht="16.5" hidden="false" customHeight="true" outlineLevel="0" collapsed="false"/>
    <row r="2284" customFormat="false" ht="16.5" hidden="false" customHeight="true" outlineLevel="0" collapsed="false"/>
    <row r="2285" customFormat="false" ht="16.5" hidden="false" customHeight="true" outlineLevel="0" collapsed="false"/>
    <row r="2286" customFormat="false" ht="16.5" hidden="false" customHeight="true" outlineLevel="0" collapsed="false"/>
    <row r="2287" customFormat="false" ht="16.5" hidden="false" customHeight="true" outlineLevel="0" collapsed="false"/>
    <row r="2288" customFormat="false" ht="16.5" hidden="false" customHeight="true" outlineLevel="0" collapsed="false"/>
    <row r="2289" customFormat="false" ht="16.5" hidden="false" customHeight="true" outlineLevel="0" collapsed="false"/>
    <row r="2290" customFormat="false" ht="16.5" hidden="false" customHeight="true" outlineLevel="0" collapsed="false"/>
    <row r="2291" customFormat="false" ht="16.5" hidden="false" customHeight="true" outlineLevel="0" collapsed="false"/>
    <row r="2292" customFormat="false" ht="16.5" hidden="false" customHeight="true" outlineLevel="0" collapsed="false"/>
    <row r="2293" customFormat="false" ht="16.5" hidden="false" customHeight="true" outlineLevel="0" collapsed="false"/>
    <row r="2294" customFormat="false" ht="16.5" hidden="false" customHeight="true" outlineLevel="0" collapsed="false"/>
    <row r="2295" customFormat="false" ht="16.5" hidden="false" customHeight="true" outlineLevel="0" collapsed="false"/>
    <row r="2296" customFormat="false" ht="16.5" hidden="false" customHeight="true" outlineLevel="0" collapsed="false"/>
    <row r="2297" customFormat="false" ht="16.5" hidden="false" customHeight="true" outlineLevel="0" collapsed="false"/>
    <row r="2298" customFormat="false" ht="16.5" hidden="false" customHeight="true" outlineLevel="0" collapsed="false"/>
    <row r="2299" customFormat="false" ht="16.5" hidden="false" customHeight="true" outlineLevel="0" collapsed="false"/>
    <row r="2300" customFormat="false" ht="16.5" hidden="false" customHeight="true" outlineLevel="0" collapsed="false"/>
    <row r="2301" customFormat="false" ht="16.5" hidden="false" customHeight="true" outlineLevel="0" collapsed="false"/>
    <row r="2302" customFormat="false" ht="16.5" hidden="false" customHeight="true" outlineLevel="0" collapsed="false"/>
    <row r="2303" customFormat="false" ht="16.5" hidden="false" customHeight="true" outlineLevel="0" collapsed="false"/>
    <row r="2304" customFormat="false" ht="16.5" hidden="false" customHeight="true" outlineLevel="0" collapsed="false"/>
    <row r="2305" customFormat="false" ht="16.5" hidden="false" customHeight="true" outlineLevel="0" collapsed="false"/>
    <row r="2306" customFormat="false" ht="16.5" hidden="false" customHeight="true" outlineLevel="0" collapsed="false"/>
    <row r="2307" customFormat="false" ht="16.5" hidden="false" customHeight="true" outlineLevel="0" collapsed="false"/>
    <row r="2308" customFormat="false" ht="16.5" hidden="false" customHeight="true" outlineLevel="0" collapsed="false"/>
    <row r="2309" customFormat="false" ht="16.5" hidden="false" customHeight="true" outlineLevel="0" collapsed="false"/>
    <row r="2310" customFormat="false" ht="16.5" hidden="false" customHeight="true" outlineLevel="0" collapsed="false"/>
    <row r="2311" customFormat="false" ht="16.5" hidden="false" customHeight="true" outlineLevel="0" collapsed="false"/>
    <row r="2312" customFormat="false" ht="16.5" hidden="false" customHeight="true" outlineLevel="0" collapsed="false"/>
    <row r="2313" customFormat="false" ht="16.5" hidden="false" customHeight="true" outlineLevel="0" collapsed="false"/>
    <row r="2314" customFormat="false" ht="16.5" hidden="false" customHeight="true" outlineLevel="0" collapsed="false"/>
    <row r="2315" customFormat="false" ht="16.5" hidden="false" customHeight="true" outlineLevel="0" collapsed="false"/>
    <row r="2316" customFormat="false" ht="16.5" hidden="false" customHeight="true" outlineLevel="0" collapsed="false"/>
    <row r="2317" customFormat="false" ht="16.5" hidden="false" customHeight="true" outlineLevel="0" collapsed="false"/>
    <row r="2318" customFormat="false" ht="16.5" hidden="false" customHeight="true" outlineLevel="0" collapsed="false"/>
    <row r="2319" customFormat="false" ht="16.5" hidden="false" customHeight="true" outlineLevel="0" collapsed="false"/>
    <row r="2320" customFormat="false" ht="16.5" hidden="false" customHeight="true" outlineLevel="0" collapsed="false"/>
    <row r="2321" customFormat="false" ht="16.5" hidden="false" customHeight="true" outlineLevel="0" collapsed="false"/>
    <row r="2322" customFormat="false" ht="16.5" hidden="false" customHeight="true" outlineLevel="0" collapsed="false"/>
    <row r="2323" customFormat="false" ht="16.5" hidden="false" customHeight="true" outlineLevel="0" collapsed="false"/>
    <row r="2324" customFormat="false" ht="16.5" hidden="false" customHeight="true" outlineLevel="0" collapsed="false"/>
    <row r="2325" customFormat="false" ht="16.5" hidden="false" customHeight="true" outlineLevel="0" collapsed="false"/>
    <row r="2326" customFormat="false" ht="16.5" hidden="false" customHeight="true" outlineLevel="0" collapsed="false"/>
    <row r="2327" customFormat="false" ht="16.5" hidden="false" customHeight="true" outlineLevel="0" collapsed="false"/>
    <row r="2328" customFormat="false" ht="16.5" hidden="false" customHeight="true" outlineLevel="0" collapsed="false"/>
    <row r="2329" customFormat="false" ht="16.5" hidden="false" customHeight="true" outlineLevel="0" collapsed="false"/>
    <row r="2330" customFormat="false" ht="16.5" hidden="false" customHeight="true" outlineLevel="0" collapsed="false"/>
    <row r="2331" customFormat="false" ht="16.5" hidden="false" customHeight="true" outlineLevel="0" collapsed="false"/>
    <row r="2332" customFormat="false" ht="16.5" hidden="false" customHeight="true" outlineLevel="0" collapsed="false"/>
    <row r="2333" customFormat="false" ht="16.5" hidden="false" customHeight="true" outlineLevel="0" collapsed="false"/>
    <row r="2334" customFormat="false" ht="16.5" hidden="false" customHeight="true" outlineLevel="0" collapsed="false"/>
    <row r="2335" customFormat="false" ht="16.5" hidden="false" customHeight="true" outlineLevel="0" collapsed="false"/>
    <row r="2336" customFormat="false" ht="16.5" hidden="false" customHeight="true" outlineLevel="0" collapsed="false"/>
    <row r="2337" customFormat="false" ht="16.5" hidden="false" customHeight="true" outlineLevel="0" collapsed="false"/>
    <row r="2338" customFormat="false" ht="16.5" hidden="false" customHeight="true" outlineLevel="0" collapsed="false"/>
    <row r="2339" customFormat="false" ht="16.5" hidden="false" customHeight="true" outlineLevel="0" collapsed="false"/>
    <row r="2340" customFormat="false" ht="16.5" hidden="false" customHeight="true" outlineLevel="0" collapsed="false"/>
    <row r="2341" customFormat="false" ht="16.5" hidden="false" customHeight="true" outlineLevel="0" collapsed="false"/>
    <row r="2342" customFormat="false" ht="16.5" hidden="false" customHeight="true" outlineLevel="0" collapsed="false"/>
    <row r="2343" customFormat="false" ht="16.5" hidden="false" customHeight="true" outlineLevel="0" collapsed="false"/>
    <row r="2344" customFormat="false" ht="16.5" hidden="false" customHeight="true" outlineLevel="0" collapsed="false"/>
    <row r="2345" customFormat="false" ht="16.5" hidden="false" customHeight="true" outlineLevel="0" collapsed="false"/>
    <row r="2346" customFormat="false" ht="16.5" hidden="false" customHeight="true" outlineLevel="0" collapsed="false"/>
    <row r="2347" customFormat="false" ht="16.5" hidden="false" customHeight="true" outlineLevel="0" collapsed="false"/>
    <row r="2348" customFormat="false" ht="16.5" hidden="false" customHeight="true" outlineLevel="0" collapsed="false"/>
    <row r="2349" customFormat="false" ht="16.5" hidden="false" customHeight="true" outlineLevel="0" collapsed="false"/>
    <row r="2350" customFormat="false" ht="16.5" hidden="false" customHeight="true" outlineLevel="0" collapsed="false"/>
    <row r="2351" customFormat="false" ht="16.5" hidden="false" customHeight="true" outlineLevel="0" collapsed="false"/>
    <row r="2352" customFormat="false" ht="16.5" hidden="false" customHeight="true" outlineLevel="0" collapsed="false"/>
    <row r="2353" customFormat="false" ht="16.5" hidden="false" customHeight="true" outlineLevel="0" collapsed="false"/>
    <row r="2354" customFormat="false" ht="16.5" hidden="false" customHeight="true" outlineLevel="0" collapsed="false"/>
    <row r="2355" customFormat="false" ht="16.5" hidden="false" customHeight="true" outlineLevel="0" collapsed="false"/>
    <row r="2356" customFormat="false" ht="16.5" hidden="false" customHeight="true" outlineLevel="0" collapsed="false"/>
    <row r="2357" customFormat="false" ht="16.5" hidden="false" customHeight="true" outlineLevel="0" collapsed="false"/>
    <row r="2358" customFormat="false" ht="16.5" hidden="false" customHeight="true" outlineLevel="0" collapsed="false"/>
    <row r="2359" customFormat="false" ht="16.5" hidden="false" customHeight="true" outlineLevel="0" collapsed="false"/>
    <row r="2360" customFormat="false" ht="16.5" hidden="false" customHeight="true" outlineLevel="0" collapsed="false"/>
    <row r="2361" customFormat="false" ht="16.5" hidden="false" customHeight="true" outlineLevel="0" collapsed="false"/>
    <row r="2362" customFormat="false" ht="16.5" hidden="false" customHeight="true" outlineLevel="0" collapsed="false"/>
    <row r="2363" customFormat="false" ht="16.5" hidden="false" customHeight="true" outlineLevel="0" collapsed="false"/>
    <row r="2364" customFormat="false" ht="16.5" hidden="false" customHeight="true" outlineLevel="0" collapsed="false"/>
    <row r="2365" customFormat="false" ht="16.5" hidden="false" customHeight="true" outlineLevel="0" collapsed="false"/>
    <row r="2366" customFormat="false" ht="16.5" hidden="false" customHeight="true" outlineLevel="0" collapsed="false"/>
    <row r="2367" customFormat="false" ht="16.5" hidden="false" customHeight="true" outlineLevel="0" collapsed="false"/>
    <row r="2368" customFormat="false" ht="16.5" hidden="false" customHeight="true" outlineLevel="0" collapsed="false"/>
    <row r="2369" customFormat="false" ht="16.5" hidden="false" customHeight="true" outlineLevel="0" collapsed="false"/>
    <row r="2370" customFormat="false" ht="16.5" hidden="false" customHeight="true" outlineLevel="0" collapsed="false"/>
    <row r="2371" customFormat="false" ht="16.5" hidden="false" customHeight="true" outlineLevel="0" collapsed="false"/>
    <row r="2372" customFormat="false" ht="16.5" hidden="false" customHeight="true" outlineLevel="0" collapsed="false"/>
    <row r="2373" customFormat="false" ht="16.5" hidden="false" customHeight="true" outlineLevel="0" collapsed="false"/>
    <row r="2374" customFormat="false" ht="16.5" hidden="false" customHeight="true" outlineLevel="0" collapsed="false"/>
    <row r="2375" customFormat="false" ht="16.5" hidden="false" customHeight="true" outlineLevel="0" collapsed="false"/>
    <row r="2376" customFormat="false" ht="16.5" hidden="false" customHeight="true" outlineLevel="0" collapsed="false"/>
    <row r="2377" customFormat="false" ht="16.5" hidden="false" customHeight="true" outlineLevel="0" collapsed="false"/>
    <row r="2378" customFormat="false" ht="16.5" hidden="false" customHeight="true" outlineLevel="0" collapsed="false"/>
    <row r="2379" customFormat="false" ht="16.5" hidden="false" customHeight="true" outlineLevel="0" collapsed="false"/>
    <row r="2380" customFormat="false" ht="16.5" hidden="false" customHeight="true" outlineLevel="0" collapsed="false"/>
    <row r="2381" customFormat="false" ht="16.5" hidden="false" customHeight="true" outlineLevel="0" collapsed="false"/>
    <row r="2382" customFormat="false" ht="16.5" hidden="false" customHeight="true" outlineLevel="0" collapsed="false"/>
    <row r="2383" customFormat="false" ht="16.5" hidden="false" customHeight="true" outlineLevel="0" collapsed="false"/>
    <row r="2384" customFormat="false" ht="16.5" hidden="false" customHeight="true" outlineLevel="0" collapsed="false"/>
    <row r="2385" customFormat="false" ht="16.5" hidden="false" customHeight="true" outlineLevel="0" collapsed="false"/>
    <row r="2386" customFormat="false" ht="16.5" hidden="false" customHeight="true" outlineLevel="0" collapsed="false"/>
    <row r="2387" customFormat="false" ht="16.5" hidden="false" customHeight="true" outlineLevel="0" collapsed="false"/>
    <row r="2388" customFormat="false" ht="16.5" hidden="false" customHeight="true" outlineLevel="0" collapsed="false"/>
    <row r="2389" customFormat="false" ht="16.5" hidden="false" customHeight="true" outlineLevel="0" collapsed="false"/>
    <row r="2390" customFormat="false" ht="16.5" hidden="false" customHeight="true" outlineLevel="0" collapsed="false"/>
    <row r="2391" customFormat="false" ht="16.5" hidden="false" customHeight="true" outlineLevel="0" collapsed="false"/>
    <row r="2392" customFormat="false" ht="16.5" hidden="false" customHeight="true" outlineLevel="0" collapsed="false"/>
    <row r="2393" customFormat="false" ht="16.5" hidden="false" customHeight="true" outlineLevel="0" collapsed="false"/>
    <row r="2394" customFormat="false" ht="16.5" hidden="false" customHeight="true" outlineLevel="0" collapsed="false"/>
    <row r="2395" customFormat="false" ht="16.5" hidden="false" customHeight="true" outlineLevel="0" collapsed="false"/>
    <row r="2396" customFormat="false" ht="16.5" hidden="false" customHeight="true" outlineLevel="0" collapsed="false"/>
    <row r="2397" customFormat="false" ht="16.5" hidden="false" customHeight="true" outlineLevel="0" collapsed="false"/>
    <row r="2398" customFormat="false" ht="16.5" hidden="false" customHeight="true" outlineLevel="0" collapsed="false"/>
    <row r="2399" customFormat="false" ht="16.5" hidden="false" customHeight="true" outlineLevel="0" collapsed="false"/>
    <row r="2400" customFormat="false" ht="16.5" hidden="false" customHeight="true" outlineLevel="0" collapsed="false"/>
    <row r="2401" customFormat="false" ht="16.5" hidden="false" customHeight="true" outlineLevel="0" collapsed="false"/>
    <row r="2402" customFormat="false" ht="16.5" hidden="false" customHeight="true" outlineLevel="0" collapsed="false"/>
    <row r="2403" customFormat="false" ht="16.5" hidden="false" customHeight="true" outlineLevel="0" collapsed="false"/>
    <row r="2404" customFormat="false" ht="16.5" hidden="false" customHeight="true" outlineLevel="0" collapsed="false"/>
    <row r="2405" customFormat="false" ht="16.5" hidden="false" customHeight="true" outlineLevel="0" collapsed="false"/>
    <row r="2406" customFormat="false" ht="16.5" hidden="false" customHeight="true" outlineLevel="0" collapsed="false"/>
    <row r="2407" customFormat="false" ht="16.5" hidden="false" customHeight="true" outlineLevel="0" collapsed="false"/>
    <row r="2408" customFormat="false" ht="16.5" hidden="false" customHeight="true" outlineLevel="0" collapsed="false"/>
    <row r="2409" customFormat="false" ht="16.5" hidden="false" customHeight="true" outlineLevel="0" collapsed="false"/>
    <row r="2410" customFormat="false" ht="16.5" hidden="false" customHeight="true" outlineLevel="0" collapsed="false"/>
    <row r="2411" customFormat="false" ht="16.5" hidden="false" customHeight="true" outlineLevel="0" collapsed="false"/>
    <row r="2412" customFormat="false" ht="16.5" hidden="false" customHeight="true" outlineLevel="0" collapsed="false"/>
    <row r="2413" customFormat="false" ht="16.5" hidden="false" customHeight="true" outlineLevel="0" collapsed="false"/>
    <row r="2414" customFormat="false" ht="16.5" hidden="false" customHeight="true" outlineLevel="0" collapsed="false"/>
    <row r="2415" customFormat="false" ht="16.5" hidden="false" customHeight="true" outlineLevel="0" collapsed="false"/>
    <row r="2416" customFormat="false" ht="16.5" hidden="false" customHeight="true" outlineLevel="0" collapsed="false"/>
    <row r="2417" customFormat="false" ht="16.5" hidden="false" customHeight="true" outlineLevel="0" collapsed="false"/>
    <row r="2418" customFormat="false" ht="16.5" hidden="false" customHeight="true" outlineLevel="0" collapsed="false"/>
    <row r="2419" customFormat="false" ht="16.5" hidden="false" customHeight="true" outlineLevel="0" collapsed="false"/>
    <row r="2420" customFormat="false" ht="16.5" hidden="false" customHeight="true" outlineLevel="0" collapsed="false"/>
    <row r="2421" customFormat="false" ht="16.5" hidden="false" customHeight="true" outlineLevel="0" collapsed="false"/>
    <row r="2422" customFormat="false" ht="16.5" hidden="false" customHeight="true" outlineLevel="0" collapsed="false"/>
    <row r="2423" customFormat="false" ht="16.5" hidden="false" customHeight="true" outlineLevel="0" collapsed="false"/>
    <row r="2424" customFormat="false" ht="16.5" hidden="false" customHeight="true" outlineLevel="0" collapsed="false"/>
    <row r="2425" customFormat="false" ht="16.5" hidden="false" customHeight="true" outlineLevel="0" collapsed="false"/>
    <row r="2426" customFormat="false" ht="16.5" hidden="false" customHeight="true" outlineLevel="0" collapsed="false"/>
    <row r="2427" customFormat="false" ht="16.5" hidden="false" customHeight="true" outlineLevel="0" collapsed="false"/>
    <row r="2428" customFormat="false" ht="16.5" hidden="false" customHeight="true" outlineLevel="0" collapsed="false"/>
    <row r="2429" customFormat="false" ht="16.5" hidden="false" customHeight="true" outlineLevel="0" collapsed="false"/>
    <row r="2430" customFormat="false" ht="16.5" hidden="false" customHeight="true" outlineLevel="0" collapsed="false"/>
    <row r="2431" customFormat="false" ht="16.5" hidden="false" customHeight="true" outlineLevel="0" collapsed="false"/>
    <row r="2432" customFormat="false" ht="16.5" hidden="false" customHeight="true" outlineLevel="0" collapsed="false"/>
    <row r="2433" customFormat="false" ht="16.5" hidden="false" customHeight="true" outlineLevel="0" collapsed="false"/>
    <row r="2434" customFormat="false" ht="16.5" hidden="false" customHeight="true" outlineLevel="0" collapsed="false"/>
    <row r="2435" customFormat="false" ht="16.5" hidden="false" customHeight="true" outlineLevel="0" collapsed="false"/>
    <row r="2436" customFormat="false" ht="16.5" hidden="false" customHeight="true" outlineLevel="0" collapsed="false"/>
    <row r="2437" customFormat="false" ht="16.5" hidden="false" customHeight="true" outlineLevel="0" collapsed="false"/>
    <row r="2438" customFormat="false" ht="16.5" hidden="false" customHeight="true" outlineLevel="0" collapsed="false"/>
    <row r="2439" customFormat="false" ht="16.5" hidden="false" customHeight="true" outlineLevel="0" collapsed="false"/>
    <row r="2440" customFormat="false" ht="16.5" hidden="false" customHeight="true" outlineLevel="0" collapsed="false"/>
    <row r="2441" customFormat="false" ht="16.5" hidden="false" customHeight="true" outlineLevel="0" collapsed="false"/>
    <row r="2442" customFormat="false" ht="16.5" hidden="false" customHeight="true" outlineLevel="0" collapsed="false"/>
    <row r="2443" customFormat="false" ht="16.5" hidden="false" customHeight="true" outlineLevel="0" collapsed="false"/>
    <row r="2444" customFormat="false" ht="16.5" hidden="false" customHeight="true" outlineLevel="0" collapsed="false"/>
    <row r="2445" customFormat="false" ht="16.5" hidden="false" customHeight="true" outlineLevel="0" collapsed="false"/>
    <row r="2446" customFormat="false" ht="16.5" hidden="false" customHeight="true" outlineLevel="0" collapsed="false"/>
    <row r="2447" customFormat="false" ht="16.5" hidden="false" customHeight="true" outlineLevel="0" collapsed="false"/>
    <row r="2448" customFormat="false" ht="16.5" hidden="false" customHeight="true" outlineLevel="0" collapsed="false"/>
    <row r="2449" customFormat="false" ht="16.5" hidden="false" customHeight="true" outlineLevel="0" collapsed="false"/>
    <row r="2450" customFormat="false" ht="16.5" hidden="false" customHeight="true" outlineLevel="0" collapsed="false"/>
    <row r="2451" customFormat="false" ht="16.5" hidden="false" customHeight="true" outlineLevel="0" collapsed="false"/>
    <row r="2452" customFormat="false" ht="16.5" hidden="false" customHeight="true" outlineLevel="0" collapsed="false"/>
    <row r="2453" customFormat="false" ht="16.5" hidden="false" customHeight="true" outlineLevel="0" collapsed="false"/>
    <row r="2454" customFormat="false" ht="16.5" hidden="false" customHeight="true" outlineLevel="0" collapsed="false"/>
    <row r="2455" customFormat="false" ht="16.5" hidden="false" customHeight="true" outlineLevel="0" collapsed="false"/>
    <row r="2456" customFormat="false" ht="16.5" hidden="false" customHeight="true" outlineLevel="0" collapsed="false"/>
    <row r="2457" customFormat="false" ht="16.5" hidden="false" customHeight="true" outlineLevel="0" collapsed="false"/>
    <row r="2458" customFormat="false" ht="16.5" hidden="false" customHeight="true" outlineLevel="0" collapsed="false"/>
    <row r="2459" customFormat="false" ht="16.5" hidden="false" customHeight="true" outlineLevel="0" collapsed="false"/>
    <row r="2460" customFormat="false" ht="16.5" hidden="false" customHeight="true" outlineLevel="0" collapsed="false"/>
    <row r="2461" customFormat="false" ht="16.5" hidden="false" customHeight="true" outlineLevel="0" collapsed="false"/>
    <row r="2462" customFormat="false" ht="16.5" hidden="false" customHeight="true" outlineLevel="0" collapsed="false"/>
    <row r="2463" customFormat="false" ht="16.5" hidden="false" customHeight="true" outlineLevel="0" collapsed="false"/>
    <row r="2464" customFormat="false" ht="16.5" hidden="false" customHeight="true" outlineLevel="0" collapsed="false"/>
    <row r="2465" customFormat="false" ht="16.5" hidden="false" customHeight="true" outlineLevel="0" collapsed="false"/>
    <row r="2466" customFormat="false" ht="16.5" hidden="false" customHeight="true" outlineLevel="0" collapsed="false"/>
    <row r="2467" customFormat="false" ht="16.5" hidden="false" customHeight="true" outlineLevel="0" collapsed="false"/>
    <row r="2468" customFormat="false" ht="16.5" hidden="false" customHeight="true" outlineLevel="0" collapsed="false"/>
    <row r="2469" customFormat="false" ht="16.5" hidden="false" customHeight="true" outlineLevel="0" collapsed="false"/>
    <row r="2470" customFormat="false" ht="16.5" hidden="false" customHeight="true" outlineLevel="0" collapsed="false"/>
    <row r="2471" customFormat="false" ht="16.5" hidden="false" customHeight="true" outlineLevel="0" collapsed="false"/>
    <row r="2472" customFormat="false" ht="16.5" hidden="false" customHeight="true" outlineLevel="0" collapsed="false"/>
    <row r="2473" customFormat="false" ht="16.5" hidden="false" customHeight="true" outlineLevel="0" collapsed="false"/>
    <row r="2474" customFormat="false" ht="16.5" hidden="false" customHeight="true" outlineLevel="0" collapsed="false"/>
    <row r="2475" customFormat="false" ht="16.5" hidden="false" customHeight="true" outlineLevel="0" collapsed="false"/>
    <row r="2476" customFormat="false" ht="16.5" hidden="false" customHeight="true" outlineLevel="0" collapsed="false"/>
    <row r="2477" customFormat="false" ht="16.5" hidden="false" customHeight="true" outlineLevel="0" collapsed="false"/>
    <row r="2478" customFormat="false" ht="16.5" hidden="false" customHeight="true" outlineLevel="0" collapsed="false"/>
    <row r="2479" customFormat="false" ht="16.5" hidden="false" customHeight="true" outlineLevel="0" collapsed="false"/>
    <row r="2480" customFormat="false" ht="16.5" hidden="false" customHeight="true" outlineLevel="0" collapsed="false"/>
    <row r="2481" customFormat="false" ht="16.5" hidden="false" customHeight="true" outlineLevel="0" collapsed="false"/>
    <row r="2482" customFormat="false" ht="16.5" hidden="false" customHeight="true" outlineLevel="0" collapsed="false"/>
    <row r="2483" customFormat="false" ht="16.5" hidden="false" customHeight="true" outlineLevel="0" collapsed="false"/>
    <row r="2484" customFormat="false" ht="16.5" hidden="false" customHeight="true" outlineLevel="0" collapsed="false"/>
    <row r="2485" customFormat="false" ht="16.5" hidden="false" customHeight="true" outlineLevel="0" collapsed="false"/>
    <row r="2486" customFormat="false" ht="16.5" hidden="false" customHeight="true" outlineLevel="0" collapsed="false"/>
    <row r="2487" customFormat="false" ht="16.5" hidden="false" customHeight="true" outlineLevel="0" collapsed="false"/>
    <row r="2488" customFormat="false" ht="16.5" hidden="false" customHeight="true" outlineLevel="0" collapsed="false"/>
    <row r="2489" customFormat="false" ht="16.5" hidden="false" customHeight="true" outlineLevel="0" collapsed="false"/>
    <row r="2490" customFormat="false" ht="16.5" hidden="false" customHeight="true" outlineLevel="0" collapsed="false"/>
    <row r="2491" customFormat="false" ht="16.5" hidden="false" customHeight="true" outlineLevel="0" collapsed="false"/>
    <row r="2492" customFormat="false" ht="16.5" hidden="false" customHeight="true" outlineLevel="0" collapsed="false"/>
    <row r="2493" customFormat="false" ht="16.5" hidden="false" customHeight="true" outlineLevel="0" collapsed="false"/>
    <row r="2494" customFormat="false" ht="16.5" hidden="false" customHeight="true" outlineLevel="0" collapsed="false"/>
    <row r="2495" customFormat="false" ht="16.5" hidden="false" customHeight="true" outlineLevel="0" collapsed="false"/>
    <row r="2496" customFormat="false" ht="16.5" hidden="false" customHeight="true" outlineLevel="0" collapsed="false"/>
    <row r="2497" customFormat="false" ht="16.5" hidden="false" customHeight="true" outlineLevel="0" collapsed="false"/>
    <row r="2498" customFormat="false" ht="16.5" hidden="false" customHeight="true" outlineLevel="0" collapsed="false"/>
    <row r="2499" customFormat="false" ht="16.5" hidden="false" customHeight="true" outlineLevel="0" collapsed="false"/>
    <row r="2500" customFormat="false" ht="16.5" hidden="false" customHeight="true" outlineLevel="0" collapsed="false"/>
    <row r="2501" customFormat="false" ht="16.5" hidden="false" customHeight="true" outlineLevel="0" collapsed="false"/>
    <row r="2502" customFormat="false" ht="16.5" hidden="false" customHeight="true" outlineLevel="0" collapsed="false"/>
    <row r="2503" customFormat="false" ht="16.5" hidden="false" customHeight="true" outlineLevel="0" collapsed="false"/>
    <row r="2504" customFormat="false" ht="16.5" hidden="false" customHeight="true" outlineLevel="0" collapsed="false"/>
    <row r="2505" customFormat="false" ht="16.5" hidden="false" customHeight="true" outlineLevel="0" collapsed="false"/>
    <row r="2506" customFormat="false" ht="16.5" hidden="false" customHeight="true" outlineLevel="0" collapsed="false"/>
    <row r="2507" customFormat="false" ht="16.5" hidden="false" customHeight="true" outlineLevel="0" collapsed="false"/>
    <row r="2508" customFormat="false" ht="16.5" hidden="false" customHeight="true" outlineLevel="0" collapsed="false"/>
    <row r="2509" customFormat="false" ht="16.5" hidden="false" customHeight="true" outlineLevel="0" collapsed="false"/>
    <row r="2510" customFormat="false" ht="16.5" hidden="false" customHeight="true" outlineLevel="0" collapsed="false"/>
    <row r="2511" customFormat="false" ht="16.5" hidden="false" customHeight="true" outlineLevel="0" collapsed="false"/>
    <row r="2512" customFormat="false" ht="16.5" hidden="false" customHeight="true" outlineLevel="0" collapsed="false"/>
    <row r="2513" customFormat="false" ht="16.5" hidden="false" customHeight="true" outlineLevel="0" collapsed="false"/>
    <row r="2514" customFormat="false" ht="16.5" hidden="false" customHeight="true" outlineLevel="0" collapsed="false"/>
    <row r="2515" customFormat="false" ht="16.5" hidden="false" customHeight="true" outlineLevel="0" collapsed="false"/>
    <row r="2516" customFormat="false" ht="16.5" hidden="false" customHeight="true" outlineLevel="0" collapsed="false"/>
    <row r="2517" customFormat="false" ht="16.5" hidden="false" customHeight="true" outlineLevel="0" collapsed="false"/>
    <row r="2518" customFormat="false" ht="16.5" hidden="false" customHeight="true" outlineLevel="0" collapsed="false"/>
    <row r="2519" customFormat="false" ht="16.5" hidden="false" customHeight="true" outlineLevel="0" collapsed="false"/>
    <row r="2520" customFormat="false" ht="16.5" hidden="false" customHeight="true" outlineLevel="0" collapsed="false"/>
    <row r="2521" customFormat="false" ht="16.5" hidden="false" customHeight="true" outlineLevel="0" collapsed="false"/>
    <row r="2522" customFormat="false" ht="16.5" hidden="false" customHeight="true" outlineLevel="0" collapsed="false"/>
    <row r="2523" customFormat="false" ht="16.5" hidden="false" customHeight="true" outlineLevel="0" collapsed="false"/>
    <row r="2524" customFormat="false" ht="16.5" hidden="false" customHeight="true" outlineLevel="0" collapsed="false"/>
    <row r="2525" customFormat="false" ht="16.5" hidden="false" customHeight="true" outlineLevel="0" collapsed="false"/>
    <row r="2526" customFormat="false" ht="16.5" hidden="false" customHeight="true" outlineLevel="0" collapsed="false"/>
    <row r="2527" customFormat="false" ht="16.5" hidden="false" customHeight="true" outlineLevel="0" collapsed="false"/>
    <row r="2528" customFormat="false" ht="16.5" hidden="false" customHeight="true" outlineLevel="0" collapsed="false"/>
    <row r="2529" customFormat="false" ht="16.5" hidden="false" customHeight="true" outlineLevel="0" collapsed="false"/>
    <row r="2530" customFormat="false" ht="16.5" hidden="false" customHeight="true" outlineLevel="0" collapsed="false"/>
    <row r="2531" customFormat="false" ht="16.5" hidden="false" customHeight="true" outlineLevel="0" collapsed="false"/>
    <row r="2532" customFormat="false" ht="16.5" hidden="false" customHeight="true" outlineLevel="0" collapsed="false"/>
    <row r="2533" customFormat="false" ht="16.5" hidden="false" customHeight="true" outlineLevel="0" collapsed="false"/>
    <row r="2534" customFormat="false" ht="16.5" hidden="false" customHeight="true" outlineLevel="0" collapsed="false"/>
    <row r="2535" customFormat="false" ht="16.5" hidden="false" customHeight="true" outlineLevel="0" collapsed="false"/>
    <row r="2536" customFormat="false" ht="16.5" hidden="false" customHeight="true" outlineLevel="0" collapsed="false"/>
    <row r="2537" customFormat="false" ht="16.5" hidden="false" customHeight="true" outlineLevel="0" collapsed="false"/>
    <row r="2538" customFormat="false" ht="16.5" hidden="false" customHeight="true" outlineLevel="0" collapsed="false"/>
    <row r="2539" customFormat="false" ht="16.5" hidden="false" customHeight="true" outlineLevel="0" collapsed="false"/>
    <row r="2540" customFormat="false" ht="16.5" hidden="false" customHeight="true" outlineLevel="0" collapsed="false"/>
    <row r="2541" customFormat="false" ht="16.5" hidden="false" customHeight="true" outlineLevel="0" collapsed="false"/>
    <row r="2542" customFormat="false" ht="16.5" hidden="false" customHeight="true" outlineLevel="0" collapsed="false"/>
    <row r="2543" customFormat="false" ht="16.5" hidden="false" customHeight="true" outlineLevel="0" collapsed="false"/>
    <row r="2544" customFormat="false" ht="16.5" hidden="false" customHeight="true" outlineLevel="0" collapsed="false"/>
    <row r="2545" customFormat="false" ht="16.5" hidden="false" customHeight="true" outlineLevel="0" collapsed="false"/>
    <row r="2546" customFormat="false" ht="16.5" hidden="false" customHeight="true" outlineLevel="0" collapsed="false"/>
    <row r="2547" customFormat="false" ht="16.5" hidden="false" customHeight="true" outlineLevel="0" collapsed="false"/>
    <row r="2548" customFormat="false" ht="16.5" hidden="false" customHeight="true" outlineLevel="0" collapsed="false"/>
    <row r="2549" customFormat="false" ht="16.5" hidden="false" customHeight="true" outlineLevel="0" collapsed="false"/>
    <row r="2550" customFormat="false" ht="16.5" hidden="false" customHeight="true" outlineLevel="0" collapsed="false"/>
    <row r="2551" customFormat="false" ht="16.5" hidden="false" customHeight="true" outlineLevel="0" collapsed="false"/>
    <row r="2552" customFormat="false" ht="16.5" hidden="false" customHeight="true" outlineLevel="0" collapsed="false"/>
    <row r="2553" customFormat="false" ht="16.5" hidden="false" customHeight="true" outlineLevel="0" collapsed="false"/>
    <row r="2554" customFormat="false" ht="16.5" hidden="false" customHeight="true" outlineLevel="0" collapsed="false"/>
    <row r="2555" customFormat="false" ht="16.5" hidden="false" customHeight="true" outlineLevel="0" collapsed="false"/>
    <row r="2556" customFormat="false" ht="16.5" hidden="false" customHeight="true" outlineLevel="0" collapsed="false"/>
    <row r="2557" customFormat="false" ht="16.5" hidden="false" customHeight="true" outlineLevel="0" collapsed="false"/>
    <row r="2558" customFormat="false" ht="16.5" hidden="false" customHeight="true" outlineLevel="0" collapsed="false"/>
    <row r="2559" customFormat="false" ht="16.5" hidden="false" customHeight="true" outlineLevel="0" collapsed="false"/>
    <row r="2560" customFormat="false" ht="16.5" hidden="false" customHeight="true" outlineLevel="0" collapsed="false"/>
    <row r="2561" customFormat="false" ht="16.5" hidden="false" customHeight="true" outlineLevel="0" collapsed="false"/>
    <row r="2562" customFormat="false" ht="16.5" hidden="false" customHeight="true" outlineLevel="0" collapsed="false"/>
    <row r="2563" customFormat="false" ht="16.5" hidden="false" customHeight="true" outlineLevel="0" collapsed="false"/>
    <row r="2564" customFormat="false" ht="16.5" hidden="false" customHeight="true" outlineLevel="0" collapsed="false"/>
    <row r="2565" customFormat="false" ht="16.5" hidden="false" customHeight="true" outlineLevel="0" collapsed="false"/>
    <row r="2566" customFormat="false" ht="16.5" hidden="false" customHeight="true" outlineLevel="0" collapsed="false"/>
    <row r="2567" customFormat="false" ht="16.5" hidden="false" customHeight="true" outlineLevel="0" collapsed="false"/>
    <row r="2568" customFormat="false" ht="16.5" hidden="false" customHeight="true" outlineLevel="0" collapsed="false"/>
    <row r="2569" customFormat="false" ht="16.5" hidden="false" customHeight="true" outlineLevel="0" collapsed="false"/>
    <row r="2570" customFormat="false" ht="16.5" hidden="false" customHeight="true" outlineLevel="0" collapsed="false"/>
    <row r="2571" customFormat="false" ht="16.5" hidden="false" customHeight="true" outlineLevel="0" collapsed="false"/>
    <row r="2572" customFormat="false" ht="16.5" hidden="false" customHeight="true" outlineLevel="0" collapsed="false"/>
    <row r="2573" customFormat="false" ht="16.5" hidden="false" customHeight="true" outlineLevel="0" collapsed="false"/>
    <row r="2574" customFormat="false" ht="16.5" hidden="false" customHeight="true" outlineLevel="0" collapsed="false"/>
    <row r="2575" customFormat="false" ht="16.5" hidden="false" customHeight="true" outlineLevel="0" collapsed="false"/>
    <row r="2576" customFormat="false" ht="16.5" hidden="false" customHeight="true" outlineLevel="0" collapsed="false"/>
    <row r="2577" customFormat="false" ht="16.5" hidden="false" customHeight="true" outlineLevel="0" collapsed="false"/>
    <row r="2578" customFormat="false" ht="16.5" hidden="false" customHeight="true" outlineLevel="0" collapsed="false"/>
    <row r="2579" customFormat="false" ht="16.5" hidden="false" customHeight="true" outlineLevel="0" collapsed="false"/>
    <row r="2580" customFormat="false" ht="16.5" hidden="false" customHeight="true" outlineLevel="0" collapsed="false"/>
    <row r="2581" customFormat="false" ht="16.5" hidden="false" customHeight="true" outlineLevel="0" collapsed="false"/>
    <row r="2582" customFormat="false" ht="16.5" hidden="false" customHeight="true" outlineLevel="0" collapsed="false"/>
    <row r="2583" customFormat="false" ht="16.5" hidden="false" customHeight="true" outlineLevel="0" collapsed="false"/>
    <row r="2584" customFormat="false" ht="16.5" hidden="false" customHeight="true" outlineLevel="0" collapsed="false"/>
    <row r="2585" customFormat="false" ht="16.5" hidden="false" customHeight="true" outlineLevel="0" collapsed="false"/>
    <row r="2586" customFormat="false" ht="16.5" hidden="false" customHeight="true" outlineLevel="0" collapsed="false"/>
    <row r="2587" customFormat="false" ht="16.5" hidden="false" customHeight="true" outlineLevel="0" collapsed="false"/>
    <row r="2588" customFormat="false" ht="16.5" hidden="false" customHeight="true" outlineLevel="0" collapsed="false"/>
    <row r="2589" customFormat="false" ht="16.5" hidden="false" customHeight="true" outlineLevel="0" collapsed="false"/>
    <row r="2590" customFormat="false" ht="16.5" hidden="false" customHeight="true" outlineLevel="0" collapsed="false"/>
    <row r="2591" customFormat="false" ht="16.5" hidden="false" customHeight="true" outlineLevel="0" collapsed="false"/>
    <row r="2592" customFormat="false" ht="16.5" hidden="false" customHeight="true" outlineLevel="0" collapsed="false"/>
    <row r="2593" customFormat="false" ht="16.5" hidden="false" customHeight="true" outlineLevel="0" collapsed="false"/>
    <row r="2594" customFormat="false" ht="16.5" hidden="false" customHeight="true" outlineLevel="0" collapsed="false"/>
    <row r="2595" customFormat="false" ht="16.5" hidden="false" customHeight="true" outlineLevel="0" collapsed="false"/>
    <row r="2596" customFormat="false" ht="16.5" hidden="false" customHeight="true" outlineLevel="0" collapsed="false"/>
    <row r="2597" customFormat="false" ht="16.5" hidden="false" customHeight="true" outlineLevel="0" collapsed="false"/>
    <row r="2598" customFormat="false" ht="16.5" hidden="false" customHeight="true" outlineLevel="0" collapsed="false"/>
    <row r="2599" customFormat="false" ht="16.5" hidden="false" customHeight="true" outlineLevel="0" collapsed="false"/>
    <row r="2600" customFormat="false" ht="16.5" hidden="false" customHeight="true" outlineLevel="0" collapsed="false"/>
    <row r="2601" customFormat="false" ht="16.5" hidden="false" customHeight="true" outlineLevel="0" collapsed="false"/>
    <row r="2602" customFormat="false" ht="16.5" hidden="false" customHeight="true" outlineLevel="0" collapsed="false"/>
    <row r="2603" customFormat="false" ht="16.5" hidden="false" customHeight="true" outlineLevel="0" collapsed="false"/>
    <row r="2604" customFormat="false" ht="16.5" hidden="false" customHeight="true" outlineLevel="0" collapsed="false"/>
    <row r="2605" customFormat="false" ht="16.5" hidden="false" customHeight="true" outlineLevel="0" collapsed="false"/>
    <row r="2606" customFormat="false" ht="16.5" hidden="false" customHeight="true" outlineLevel="0" collapsed="false"/>
    <row r="2607" customFormat="false" ht="16.5" hidden="false" customHeight="true" outlineLevel="0" collapsed="false"/>
    <row r="2608" customFormat="false" ht="16.5" hidden="false" customHeight="true" outlineLevel="0" collapsed="false"/>
    <row r="2609" customFormat="false" ht="16.5" hidden="false" customHeight="true" outlineLevel="0" collapsed="false"/>
    <row r="2610" customFormat="false" ht="16.5" hidden="false" customHeight="true" outlineLevel="0" collapsed="false"/>
    <row r="2611" customFormat="false" ht="16.5" hidden="false" customHeight="true" outlineLevel="0" collapsed="false"/>
    <row r="2612" customFormat="false" ht="16.5" hidden="false" customHeight="true" outlineLevel="0" collapsed="false"/>
    <row r="2613" customFormat="false" ht="16.5" hidden="false" customHeight="true" outlineLevel="0" collapsed="false"/>
    <row r="2614" customFormat="false" ht="16.5" hidden="false" customHeight="true" outlineLevel="0" collapsed="false"/>
    <row r="2615" customFormat="false" ht="16.5" hidden="false" customHeight="true" outlineLevel="0" collapsed="false"/>
    <row r="2616" customFormat="false" ht="16.5" hidden="false" customHeight="true" outlineLevel="0" collapsed="false"/>
    <row r="2617" customFormat="false" ht="16.5" hidden="false" customHeight="true" outlineLevel="0" collapsed="false"/>
    <row r="2618" customFormat="false" ht="16.5" hidden="false" customHeight="true" outlineLevel="0" collapsed="false"/>
    <row r="2619" customFormat="false" ht="16.5" hidden="false" customHeight="true" outlineLevel="0" collapsed="false"/>
    <row r="2620" customFormat="false" ht="16.5" hidden="false" customHeight="true" outlineLevel="0" collapsed="false"/>
    <row r="2621" customFormat="false" ht="16.5" hidden="false" customHeight="true" outlineLevel="0" collapsed="false"/>
    <row r="2622" customFormat="false" ht="16.5" hidden="false" customHeight="true" outlineLevel="0" collapsed="false"/>
    <row r="2623" customFormat="false" ht="16.5" hidden="false" customHeight="true" outlineLevel="0" collapsed="false"/>
    <row r="2624" customFormat="false" ht="16.5" hidden="false" customHeight="true" outlineLevel="0" collapsed="false"/>
    <row r="2625" customFormat="false" ht="16.5" hidden="false" customHeight="true" outlineLevel="0" collapsed="false"/>
    <row r="2626" customFormat="false" ht="16.5" hidden="false" customHeight="true" outlineLevel="0" collapsed="false"/>
    <row r="2627" customFormat="false" ht="16.5" hidden="false" customHeight="true" outlineLevel="0" collapsed="false"/>
    <row r="2628" customFormat="false" ht="16.5" hidden="false" customHeight="true" outlineLevel="0" collapsed="false"/>
    <row r="2629" customFormat="false" ht="16.5" hidden="false" customHeight="true" outlineLevel="0" collapsed="false"/>
    <row r="2630" customFormat="false" ht="16.5" hidden="false" customHeight="true" outlineLevel="0" collapsed="false"/>
    <row r="2631" customFormat="false" ht="16.5" hidden="false" customHeight="true" outlineLevel="0" collapsed="false"/>
    <row r="2632" customFormat="false" ht="16.5" hidden="false" customHeight="true" outlineLevel="0" collapsed="false"/>
    <row r="2633" customFormat="false" ht="16.5" hidden="false" customHeight="true" outlineLevel="0" collapsed="false"/>
    <row r="2634" customFormat="false" ht="16.5" hidden="false" customHeight="true" outlineLevel="0" collapsed="false"/>
    <row r="2635" customFormat="false" ht="16.5" hidden="false" customHeight="true" outlineLevel="0" collapsed="false"/>
    <row r="2636" customFormat="false" ht="16.5" hidden="false" customHeight="true" outlineLevel="0" collapsed="false"/>
    <row r="2637" customFormat="false" ht="16.5" hidden="false" customHeight="true" outlineLevel="0" collapsed="false"/>
    <row r="2638" customFormat="false" ht="16.5" hidden="false" customHeight="true" outlineLevel="0" collapsed="false"/>
    <row r="2639" customFormat="false" ht="16.5" hidden="false" customHeight="true" outlineLevel="0" collapsed="false"/>
    <row r="2640" customFormat="false" ht="16.5" hidden="false" customHeight="true" outlineLevel="0" collapsed="false"/>
    <row r="2641" customFormat="false" ht="16.5" hidden="false" customHeight="true" outlineLevel="0" collapsed="false"/>
    <row r="2642" customFormat="false" ht="16.5" hidden="false" customHeight="true" outlineLevel="0" collapsed="false"/>
    <row r="2643" customFormat="false" ht="16.5" hidden="false" customHeight="true" outlineLevel="0" collapsed="false"/>
    <row r="2644" customFormat="false" ht="16.5" hidden="false" customHeight="true" outlineLevel="0" collapsed="false"/>
    <row r="2645" customFormat="false" ht="16.5" hidden="false" customHeight="true" outlineLevel="0" collapsed="false"/>
    <row r="2646" customFormat="false" ht="16.5" hidden="false" customHeight="true" outlineLevel="0" collapsed="false"/>
    <row r="2647" customFormat="false" ht="16.5" hidden="false" customHeight="true" outlineLevel="0" collapsed="false"/>
    <row r="2648" customFormat="false" ht="16.5" hidden="false" customHeight="true" outlineLevel="0" collapsed="false"/>
    <row r="2649" customFormat="false" ht="16.5" hidden="false" customHeight="true" outlineLevel="0" collapsed="false"/>
    <row r="2650" customFormat="false" ht="16.5" hidden="false" customHeight="true" outlineLevel="0" collapsed="false"/>
    <row r="2651" customFormat="false" ht="16.5" hidden="false" customHeight="true" outlineLevel="0" collapsed="false"/>
    <row r="2652" customFormat="false" ht="16.5" hidden="false" customHeight="true" outlineLevel="0" collapsed="false"/>
    <row r="2653" customFormat="false" ht="16.5" hidden="false" customHeight="true" outlineLevel="0" collapsed="false"/>
    <row r="2654" customFormat="false" ht="16.5" hidden="false" customHeight="true" outlineLevel="0" collapsed="false"/>
    <row r="2655" customFormat="false" ht="16.5" hidden="false" customHeight="true" outlineLevel="0" collapsed="false"/>
    <row r="2656" customFormat="false" ht="16.5" hidden="false" customHeight="true" outlineLevel="0" collapsed="false"/>
    <row r="2657" customFormat="false" ht="16.5" hidden="false" customHeight="true" outlineLevel="0" collapsed="false"/>
    <row r="2658" customFormat="false" ht="16.5" hidden="false" customHeight="true" outlineLevel="0" collapsed="false"/>
    <row r="2659" customFormat="false" ht="16.5" hidden="false" customHeight="true" outlineLevel="0" collapsed="false"/>
    <row r="2660" customFormat="false" ht="16.5" hidden="false" customHeight="true" outlineLevel="0" collapsed="false"/>
    <row r="2661" customFormat="false" ht="16.5" hidden="false" customHeight="true" outlineLevel="0" collapsed="false"/>
    <row r="2662" customFormat="false" ht="16.5" hidden="false" customHeight="true" outlineLevel="0" collapsed="false"/>
    <row r="2663" customFormat="false" ht="16.5" hidden="false" customHeight="true" outlineLevel="0" collapsed="false"/>
    <row r="2664" customFormat="false" ht="16.5" hidden="false" customHeight="true" outlineLevel="0" collapsed="false"/>
    <row r="2665" customFormat="false" ht="16.5" hidden="false" customHeight="true" outlineLevel="0" collapsed="false"/>
    <row r="2666" customFormat="false" ht="16.5" hidden="false" customHeight="true" outlineLevel="0" collapsed="false"/>
    <row r="2667" customFormat="false" ht="16.5" hidden="false" customHeight="true" outlineLevel="0" collapsed="false"/>
    <row r="2668" customFormat="false" ht="16.5" hidden="false" customHeight="true" outlineLevel="0" collapsed="false"/>
    <row r="2669" customFormat="false" ht="16.5" hidden="false" customHeight="true" outlineLevel="0" collapsed="false"/>
    <row r="2670" customFormat="false" ht="16.5" hidden="false" customHeight="true" outlineLevel="0" collapsed="false"/>
    <row r="2671" customFormat="false" ht="16.5" hidden="false" customHeight="true" outlineLevel="0" collapsed="false"/>
    <row r="2672" customFormat="false" ht="16.5" hidden="false" customHeight="true" outlineLevel="0" collapsed="false"/>
    <row r="2673" customFormat="false" ht="16.5" hidden="false" customHeight="true" outlineLevel="0" collapsed="false"/>
    <row r="2674" customFormat="false" ht="16.5" hidden="false" customHeight="true" outlineLevel="0" collapsed="false"/>
    <row r="2675" customFormat="false" ht="16.5" hidden="false" customHeight="true" outlineLevel="0" collapsed="false"/>
    <row r="2676" customFormat="false" ht="16.5" hidden="false" customHeight="true" outlineLevel="0" collapsed="false"/>
    <row r="2677" customFormat="false" ht="16.5" hidden="false" customHeight="true" outlineLevel="0" collapsed="false"/>
    <row r="2678" customFormat="false" ht="16.5" hidden="false" customHeight="true" outlineLevel="0" collapsed="false"/>
    <row r="2679" customFormat="false" ht="16.5" hidden="false" customHeight="true" outlineLevel="0" collapsed="false"/>
    <row r="2680" customFormat="false" ht="16.5" hidden="false" customHeight="true" outlineLevel="0" collapsed="false"/>
    <row r="2681" customFormat="false" ht="16.5" hidden="false" customHeight="true" outlineLevel="0" collapsed="false"/>
    <row r="2682" customFormat="false" ht="16.5" hidden="false" customHeight="true" outlineLevel="0" collapsed="false"/>
    <row r="2683" customFormat="false" ht="16.5" hidden="false" customHeight="true" outlineLevel="0" collapsed="false"/>
    <row r="2684" customFormat="false" ht="16.5" hidden="false" customHeight="true" outlineLevel="0" collapsed="false"/>
    <row r="2685" customFormat="false" ht="16.5" hidden="false" customHeight="true" outlineLevel="0" collapsed="false"/>
    <row r="2686" customFormat="false" ht="16.5" hidden="false" customHeight="true" outlineLevel="0" collapsed="false"/>
    <row r="2687" customFormat="false" ht="16.5" hidden="false" customHeight="true" outlineLevel="0" collapsed="false"/>
    <row r="2688" customFormat="false" ht="16.5" hidden="false" customHeight="true" outlineLevel="0" collapsed="false"/>
    <row r="2689" customFormat="false" ht="16.5" hidden="false" customHeight="true" outlineLevel="0" collapsed="false"/>
    <row r="2690" customFormat="false" ht="16.5" hidden="false" customHeight="true" outlineLevel="0" collapsed="false"/>
    <row r="2691" customFormat="false" ht="16.5" hidden="false" customHeight="true" outlineLevel="0" collapsed="false"/>
    <row r="2692" customFormat="false" ht="16.5" hidden="false" customHeight="true" outlineLevel="0" collapsed="false"/>
    <row r="2693" customFormat="false" ht="16.5" hidden="false" customHeight="true" outlineLevel="0" collapsed="false"/>
    <row r="2694" customFormat="false" ht="16.5" hidden="false" customHeight="true" outlineLevel="0" collapsed="false"/>
    <row r="2695" customFormat="false" ht="16.5" hidden="false" customHeight="true" outlineLevel="0" collapsed="false"/>
    <row r="2696" customFormat="false" ht="16.5" hidden="false" customHeight="true" outlineLevel="0" collapsed="false"/>
    <row r="2697" customFormat="false" ht="16.5" hidden="false" customHeight="true" outlineLevel="0" collapsed="false"/>
    <row r="2698" customFormat="false" ht="16.5" hidden="false" customHeight="true" outlineLevel="0" collapsed="false"/>
    <row r="2699" customFormat="false" ht="16.5" hidden="false" customHeight="true" outlineLevel="0" collapsed="false"/>
    <row r="2700" customFormat="false" ht="16.5" hidden="false" customHeight="true" outlineLevel="0" collapsed="false"/>
    <row r="2701" customFormat="false" ht="16.5" hidden="false" customHeight="true" outlineLevel="0" collapsed="false"/>
    <row r="2702" customFormat="false" ht="16.5" hidden="false" customHeight="true" outlineLevel="0" collapsed="false"/>
    <row r="2703" customFormat="false" ht="16.5" hidden="false" customHeight="true" outlineLevel="0" collapsed="false"/>
    <row r="2704" customFormat="false" ht="16.5" hidden="false" customHeight="true" outlineLevel="0" collapsed="false"/>
    <row r="2705" customFormat="false" ht="16.5" hidden="false" customHeight="true" outlineLevel="0" collapsed="false"/>
    <row r="2706" customFormat="false" ht="16.5" hidden="false" customHeight="true" outlineLevel="0" collapsed="false"/>
    <row r="2707" customFormat="false" ht="16.5" hidden="false" customHeight="true" outlineLevel="0" collapsed="false"/>
    <row r="2708" customFormat="false" ht="16.5" hidden="false" customHeight="true" outlineLevel="0" collapsed="false"/>
    <row r="2709" customFormat="false" ht="16.5" hidden="false" customHeight="true" outlineLevel="0" collapsed="false"/>
    <row r="2710" customFormat="false" ht="16.5" hidden="false" customHeight="true" outlineLevel="0" collapsed="false"/>
    <row r="2711" customFormat="false" ht="16.5" hidden="false" customHeight="true" outlineLevel="0" collapsed="false"/>
    <row r="2712" customFormat="false" ht="16.5" hidden="false" customHeight="true" outlineLevel="0" collapsed="false"/>
    <row r="2713" customFormat="false" ht="16.5" hidden="false" customHeight="true" outlineLevel="0" collapsed="false"/>
    <row r="2714" customFormat="false" ht="16.5" hidden="false" customHeight="true" outlineLevel="0" collapsed="false"/>
    <row r="2715" customFormat="false" ht="16.5" hidden="false" customHeight="true" outlineLevel="0" collapsed="false"/>
    <row r="2716" customFormat="false" ht="16.5" hidden="false" customHeight="true" outlineLevel="0" collapsed="false"/>
    <row r="2717" customFormat="false" ht="16.5" hidden="false" customHeight="true" outlineLevel="0" collapsed="false"/>
    <row r="2718" customFormat="false" ht="16.5" hidden="false" customHeight="true" outlineLevel="0" collapsed="false"/>
    <row r="2719" customFormat="false" ht="16.5" hidden="false" customHeight="true" outlineLevel="0" collapsed="false"/>
    <row r="2720" customFormat="false" ht="16.5" hidden="false" customHeight="true" outlineLevel="0" collapsed="false"/>
    <row r="2721" customFormat="false" ht="16.5" hidden="false" customHeight="true" outlineLevel="0" collapsed="false"/>
    <row r="2722" customFormat="false" ht="16.5" hidden="false" customHeight="true" outlineLevel="0" collapsed="false"/>
    <row r="2723" customFormat="false" ht="16.5" hidden="false" customHeight="true" outlineLevel="0" collapsed="false"/>
    <row r="2724" customFormat="false" ht="16.5" hidden="false" customHeight="true" outlineLevel="0" collapsed="false"/>
    <row r="2725" customFormat="false" ht="16.5" hidden="false" customHeight="true" outlineLevel="0" collapsed="false"/>
    <row r="2726" customFormat="false" ht="16.5" hidden="false" customHeight="true" outlineLevel="0" collapsed="false"/>
    <row r="2727" customFormat="false" ht="16.5" hidden="false" customHeight="true" outlineLevel="0" collapsed="false"/>
    <row r="2728" customFormat="false" ht="16.5" hidden="false" customHeight="true" outlineLevel="0" collapsed="false"/>
    <row r="2729" customFormat="false" ht="16.5" hidden="false" customHeight="true" outlineLevel="0" collapsed="false"/>
    <row r="2730" customFormat="false" ht="16.5" hidden="false" customHeight="true" outlineLevel="0" collapsed="false"/>
    <row r="2731" customFormat="false" ht="16.5" hidden="false" customHeight="true" outlineLevel="0" collapsed="false"/>
    <row r="2732" customFormat="false" ht="16.5" hidden="false" customHeight="true" outlineLevel="0" collapsed="false"/>
    <row r="2733" customFormat="false" ht="16.5" hidden="false" customHeight="true" outlineLevel="0" collapsed="false"/>
    <row r="2734" customFormat="false" ht="16.5" hidden="false" customHeight="true" outlineLevel="0" collapsed="false"/>
    <row r="2735" customFormat="false" ht="16.5" hidden="false" customHeight="true" outlineLevel="0" collapsed="false"/>
    <row r="2736" customFormat="false" ht="16.5" hidden="false" customHeight="true" outlineLevel="0" collapsed="false"/>
    <row r="2737" customFormat="false" ht="16.5" hidden="false" customHeight="true" outlineLevel="0" collapsed="false"/>
    <row r="2738" customFormat="false" ht="16.5" hidden="false" customHeight="true" outlineLevel="0" collapsed="false"/>
    <row r="2739" customFormat="false" ht="16.5" hidden="false" customHeight="true" outlineLevel="0" collapsed="false"/>
    <row r="2740" customFormat="false" ht="16.5" hidden="false" customHeight="true" outlineLevel="0" collapsed="false"/>
    <row r="2741" customFormat="false" ht="16.5" hidden="false" customHeight="true" outlineLevel="0" collapsed="false"/>
    <row r="2742" customFormat="false" ht="16.5" hidden="false" customHeight="true" outlineLevel="0" collapsed="false"/>
    <row r="2743" customFormat="false" ht="16.5" hidden="false" customHeight="true" outlineLevel="0" collapsed="false"/>
    <row r="2744" customFormat="false" ht="16.5" hidden="false" customHeight="true" outlineLevel="0" collapsed="false"/>
    <row r="2745" customFormat="false" ht="16.5" hidden="false" customHeight="true" outlineLevel="0" collapsed="false"/>
    <row r="2746" customFormat="false" ht="16.5" hidden="false" customHeight="true" outlineLevel="0" collapsed="false"/>
    <row r="2747" customFormat="false" ht="16.5" hidden="false" customHeight="true" outlineLevel="0" collapsed="false"/>
    <row r="2748" customFormat="false" ht="16.5" hidden="false" customHeight="true" outlineLevel="0" collapsed="false"/>
    <row r="2749" customFormat="false" ht="16.5" hidden="false" customHeight="true" outlineLevel="0" collapsed="false"/>
    <row r="2750" customFormat="false" ht="16.5" hidden="false" customHeight="true" outlineLevel="0" collapsed="false"/>
    <row r="2751" customFormat="false" ht="16.5" hidden="false" customHeight="true" outlineLevel="0" collapsed="false"/>
    <row r="2752" customFormat="false" ht="16.5" hidden="false" customHeight="true" outlineLevel="0" collapsed="false"/>
    <row r="2753" customFormat="false" ht="16.5" hidden="false" customHeight="true" outlineLevel="0" collapsed="false"/>
    <row r="2754" customFormat="false" ht="16.5" hidden="false" customHeight="true" outlineLevel="0" collapsed="false"/>
    <row r="2755" customFormat="false" ht="16.5" hidden="false" customHeight="true" outlineLevel="0" collapsed="false"/>
    <row r="2756" customFormat="false" ht="16.5" hidden="false" customHeight="true" outlineLevel="0" collapsed="false"/>
    <row r="2757" customFormat="false" ht="16.5" hidden="false" customHeight="true" outlineLevel="0" collapsed="false"/>
    <row r="2758" customFormat="false" ht="16.5" hidden="false" customHeight="true" outlineLevel="0" collapsed="false"/>
    <row r="2759" customFormat="false" ht="16.5" hidden="false" customHeight="true" outlineLevel="0" collapsed="false"/>
    <row r="2760" customFormat="false" ht="16.5" hidden="false" customHeight="true" outlineLevel="0" collapsed="false"/>
    <row r="2761" customFormat="false" ht="16.5" hidden="false" customHeight="true" outlineLevel="0" collapsed="false"/>
    <row r="2762" customFormat="false" ht="16.5" hidden="false" customHeight="true" outlineLevel="0" collapsed="false"/>
    <row r="2763" customFormat="false" ht="16.5" hidden="false" customHeight="true" outlineLevel="0" collapsed="false"/>
    <row r="2764" customFormat="false" ht="16.5" hidden="false" customHeight="true" outlineLevel="0" collapsed="false"/>
    <row r="2765" customFormat="false" ht="16.5" hidden="false" customHeight="true" outlineLevel="0" collapsed="false"/>
    <row r="2766" customFormat="false" ht="16.5" hidden="false" customHeight="true" outlineLevel="0" collapsed="false"/>
    <row r="2767" customFormat="false" ht="16.5" hidden="false" customHeight="true" outlineLevel="0" collapsed="false"/>
    <row r="2768" customFormat="false" ht="16.5" hidden="false" customHeight="true" outlineLevel="0" collapsed="false"/>
    <row r="2769" customFormat="false" ht="16.5" hidden="false" customHeight="true" outlineLevel="0" collapsed="false"/>
    <row r="2770" customFormat="false" ht="16.5" hidden="false" customHeight="true" outlineLevel="0" collapsed="false"/>
    <row r="2771" customFormat="false" ht="16.5" hidden="false" customHeight="true" outlineLevel="0" collapsed="false"/>
    <row r="2772" customFormat="false" ht="16.5" hidden="false" customHeight="true" outlineLevel="0" collapsed="false"/>
    <row r="2773" customFormat="false" ht="16.5" hidden="false" customHeight="true" outlineLevel="0" collapsed="false"/>
    <row r="2774" customFormat="false" ht="16.5" hidden="false" customHeight="true" outlineLevel="0" collapsed="false"/>
    <row r="2775" customFormat="false" ht="16.5" hidden="false" customHeight="true" outlineLevel="0" collapsed="false"/>
    <row r="2776" customFormat="false" ht="16.5" hidden="false" customHeight="true" outlineLevel="0" collapsed="false"/>
    <row r="2777" customFormat="false" ht="16.5" hidden="false" customHeight="true" outlineLevel="0" collapsed="false"/>
    <row r="2778" customFormat="false" ht="16.5" hidden="false" customHeight="true" outlineLevel="0" collapsed="false"/>
    <row r="2779" customFormat="false" ht="16.5" hidden="false" customHeight="true" outlineLevel="0" collapsed="false"/>
    <row r="2780" customFormat="false" ht="16.5" hidden="false" customHeight="true" outlineLevel="0" collapsed="false"/>
    <row r="2781" customFormat="false" ht="16.5" hidden="false" customHeight="true" outlineLevel="0" collapsed="false"/>
    <row r="2782" customFormat="false" ht="16.5" hidden="false" customHeight="true" outlineLevel="0" collapsed="false"/>
    <row r="2783" customFormat="false" ht="16.5" hidden="false" customHeight="true" outlineLevel="0" collapsed="false"/>
    <row r="2784" customFormat="false" ht="16.5" hidden="false" customHeight="true" outlineLevel="0" collapsed="false"/>
    <row r="2785" customFormat="false" ht="16.5" hidden="false" customHeight="true" outlineLevel="0" collapsed="false"/>
    <row r="2786" customFormat="false" ht="16.5" hidden="false" customHeight="true" outlineLevel="0" collapsed="false"/>
    <row r="2787" customFormat="false" ht="16.5" hidden="false" customHeight="true" outlineLevel="0" collapsed="false"/>
    <row r="2788" customFormat="false" ht="16.5" hidden="false" customHeight="true" outlineLevel="0" collapsed="false"/>
    <row r="2789" customFormat="false" ht="16.5" hidden="false" customHeight="true" outlineLevel="0" collapsed="false"/>
    <row r="2790" customFormat="false" ht="16.5" hidden="false" customHeight="true" outlineLevel="0" collapsed="false"/>
    <row r="2791" customFormat="false" ht="16.5" hidden="false" customHeight="true" outlineLevel="0" collapsed="false"/>
    <row r="2792" customFormat="false" ht="16.5" hidden="false" customHeight="true" outlineLevel="0" collapsed="false"/>
    <row r="2793" customFormat="false" ht="16.5" hidden="false" customHeight="true" outlineLevel="0" collapsed="false"/>
    <row r="2794" customFormat="false" ht="16.5" hidden="false" customHeight="true" outlineLevel="0" collapsed="false"/>
    <row r="2795" customFormat="false" ht="16.5" hidden="false" customHeight="true" outlineLevel="0" collapsed="false"/>
    <row r="2796" customFormat="false" ht="16.5" hidden="false" customHeight="true" outlineLevel="0" collapsed="false"/>
    <row r="2797" customFormat="false" ht="16.5" hidden="false" customHeight="true" outlineLevel="0" collapsed="false"/>
    <row r="2798" customFormat="false" ht="16.5" hidden="false" customHeight="true" outlineLevel="0" collapsed="false"/>
    <row r="2799" customFormat="false" ht="16.5" hidden="false" customHeight="true" outlineLevel="0" collapsed="false"/>
    <row r="2800" customFormat="false" ht="16.5" hidden="false" customHeight="true" outlineLevel="0" collapsed="false"/>
    <row r="2801" customFormat="false" ht="16.5" hidden="false" customHeight="true" outlineLevel="0" collapsed="false"/>
    <row r="2802" customFormat="false" ht="16.5" hidden="false" customHeight="true" outlineLevel="0" collapsed="false"/>
    <row r="2803" customFormat="false" ht="16.5" hidden="false" customHeight="true" outlineLevel="0" collapsed="false"/>
    <row r="2804" customFormat="false" ht="16.5" hidden="false" customHeight="true" outlineLevel="0" collapsed="false"/>
    <row r="2805" customFormat="false" ht="16.5" hidden="false" customHeight="true" outlineLevel="0" collapsed="false"/>
    <row r="2806" customFormat="false" ht="16.5" hidden="false" customHeight="true" outlineLevel="0" collapsed="false"/>
    <row r="2807" customFormat="false" ht="16.5" hidden="false" customHeight="true" outlineLevel="0" collapsed="false"/>
    <row r="2808" customFormat="false" ht="16.5" hidden="false" customHeight="true" outlineLevel="0" collapsed="false"/>
    <row r="2809" customFormat="false" ht="16.5" hidden="false" customHeight="true" outlineLevel="0" collapsed="false"/>
    <row r="2810" customFormat="false" ht="16.5" hidden="false" customHeight="true" outlineLevel="0" collapsed="false"/>
    <row r="2811" customFormat="false" ht="16.5" hidden="false" customHeight="true" outlineLevel="0" collapsed="false"/>
    <row r="2812" customFormat="false" ht="16.5" hidden="false" customHeight="true" outlineLevel="0" collapsed="false"/>
    <row r="2813" customFormat="false" ht="16.5" hidden="false" customHeight="true" outlineLevel="0" collapsed="false"/>
    <row r="2814" customFormat="false" ht="16.5" hidden="false" customHeight="true" outlineLevel="0" collapsed="false"/>
    <row r="2815" customFormat="false" ht="16.5" hidden="false" customHeight="true" outlineLevel="0" collapsed="false"/>
    <row r="2816" customFormat="false" ht="16.5" hidden="false" customHeight="true" outlineLevel="0" collapsed="false"/>
    <row r="2817" customFormat="false" ht="16.5" hidden="false" customHeight="true" outlineLevel="0" collapsed="false"/>
    <row r="2818" customFormat="false" ht="16.5" hidden="false" customHeight="true" outlineLevel="0" collapsed="false"/>
    <row r="2819" customFormat="false" ht="16.5" hidden="false" customHeight="true" outlineLevel="0" collapsed="false"/>
    <row r="2820" customFormat="false" ht="16.5" hidden="false" customHeight="true" outlineLevel="0" collapsed="false"/>
    <row r="2821" customFormat="false" ht="16.5" hidden="false" customHeight="true" outlineLevel="0" collapsed="false"/>
    <row r="2822" customFormat="false" ht="16.5" hidden="false" customHeight="true" outlineLevel="0" collapsed="false"/>
    <row r="2823" customFormat="false" ht="16.5" hidden="false" customHeight="true" outlineLevel="0" collapsed="false"/>
    <row r="2824" customFormat="false" ht="16.5" hidden="false" customHeight="true" outlineLevel="0" collapsed="false"/>
    <row r="2825" customFormat="false" ht="16.5" hidden="false" customHeight="true" outlineLevel="0" collapsed="false"/>
    <row r="2826" customFormat="false" ht="16.5" hidden="false" customHeight="true" outlineLevel="0" collapsed="false"/>
    <row r="2827" customFormat="false" ht="16.5" hidden="false" customHeight="true" outlineLevel="0" collapsed="false"/>
    <row r="2828" customFormat="false" ht="16.5" hidden="false" customHeight="true" outlineLevel="0" collapsed="false"/>
    <row r="2829" customFormat="false" ht="16.5" hidden="false" customHeight="true" outlineLevel="0" collapsed="false"/>
    <row r="2830" customFormat="false" ht="16.5" hidden="false" customHeight="true" outlineLevel="0" collapsed="false"/>
    <row r="2831" customFormat="false" ht="16.5" hidden="false" customHeight="true" outlineLevel="0" collapsed="false"/>
    <row r="2832" customFormat="false" ht="16.5" hidden="false" customHeight="true" outlineLevel="0" collapsed="false"/>
    <row r="2833" customFormat="false" ht="16.5" hidden="false" customHeight="true" outlineLevel="0" collapsed="false"/>
    <row r="2834" customFormat="false" ht="16.5" hidden="false" customHeight="true" outlineLevel="0" collapsed="false"/>
    <row r="2835" customFormat="false" ht="16.5" hidden="false" customHeight="true" outlineLevel="0" collapsed="false"/>
    <row r="2836" customFormat="false" ht="16.5" hidden="false" customHeight="true" outlineLevel="0" collapsed="false"/>
    <row r="2837" customFormat="false" ht="16.5" hidden="false" customHeight="true" outlineLevel="0" collapsed="false"/>
    <row r="2838" customFormat="false" ht="16.5" hidden="false" customHeight="true" outlineLevel="0" collapsed="false"/>
    <row r="2839" customFormat="false" ht="16.5" hidden="false" customHeight="true" outlineLevel="0" collapsed="false"/>
    <row r="2840" customFormat="false" ht="16.5" hidden="false" customHeight="true" outlineLevel="0" collapsed="false"/>
    <row r="2841" customFormat="false" ht="16.5" hidden="false" customHeight="true" outlineLevel="0" collapsed="false"/>
    <row r="2842" customFormat="false" ht="16.5" hidden="false" customHeight="true" outlineLevel="0" collapsed="false"/>
    <row r="2843" customFormat="false" ht="16.5" hidden="false" customHeight="true" outlineLevel="0" collapsed="false"/>
    <row r="2844" customFormat="false" ht="16.5" hidden="false" customHeight="true" outlineLevel="0" collapsed="false"/>
    <row r="2845" customFormat="false" ht="16.5" hidden="false" customHeight="true" outlineLevel="0" collapsed="false"/>
    <row r="2846" customFormat="false" ht="16.5" hidden="false" customHeight="true" outlineLevel="0" collapsed="false"/>
    <row r="2847" customFormat="false" ht="16.5" hidden="false" customHeight="true" outlineLevel="0" collapsed="false"/>
    <row r="2848" customFormat="false" ht="16.5" hidden="false" customHeight="true" outlineLevel="0" collapsed="false"/>
    <row r="2849" customFormat="false" ht="16.5" hidden="false" customHeight="true" outlineLevel="0" collapsed="false"/>
    <row r="2850" customFormat="false" ht="16.5" hidden="false" customHeight="true" outlineLevel="0" collapsed="false"/>
    <row r="2851" customFormat="false" ht="16.5" hidden="false" customHeight="true" outlineLevel="0" collapsed="false"/>
    <row r="2852" customFormat="false" ht="16.5" hidden="false" customHeight="true" outlineLevel="0" collapsed="false"/>
    <row r="2853" customFormat="false" ht="16.5" hidden="false" customHeight="true" outlineLevel="0" collapsed="false"/>
    <row r="2854" customFormat="false" ht="16.5" hidden="false" customHeight="true" outlineLevel="0" collapsed="false"/>
    <row r="2855" customFormat="false" ht="16.5" hidden="false" customHeight="true" outlineLevel="0" collapsed="false"/>
    <row r="2856" customFormat="false" ht="16.5" hidden="false" customHeight="true" outlineLevel="0" collapsed="false"/>
    <row r="2857" customFormat="false" ht="16.5" hidden="false" customHeight="true" outlineLevel="0" collapsed="false"/>
    <row r="2858" customFormat="false" ht="16.5" hidden="false" customHeight="true" outlineLevel="0" collapsed="false"/>
    <row r="2859" customFormat="false" ht="16.5" hidden="false" customHeight="true" outlineLevel="0" collapsed="false"/>
    <row r="2860" customFormat="false" ht="16.5" hidden="false" customHeight="true" outlineLevel="0" collapsed="false"/>
    <row r="2861" customFormat="false" ht="16.5" hidden="false" customHeight="true" outlineLevel="0" collapsed="false"/>
    <row r="2862" customFormat="false" ht="16.5" hidden="false" customHeight="true" outlineLevel="0" collapsed="false"/>
    <row r="2863" customFormat="false" ht="16.5" hidden="false" customHeight="true" outlineLevel="0" collapsed="false"/>
    <row r="2864" customFormat="false" ht="16.5" hidden="false" customHeight="true" outlineLevel="0" collapsed="false"/>
    <row r="2865" customFormat="false" ht="16.5" hidden="false" customHeight="true" outlineLevel="0" collapsed="false"/>
    <row r="2866" customFormat="false" ht="16.5" hidden="false" customHeight="true" outlineLevel="0" collapsed="false"/>
    <row r="2867" customFormat="false" ht="16.5" hidden="false" customHeight="true" outlineLevel="0" collapsed="false"/>
    <row r="2868" customFormat="false" ht="16.5" hidden="false" customHeight="true" outlineLevel="0" collapsed="false"/>
    <row r="2869" customFormat="false" ht="16.5" hidden="false" customHeight="true" outlineLevel="0" collapsed="false"/>
    <row r="2870" customFormat="false" ht="16.5" hidden="false" customHeight="true" outlineLevel="0" collapsed="false"/>
    <row r="2871" customFormat="false" ht="16.5" hidden="false" customHeight="true" outlineLevel="0" collapsed="false"/>
    <row r="2872" customFormat="false" ht="16.5" hidden="false" customHeight="true" outlineLevel="0" collapsed="false"/>
    <row r="2873" customFormat="false" ht="16.5" hidden="false" customHeight="true" outlineLevel="0" collapsed="false"/>
    <row r="2874" customFormat="false" ht="16.5" hidden="false" customHeight="true" outlineLevel="0" collapsed="false"/>
    <row r="2875" customFormat="false" ht="16.5" hidden="false" customHeight="true" outlineLevel="0" collapsed="false"/>
    <row r="2876" customFormat="false" ht="16.5" hidden="false" customHeight="true" outlineLevel="0" collapsed="false"/>
    <row r="2877" customFormat="false" ht="16.5" hidden="false" customHeight="true" outlineLevel="0" collapsed="false"/>
    <row r="2878" customFormat="false" ht="16.5" hidden="false" customHeight="true" outlineLevel="0" collapsed="false"/>
    <row r="2879" customFormat="false" ht="16.5" hidden="false" customHeight="true" outlineLevel="0" collapsed="false"/>
    <row r="2880" customFormat="false" ht="16.5" hidden="false" customHeight="true" outlineLevel="0" collapsed="false"/>
    <row r="2881" customFormat="false" ht="16.5" hidden="false" customHeight="true" outlineLevel="0" collapsed="false"/>
    <row r="2882" customFormat="false" ht="16.5" hidden="false" customHeight="true" outlineLevel="0" collapsed="false"/>
    <row r="2883" customFormat="false" ht="16.5" hidden="false" customHeight="true" outlineLevel="0" collapsed="false"/>
    <row r="2884" customFormat="false" ht="16.5" hidden="false" customHeight="true" outlineLevel="0" collapsed="false"/>
    <row r="2885" customFormat="false" ht="16.5" hidden="false" customHeight="true" outlineLevel="0" collapsed="false"/>
    <row r="2886" customFormat="false" ht="16.5" hidden="false" customHeight="true" outlineLevel="0" collapsed="false"/>
    <row r="2887" customFormat="false" ht="16.5" hidden="false" customHeight="true" outlineLevel="0" collapsed="false"/>
    <row r="2888" customFormat="false" ht="16.5" hidden="false" customHeight="true" outlineLevel="0" collapsed="false"/>
    <row r="2889" customFormat="false" ht="16.5" hidden="false" customHeight="true" outlineLevel="0" collapsed="false"/>
    <row r="2890" customFormat="false" ht="16.5" hidden="false" customHeight="true" outlineLevel="0" collapsed="false"/>
    <row r="2891" customFormat="false" ht="16.5" hidden="false" customHeight="true" outlineLevel="0" collapsed="false"/>
    <row r="2892" customFormat="false" ht="16.5" hidden="false" customHeight="true" outlineLevel="0" collapsed="false"/>
    <row r="2893" customFormat="false" ht="16.5" hidden="false" customHeight="true" outlineLevel="0" collapsed="false"/>
    <row r="2894" customFormat="false" ht="16.5" hidden="false" customHeight="true" outlineLevel="0" collapsed="false"/>
    <row r="2895" customFormat="false" ht="16.5" hidden="false" customHeight="true" outlineLevel="0" collapsed="false"/>
    <row r="2896" customFormat="false" ht="16.5" hidden="false" customHeight="true" outlineLevel="0" collapsed="false"/>
    <row r="2897" customFormat="false" ht="16.5" hidden="false" customHeight="true" outlineLevel="0" collapsed="false"/>
    <row r="2898" customFormat="false" ht="16.5" hidden="false" customHeight="true" outlineLevel="0" collapsed="false"/>
    <row r="2899" customFormat="false" ht="16.5" hidden="false" customHeight="true" outlineLevel="0" collapsed="false"/>
    <row r="2900" customFormat="false" ht="16.5" hidden="false" customHeight="true" outlineLevel="0" collapsed="false"/>
    <row r="2901" customFormat="false" ht="16.5" hidden="false" customHeight="true" outlineLevel="0" collapsed="false"/>
    <row r="2902" customFormat="false" ht="16.5" hidden="false" customHeight="true" outlineLevel="0" collapsed="false"/>
    <row r="2903" customFormat="false" ht="16.5" hidden="false" customHeight="true" outlineLevel="0" collapsed="false"/>
    <row r="2904" customFormat="false" ht="16.5" hidden="false" customHeight="true" outlineLevel="0" collapsed="false"/>
    <row r="2905" customFormat="false" ht="16.5" hidden="false" customHeight="true" outlineLevel="0" collapsed="false"/>
    <row r="2906" customFormat="false" ht="16.5" hidden="false" customHeight="true" outlineLevel="0" collapsed="false"/>
    <row r="2907" customFormat="false" ht="16.5" hidden="false" customHeight="true" outlineLevel="0" collapsed="false"/>
    <row r="2908" customFormat="false" ht="16.5" hidden="false" customHeight="true" outlineLevel="0" collapsed="false"/>
    <row r="2909" customFormat="false" ht="16.5" hidden="false" customHeight="true" outlineLevel="0" collapsed="false"/>
    <row r="2910" customFormat="false" ht="16.5" hidden="false" customHeight="true" outlineLevel="0" collapsed="false"/>
    <row r="2911" customFormat="false" ht="16.5" hidden="false" customHeight="true" outlineLevel="0" collapsed="false"/>
    <row r="2912" customFormat="false" ht="16.5" hidden="false" customHeight="true" outlineLevel="0" collapsed="false"/>
    <row r="2913" customFormat="false" ht="16.5" hidden="false" customHeight="true" outlineLevel="0" collapsed="false"/>
    <row r="2914" customFormat="false" ht="16.5" hidden="false" customHeight="true" outlineLevel="0" collapsed="false"/>
    <row r="2915" customFormat="false" ht="16.5" hidden="false" customHeight="true" outlineLevel="0" collapsed="false"/>
    <row r="2916" customFormat="false" ht="16.5" hidden="false" customHeight="true" outlineLevel="0" collapsed="false"/>
    <row r="2917" customFormat="false" ht="16.5" hidden="false" customHeight="true" outlineLevel="0" collapsed="false"/>
    <row r="2918" customFormat="false" ht="16.5" hidden="false" customHeight="true" outlineLevel="0" collapsed="false"/>
    <row r="2919" customFormat="false" ht="16.5" hidden="false" customHeight="true" outlineLevel="0" collapsed="false"/>
    <row r="2920" customFormat="false" ht="16.5" hidden="false" customHeight="true" outlineLevel="0" collapsed="false"/>
    <row r="2921" customFormat="false" ht="16.5" hidden="false" customHeight="true" outlineLevel="0" collapsed="false"/>
    <row r="2922" customFormat="false" ht="16.5" hidden="false" customHeight="true" outlineLevel="0" collapsed="false"/>
    <row r="2923" customFormat="false" ht="16.5" hidden="false" customHeight="true" outlineLevel="0" collapsed="false"/>
    <row r="2924" customFormat="false" ht="16.5" hidden="false" customHeight="true" outlineLevel="0" collapsed="false"/>
    <row r="2925" customFormat="false" ht="16.5" hidden="false" customHeight="true" outlineLevel="0" collapsed="false"/>
    <row r="2926" customFormat="false" ht="16.5" hidden="false" customHeight="true" outlineLevel="0" collapsed="false"/>
    <row r="2927" customFormat="false" ht="16.5" hidden="false" customHeight="true" outlineLevel="0" collapsed="false"/>
    <row r="2928" customFormat="false" ht="16.5" hidden="false" customHeight="true" outlineLevel="0" collapsed="false"/>
    <row r="2929" customFormat="false" ht="16.5" hidden="false" customHeight="true" outlineLevel="0" collapsed="false"/>
    <row r="2930" customFormat="false" ht="16.5" hidden="false" customHeight="true" outlineLevel="0" collapsed="false"/>
    <row r="2931" customFormat="false" ht="16.5" hidden="false" customHeight="true" outlineLevel="0" collapsed="false"/>
    <row r="2932" customFormat="false" ht="16.5" hidden="false" customHeight="true" outlineLevel="0" collapsed="false"/>
    <row r="2933" customFormat="false" ht="16.5" hidden="false" customHeight="true" outlineLevel="0" collapsed="false"/>
    <row r="2934" customFormat="false" ht="16.5" hidden="false" customHeight="true" outlineLevel="0" collapsed="false"/>
    <row r="2935" customFormat="false" ht="16.5" hidden="false" customHeight="true" outlineLevel="0" collapsed="false"/>
    <row r="2936" customFormat="false" ht="16.5" hidden="false" customHeight="true" outlineLevel="0" collapsed="false"/>
    <row r="2937" customFormat="false" ht="16.5" hidden="false" customHeight="true" outlineLevel="0" collapsed="false"/>
    <row r="2938" customFormat="false" ht="16.5" hidden="false" customHeight="true" outlineLevel="0" collapsed="false"/>
    <row r="2939" customFormat="false" ht="16.5" hidden="false" customHeight="true" outlineLevel="0" collapsed="false"/>
    <row r="2940" customFormat="false" ht="16.5" hidden="false" customHeight="true" outlineLevel="0" collapsed="false"/>
    <row r="2941" customFormat="false" ht="16.5" hidden="false" customHeight="true" outlineLevel="0" collapsed="false"/>
    <row r="2942" customFormat="false" ht="16.5" hidden="false" customHeight="true" outlineLevel="0" collapsed="false"/>
    <row r="2943" customFormat="false" ht="16.5" hidden="false" customHeight="true" outlineLevel="0" collapsed="false"/>
    <row r="2944" customFormat="false" ht="16.5" hidden="false" customHeight="true" outlineLevel="0" collapsed="false"/>
    <row r="2945" customFormat="false" ht="16.5" hidden="false" customHeight="true" outlineLevel="0" collapsed="false"/>
    <row r="2946" customFormat="false" ht="16.5" hidden="false" customHeight="true" outlineLevel="0" collapsed="false"/>
    <row r="2947" customFormat="false" ht="16.5" hidden="false" customHeight="true" outlineLevel="0" collapsed="false"/>
    <row r="2948" customFormat="false" ht="16.5" hidden="false" customHeight="true" outlineLevel="0" collapsed="false"/>
    <row r="2949" customFormat="false" ht="16.5" hidden="false" customHeight="true" outlineLevel="0" collapsed="false"/>
    <row r="2950" customFormat="false" ht="16.5" hidden="false" customHeight="true" outlineLevel="0" collapsed="false"/>
    <row r="2951" customFormat="false" ht="16.5" hidden="false" customHeight="true" outlineLevel="0" collapsed="false"/>
    <row r="2952" customFormat="false" ht="16.5" hidden="false" customHeight="true" outlineLevel="0" collapsed="false"/>
    <row r="2953" customFormat="false" ht="16.5" hidden="false" customHeight="true" outlineLevel="0" collapsed="false"/>
    <row r="2954" customFormat="false" ht="16.5" hidden="false" customHeight="true" outlineLevel="0" collapsed="false"/>
    <row r="2955" customFormat="false" ht="16.5" hidden="false" customHeight="true" outlineLevel="0" collapsed="false"/>
    <row r="2956" customFormat="false" ht="16.5" hidden="false" customHeight="true" outlineLevel="0" collapsed="false"/>
    <row r="2957" customFormat="false" ht="16.5" hidden="false" customHeight="true" outlineLevel="0" collapsed="false"/>
    <row r="2958" customFormat="false" ht="16.5" hidden="false" customHeight="true" outlineLevel="0" collapsed="false"/>
    <row r="2959" customFormat="false" ht="16.5" hidden="false" customHeight="true" outlineLevel="0" collapsed="false"/>
    <row r="2960" customFormat="false" ht="16.5" hidden="false" customHeight="true" outlineLevel="0" collapsed="false"/>
    <row r="2961" customFormat="false" ht="16.5" hidden="false" customHeight="true" outlineLevel="0" collapsed="false"/>
    <row r="2962" customFormat="false" ht="16.5" hidden="false" customHeight="true" outlineLevel="0" collapsed="false"/>
    <row r="2963" customFormat="false" ht="16.5" hidden="false" customHeight="true" outlineLevel="0" collapsed="false"/>
    <row r="2964" customFormat="false" ht="16.5" hidden="false" customHeight="true" outlineLevel="0" collapsed="false"/>
    <row r="2965" customFormat="false" ht="16.5" hidden="false" customHeight="true" outlineLevel="0" collapsed="false"/>
    <row r="2966" customFormat="false" ht="16.5" hidden="false" customHeight="true" outlineLevel="0" collapsed="false"/>
    <row r="2967" customFormat="false" ht="16.5" hidden="false" customHeight="true" outlineLevel="0" collapsed="false"/>
    <row r="2968" customFormat="false" ht="16.5" hidden="false" customHeight="true" outlineLevel="0" collapsed="false"/>
    <row r="2969" customFormat="false" ht="16.5" hidden="false" customHeight="true" outlineLevel="0" collapsed="false"/>
    <row r="2970" customFormat="false" ht="16.5" hidden="false" customHeight="true" outlineLevel="0" collapsed="false"/>
    <row r="2971" customFormat="false" ht="16.5" hidden="false" customHeight="true" outlineLevel="0" collapsed="false"/>
    <row r="2972" customFormat="false" ht="16.5" hidden="false" customHeight="true" outlineLevel="0" collapsed="false"/>
    <row r="2973" customFormat="false" ht="16.5" hidden="false" customHeight="true" outlineLevel="0" collapsed="false"/>
    <row r="2974" customFormat="false" ht="16.5" hidden="false" customHeight="true" outlineLevel="0" collapsed="false"/>
    <row r="2975" customFormat="false" ht="16.5" hidden="false" customHeight="true" outlineLevel="0" collapsed="false"/>
    <row r="2976" customFormat="false" ht="16.5" hidden="false" customHeight="true" outlineLevel="0" collapsed="false"/>
    <row r="2977" customFormat="false" ht="16.5" hidden="false" customHeight="true" outlineLevel="0" collapsed="false"/>
    <row r="2978" customFormat="false" ht="16.5" hidden="false" customHeight="true" outlineLevel="0" collapsed="false"/>
    <row r="2979" customFormat="false" ht="16.5" hidden="false" customHeight="true" outlineLevel="0" collapsed="false"/>
    <row r="2980" customFormat="false" ht="16.5" hidden="false" customHeight="true" outlineLevel="0" collapsed="false"/>
    <row r="2981" customFormat="false" ht="16.5" hidden="false" customHeight="true" outlineLevel="0" collapsed="false"/>
    <row r="2982" customFormat="false" ht="16.5" hidden="false" customHeight="true" outlineLevel="0" collapsed="false"/>
    <row r="2983" customFormat="false" ht="16.5" hidden="false" customHeight="true" outlineLevel="0" collapsed="false"/>
    <row r="2984" customFormat="false" ht="16.5" hidden="false" customHeight="true" outlineLevel="0" collapsed="false"/>
    <row r="2985" customFormat="false" ht="16.5" hidden="false" customHeight="true" outlineLevel="0" collapsed="false"/>
    <row r="2986" customFormat="false" ht="16.5" hidden="false" customHeight="true" outlineLevel="0" collapsed="false"/>
    <row r="2987" customFormat="false" ht="16.5" hidden="false" customHeight="true" outlineLevel="0" collapsed="false"/>
    <row r="2988" customFormat="false" ht="16.5" hidden="false" customHeight="true" outlineLevel="0" collapsed="false"/>
    <row r="2989" customFormat="false" ht="16.5" hidden="false" customHeight="true" outlineLevel="0" collapsed="false"/>
    <row r="2990" customFormat="false" ht="16.5" hidden="false" customHeight="true" outlineLevel="0" collapsed="false"/>
    <row r="2991" customFormat="false" ht="16.5" hidden="false" customHeight="true" outlineLevel="0" collapsed="false"/>
    <row r="2992" customFormat="false" ht="16.5" hidden="false" customHeight="true" outlineLevel="0" collapsed="false"/>
    <row r="2993" customFormat="false" ht="16.5" hidden="false" customHeight="true" outlineLevel="0" collapsed="false"/>
    <row r="2994" customFormat="false" ht="16.5" hidden="false" customHeight="true" outlineLevel="0" collapsed="false"/>
    <row r="2995" customFormat="false" ht="16.5" hidden="false" customHeight="true" outlineLevel="0" collapsed="false"/>
    <row r="2996" customFormat="false" ht="16.5" hidden="false" customHeight="true" outlineLevel="0" collapsed="false"/>
    <row r="2997" customFormat="false" ht="16.5" hidden="false" customHeight="true" outlineLevel="0" collapsed="false"/>
    <row r="2998" customFormat="false" ht="16.5" hidden="false" customHeight="true" outlineLevel="0" collapsed="false"/>
    <row r="2999" customFormat="false" ht="16.5" hidden="false" customHeight="true" outlineLevel="0" collapsed="false"/>
    <row r="3000" customFormat="false" ht="16.5" hidden="false" customHeight="true" outlineLevel="0" collapsed="false"/>
    <row r="3001" customFormat="false" ht="16.5" hidden="false" customHeight="true" outlineLevel="0" collapsed="false"/>
    <row r="3002" customFormat="false" ht="16.5" hidden="false" customHeight="true" outlineLevel="0" collapsed="false"/>
    <row r="3003" customFormat="false" ht="16.5" hidden="false" customHeight="true" outlineLevel="0" collapsed="false"/>
    <row r="3004" customFormat="false" ht="16.5" hidden="false" customHeight="true" outlineLevel="0" collapsed="false"/>
    <row r="3005" customFormat="false" ht="16.5" hidden="false" customHeight="true" outlineLevel="0" collapsed="false"/>
    <row r="3006" customFormat="false" ht="16.5" hidden="false" customHeight="true" outlineLevel="0" collapsed="false"/>
    <row r="3007" customFormat="false" ht="16.5" hidden="false" customHeight="true" outlineLevel="0" collapsed="false"/>
    <row r="3008" customFormat="false" ht="16.5" hidden="false" customHeight="true" outlineLevel="0" collapsed="false"/>
    <row r="3009" customFormat="false" ht="16.5" hidden="false" customHeight="true" outlineLevel="0" collapsed="false"/>
    <row r="3010" customFormat="false" ht="16.5" hidden="false" customHeight="true" outlineLevel="0" collapsed="false"/>
    <row r="3011" customFormat="false" ht="16.5" hidden="false" customHeight="true" outlineLevel="0" collapsed="false"/>
    <row r="3012" customFormat="false" ht="16.5" hidden="false" customHeight="true" outlineLevel="0" collapsed="false"/>
    <row r="3013" customFormat="false" ht="16.5" hidden="false" customHeight="true" outlineLevel="0" collapsed="false"/>
    <row r="3014" customFormat="false" ht="16.5" hidden="false" customHeight="true" outlineLevel="0" collapsed="false"/>
    <row r="3015" customFormat="false" ht="16.5" hidden="false" customHeight="true" outlineLevel="0" collapsed="false"/>
    <row r="3016" customFormat="false" ht="16.5" hidden="false" customHeight="true" outlineLevel="0" collapsed="false"/>
    <row r="3017" customFormat="false" ht="16.5" hidden="false" customHeight="true" outlineLevel="0" collapsed="false"/>
    <row r="3018" customFormat="false" ht="16.5" hidden="false" customHeight="true" outlineLevel="0" collapsed="false"/>
    <row r="3019" customFormat="false" ht="16.5" hidden="false" customHeight="true" outlineLevel="0" collapsed="false"/>
    <row r="3020" customFormat="false" ht="16.5" hidden="false" customHeight="true" outlineLevel="0" collapsed="false"/>
    <row r="3021" customFormat="false" ht="16.5" hidden="false" customHeight="true" outlineLevel="0" collapsed="false"/>
    <row r="3022" customFormat="false" ht="16.5" hidden="false" customHeight="true" outlineLevel="0" collapsed="false"/>
    <row r="3023" customFormat="false" ht="16.5" hidden="false" customHeight="true" outlineLevel="0" collapsed="false"/>
    <row r="3024" customFormat="false" ht="16.5" hidden="false" customHeight="true" outlineLevel="0" collapsed="false"/>
    <row r="3025" customFormat="false" ht="16.5" hidden="false" customHeight="true" outlineLevel="0" collapsed="false"/>
    <row r="3026" customFormat="false" ht="16.5" hidden="false" customHeight="true" outlineLevel="0" collapsed="false"/>
    <row r="3027" customFormat="false" ht="16.5" hidden="false" customHeight="true" outlineLevel="0" collapsed="false"/>
    <row r="3028" customFormat="false" ht="16.5" hidden="false" customHeight="true" outlineLevel="0" collapsed="false"/>
    <row r="3029" customFormat="false" ht="16.5" hidden="false" customHeight="true" outlineLevel="0" collapsed="false"/>
    <row r="3030" customFormat="false" ht="16.5" hidden="false" customHeight="true" outlineLevel="0" collapsed="false"/>
    <row r="3031" customFormat="false" ht="16.5" hidden="false" customHeight="true" outlineLevel="0" collapsed="false"/>
    <row r="3032" customFormat="false" ht="16.5" hidden="false" customHeight="true" outlineLevel="0" collapsed="false"/>
    <row r="3033" customFormat="false" ht="16.5" hidden="false" customHeight="true" outlineLevel="0" collapsed="false"/>
    <row r="3034" customFormat="false" ht="16.5" hidden="false" customHeight="true" outlineLevel="0" collapsed="false"/>
    <row r="3035" customFormat="false" ht="16.5" hidden="false" customHeight="true" outlineLevel="0" collapsed="false"/>
    <row r="3036" customFormat="false" ht="16.5" hidden="false" customHeight="true" outlineLevel="0" collapsed="false"/>
    <row r="3037" customFormat="false" ht="16.5" hidden="false" customHeight="true" outlineLevel="0" collapsed="false"/>
    <row r="3038" customFormat="false" ht="16.5" hidden="false" customHeight="true" outlineLevel="0" collapsed="false"/>
    <row r="3039" customFormat="false" ht="16.5" hidden="false" customHeight="true" outlineLevel="0" collapsed="false"/>
    <row r="3040" customFormat="false" ht="16.5" hidden="false" customHeight="true" outlineLevel="0" collapsed="false"/>
    <row r="3041" customFormat="false" ht="16.5" hidden="false" customHeight="true" outlineLevel="0" collapsed="false"/>
    <row r="3042" customFormat="false" ht="16.5" hidden="false" customHeight="true" outlineLevel="0" collapsed="false"/>
    <row r="3043" customFormat="false" ht="16.5" hidden="false" customHeight="true" outlineLevel="0" collapsed="false"/>
    <row r="3044" customFormat="false" ht="16.5" hidden="false" customHeight="true" outlineLevel="0" collapsed="false"/>
    <row r="3045" customFormat="false" ht="16.5" hidden="false" customHeight="true" outlineLevel="0" collapsed="false"/>
    <row r="3046" customFormat="false" ht="16.5" hidden="false" customHeight="true" outlineLevel="0" collapsed="false"/>
    <row r="3047" customFormat="false" ht="16.5" hidden="false" customHeight="true" outlineLevel="0" collapsed="false"/>
    <row r="3048" customFormat="false" ht="16.5" hidden="false" customHeight="true" outlineLevel="0" collapsed="false"/>
    <row r="3049" customFormat="false" ht="16.5" hidden="false" customHeight="true" outlineLevel="0" collapsed="false"/>
    <row r="3050" customFormat="false" ht="16.5" hidden="false" customHeight="true" outlineLevel="0" collapsed="false"/>
    <row r="3051" customFormat="false" ht="16.5" hidden="false" customHeight="true" outlineLevel="0" collapsed="false"/>
    <row r="3052" customFormat="false" ht="16.5" hidden="false" customHeight="true" outlineLevel="0" collapsed="false"/>
    <row r="3053" customFormat="false" ht="16.5" hidden="false" customHeight="true" outlineLevel="0" collapsed="false"/>
    <row r="3054" customFormat="false" ht="16.5" hidden="false" customHeight="true" outlineLevel="0" collapsed="false"/>
    <row r="3055" customFormat="false" ht="16.5" hidden="false" customHeight="true" outlineLevel="0" collapsed="false"/>
    <row r="3056" customFormat="false" ht="16.5" hidden="false" customHeight="true" outlineLevel="0" collapsed="false"/>
    <row r="3057" customFormat="false" ht="16.5" hidden="false" customHeight="true" outlineLevel="0" collapsed="false"/>
    <row r="3058" customFormat="false" ht="16.5" hidden="false" customHeight="true" outlineLevel="0" collapsed="false"/>
    <row r="3059" customFormat="false" ht="16.5" hidden="false" customHeight="true" outlineLevel="0" collapsed="false"/>
    <row r="3060" customFormat="false" ht="16.5" hidden="false" customHeight="true" outlineLevel="0" collapsed="false"/>
    <row r="3061" customFormat="false" ht="16.5" hidden="false" customHeight="true" outlineLevel="0" collapsed="false"/>
    <row r="3062" customFormat="false" ht="16.5" hidden="false" customHeight="true" outlineLevel="0" collapsed="false"/>
    <row r="3063" customFormat="false" ht="16.5" hidden="false" customHeight="true" outlineLevel="0" collapsed="false"/>
    <row r="3064" customFormat="false" ht="16.5" hidden="false" customHeight="true" outlineLevel="0" collapsed="false"/>
    <row r="3065" customFormat="false" ht="16.5" hidden="false" customHeight="true" outlineLevel="0" collapsed="false"/>
    <row r="3066" customFormat="false" ht="16.5" hidden="false" customHeight="true" outlineLevel="0" collapsed="false"/>
    <row r="3067" customFormat="false" ht="16.5" hidden="false" customHeight="true" outlineLevel="0" collapsed="false"/>
    <row r="3068" customFormat="false" ht="16.5" hidden="false" customHeight="true" outlineLevel="0" collapsed="false"/>
    <row r="3069" customFormat="false" ht="16.5" hidden="false" customHeight="true" outlineLevel="0" collapsed="false"/>
    <row r="3070" customFormat="false" ht="16.5" hidden="false" customHeight="true" outlineLevel="0" collapsed="false"/>
    <row r="3071" customFormat="false" ht="16.5" hidden="false" customHeight="true" outlineLevel="0" collapsed="false"/>
    <row r="3072" customFormat="false" ht="16.5" hidden="false" customHeight="true" outlineLevel="0" collapsed="false"/>
    <row r="3073" customFormat="false" ht="16.5" hidden="false" customHeight="true" outlineLevel="0" collapsed="false"/>
    <row r="3074" customFormat="false" ht="16.5" hidden="false" customHeight="true" outlineLevel="0" collapsed="false"/>
    <row r="3075" customFormat="false" ht="16.5" hidden="false" customHeight="true" outlineLevel="0" collapsed="false"/>
    <row r="3076" customFormat="false" ht="16.5" hidden="false" customHeight="true" outlineLevel="0" collapsed="false"/>
    <row r="3077" customFormat="false" ht="16.5" hidden="false" customHeight="true" outlineLevel="0" collapsed="false"/>
    <row r="3078" customFormat="false" ht="16.5" hidden="false" customHeight="true" outlineLevel="0" collapsed="false"/>
    <row r="3079" customFormat="false" ht="16.5" hidden="false" customHeight="true" outlineLevel="0" collapsed="false"/>
    <row r="3080" customFormat="false" ht="16.5" hidden="false" customHeight="true" outlineLevel="0" collapsed="false"/>
    <row r="3081" customFormat="false" ht="16.5" hidden="false" customHeight="true" outlineLevel="0" collapsed="false"/>
    <row r="3082" customFormat="false" ht="16.5" hidden="false" customHeight="true" outlineLevel="0" collapsed="false"/>
    <row r="3083" customFormat="false" ht="16.5" hidden="false" customHeight="true" outlineLevel="0" collapsed="false"/>
    <row r="3084" customFormat="false" ht="16.5" hidden="false" customHeight="true" outlineLevel="0" collapsed="false"/>
    <row r="3085" customFormat="false" ht="16.5" hidden="false" customHeight="true" outlineLevel="0" collapsed="false"/>
    <row r="3086" customFormat="false" ht="16.5" hidden="false" customHeight="true" outlineLevel="0" collapsed="false"/>
    <row r="3087" customFormat="false" ht="16.5" hidden="false" customHeight="true" outlineLevel="0" collapsed="false"/>
    <row r="3088" customFormat="false" ht="16.5" hidden="false" customHeight="true" outlineLevel="0" collapsed="false"/>
    <row r="3089" customFormat="false" ht="16.5" hidden="false" customHeight="true" outlineLevel="0" collapsed="false"/>
    <row r="3090" customFormat="false" ht="16.5" hidden="false" customHeight="true" outlineLevel="0" collapsed="false"/>
    <row r="3091" customFormat="false" ht="16.5" hidden="false" customHeight="true" outlineLevel="0" collapsed="false"/>
    <row r="3092" customFormat="false" ht="16.5" hidden="false" customHeight="true" outlineLevel="0" collapsed="false"/>
    <row r="3093" customFormat="false" ht="16.5" hidden="false" customHeight="true" outlineLevel="0" collapsed="false"/>
    <row r="3094" customFormat="false" ht="16.5" hidden="false" customHeight="true" outlineLevel="0" collapsed="false"/>
    <row r="3095" customFormat="false" ht="16.5" hidden="false" customHeight="true" outlineLevel="0" collapsed="false"/>
    <row r="3096" customFormat="false" ht="16.5" hidden="false" customHeight="true" outlineLevel="0" collapsed="false"/>
    <row r="3097" customFormat="false" ht="16.5" hidden="false" customHeight="true" outlineLevel="0" collapsed="false"/>
    <row r="3098" customFormat="false" ht="16.5" hidden="false" customHeight="true" outlineLevel="0" collapsed="false"/>
    <row r="3099" customFormat="false" ht="16.5" hidden="false" customHeight="true" outlineLevel="0" collapsed="false"/>
    <row r="3100" customFormat="false" ht="16.5" hidden="false" customHeight="true" outlineLevel="0" collapsed="false"/>
    <row r="3101" customFormat="false" ht="16.5" hidden="false" customHeight="true" outlineLevel="0" collapsed="false"/>
    <row r="3102" customFormat="false" ht="16.5" hidden="false" customHeight="true" outlineLevel="0" collapsed="false"/>
    <row r="3103" customFormat="false" ht="16.5" hidden="false" customHeight="true" outlineLevel="0" collapsed="false"/>
    <row r="3104" customFormat="false" ht="16.5" hidden="false" customHeight="true" outlineLevel="0" collapsed="false"/>
    <row r="3105" customFormat="false" ht="16.5" hidden="false" customHeight="true" outlineLevel="0" collapsed="false"/>
    <row r="3106" customFormat="false" ht="16.5" hidden="false" customHeight="true" outlineLevel="0" collapsed="false"/>
    <row r="3107" customFormat="false" ht="16.5" hidden="false" customHeight="true" outlineLevel="0" collapsed="false"/>
    <row r="3108" customFormat="false" ht="16.5" hidden="false" customHeight="true" outlineLevel="0" collapsed="false"/>
    <row r="3109" customFormat="false" ht="16.5" hidden="false" customHeight="true" outlineLevel="0" collapsed="false"/>
    <row r="3110" customFormat="false" ht="16.5" hidden="false" customHeight="true" outlineLevel="0" collapsed="false"/>
    <row r="3111" customFormat="false" ht="16.5" hidden="false" customHeight="true" outlineLevel="0" collapsed="false"/>
    <row r="3112" customFormat="false" ht="16.5" hidden="false" customHeight="true" outlineLevel="0" collapsed="false"/>
    <row r="3113" customFormat="false" ht="16.5" hidden="false" customHeight="true" outlineLevel="0" collapsed="false"/>
    <row r="3114" customFormat="false" ht="16.5" hidden="false" customHeight="true" outlineLevel="0" collapsed="false"/>
    <row r="3115" customFormat="false" ht="16.5" hidden="false" customHeight="true" outlineLevel="0" collapsed="false"/>
    <row r="3116" customFormat="false" ht="16.5" hidden="false" customHeight="true" outlineLevel="0" collapsed="false"/>
    <row r="3117" customFormat="false" ht="16.5" hidden="false" customHeight="true" outlineLevel="0" collapsed="false"/>
    <row r="3118" customFormat="false" ht="16.5" hidden="false" customHeight="true" outlineLevel="0" collapsed="false"/>
    <row r="3119" customFormat="false" ht="16.5" hidden="false" customHeight="true" outlineLevel="0" collapsed="false"/>
    <row r="3120" customFormat="false" ht="16.5" hidden="false" customHeight="true" outlineLevel="0" collapsed="false"/>
    <row r="3121" customFormat="false" ht="16.5" hidden="false" customHeight="true" outlineLevel="0" collapsed="false"/>
    <row r="3122" customFormat="false" ht="16.5" hidden="false" customHeight="true" outlineLevel="0" collapsed="false"/>
    <row r="3123" customFormat="false" ht="16.5" hidden="false" customHeight="true" outlineLevel="0" collapsed="false"/>
    <row r="3124" customFormat="false" ht="16.5" hidden="false" customHeight="true" outlineLevel="0" collapsed="false"/>
    <row r="3125" customFormat="false" ht="16.5" hidden="false" customHeight="true" outlineLevel="0" collapsed="false"/>
    <row r="3126" customFormat="false" ht="16.5" hidden="false" customHeight="true" outlineLevel="0" collapsed="false"/>
    <row r="3127" customFormat="false" ht="16.5" hidden="false" customHeight="true" outlineLevel="0" collapsed="false"/>
    <row r="3128" customFormat="false" ht="16.5" hidden="false" customHeight="true" outlineLevel="0" collapsed="false"/>
    <row r="3129" customFormat="false" ht="16.5" hidden="false" customHeight="true" outlineLevel="0" collapsed="false"/>
    <row r="3130" customFormat="false" ht="16.5" hidden="false" customHeight="true" outlineLevel="0" collapsed="false"/>
    <row r="3131" customFormat="false" ht="16.5" hidden="false" customHeight="true" outlineLevel="0" collapsed="false"/>
    <row r="3132" customFormat="false" ht="16.5" hidden="false" customHeight="true" outlineLevel="0" collapsed="false"/>
    <row r="3133" customFormat="false" ht="16.5" hidden="false" customHeight="true" outlineLevel="0" collapsed="false"/>
    <row r="3134" customFormat="false" ht="16.5" hidden="false" customHeight="true" outlineLevel="0" collapsed="false"/>
    <row r="3135" customFormat="false" ht="16.5" hidden="false" customHeight="true" outlineLevel="0" collapsed="false"/>
    <row r="3136" customFormat="false" ht="16.5" hidden="false" customHeight="true" outlineLevel="0" collapsed="false"/>
    <row r="3137" customFormat="false" ht="16.5" hidden="false" customHeight="true" outlineLevel="0" collapsed="false"/>
    <row r="3138" customFormat="false" ht="16.5" hidden="false" customHeight="true" outlineLevel="0" collapsed="false"/>
    <row r="3139" customFormat="false" ht="16.5" hidden="false" customHeight="true" outlineLevel="0" collapsed="false"/>
    <row r="3140" customFormat="false" ht="16.5" hidden="false" customHeight="true" outlineLevel="0" collapsed="false"/>
    <row r="3141" customFormat="false" ht="16.5" hidden="false" customHeight="true" outlineLevel="0" collapsed="false"/>
    <row r="3142" customFormat="false" ht="16.5" hidden="false" customHeight="true" outlineLevel="0" collapsed="false"/>
    <row r="3143" customFormat="false" ht="16.5" hidden="false" customHeight="true" outlineLevel="0" collapsed="false"/>
    <row r="3144" customFormat="false" ht="16.5" hidden="false" customHeight="true" outlineLevel="0" collapsed="false"/>
    <row r="3145" customFormat="false" ht="16.5" hidden="false" customHeight="true" outlineLevel="0" collapsed="false"/>
    <row r="3146" customFormat="false" ht="16.5" hidden="false" customHeight="true" outlineLevel="0" collapsed="false"/>
    <row r="3147" customFormat="false" ht="16.5" hidden="false" customHeight="true" outlineLevel="0" collapsed="false"/>
    <row r="3148" customFormat="false" ht="16.5" hidden="false" customHeight="true" outlineLevel="0" collapsed="false"/>
    <row r="3149" customFormat="false" ht="16.5" hidden="false" customHeight="true" outlineLevel="0" collapsed="false"/>
    <row r="3150" customFormat="false" ht="16.5" hidden="false" customHeight="true" outlineLevel="0" collapsed="false"/>
    <row r="3151" customFormat="false" ht="16.5" hidden="false" customHeight="true" outlineLevel="0" collapsed="false"/>
    <row r="3152" customFormat="false" ht="16.5" hidden="false" customHeight="true" outlineLevel="0" collapsed="false"/>
    <row r="3153" customFormat="false" ht="16.5" hidden="false" customHeight="true" outlineLevel="0" collapsed="false"/>
    <row r="3154" customFormat="false" ht="16.5" hidden="false" customHeight="true" outlineLevel="0" collapsed="false"/>
    <row r="3155" customFormat="false" ht="16.5" hidden="false" customHeight="true" outlineLevel="0" collapsed="false"/>
    <row r="3156" customFormat="false" ht="16.5" hidden="false" customHeight="true" outlineLevel="0" collapsed="false"/>
    <row r="3157" customFormat="false" ht="16.5" hidden="false" customHeight="true" outlineLevel="0" collapsed="false"/>
    <row r="3158" customFormat="false" ht="16.5" hidden="false" customHeight="true" outlineLevel="0" collapsed="false"/>
    <row r="3159" customFormat="false" ht="16.5" hidden="false" customHeight="true" outlineLevel="0" collapsed="false"/>
    <row r="3160" customFormat="false" ht="16.5" hidden="false" customHeight="true" outlineLevel="0" collapsed="false"/>
    <row r="3161" customFormat="false" ht="16.5" hidden="false" customHeight="true" outlineLevel="0" collapsed="false"/>
    <row r="3162" customFormat="false" ht="16.5" hidden="false" customHeight="true" outlineLevel="0" collapsed="false"/>
    <row r="3163" customFormat="false" ht="16.5" hidden="false" customHeight="true" outlineLevel="0" collapsed="false"/>
    <row r="3164" customFormat="false" ht="16.5" hidden="false" customHeight="true" outlineLevel="0" collapsed="false"/>
    <row r="3165" customFormat="false" ht="16.5" hidden="false" customHeight="true" outlineLevel="0" collapsed="false"/>
    <row r="3166" customFormat="false" ht="16.5" hidden="false" customHeight="true" outlineLevel="0" collapsed="false"/>
    <row r="3167" customFormat="false" ht="16.5" hidden="false" customHeight="true" outlineLevel="0" collapsed="false"/>
    <row r="3168" customFormat="false" ht="16.5" hidden="false" customHeight="true" outlineLevel="0" collapsed="false"/>
    <row r="3169" customFormat="false" ht="16.5" hidden="false" customHeight="true" outlineLevel="0" collapsed="false"/>
    <row r="3170" customFormat="false" ht="16.5" hidden="false" customHeight="true" outlineLevel="0" collapsed="false"/>
    <row r="3171" customFormat="false" ht="16.5" hidden="false" customHeight="true" outlineLevel="0" collapsed="false"/>
    <row r="3172" customFormat="false" ht="16.5" hidden="false" customHeight="true" outlineLevel="0" collapsed="false"/>
    <row r="3173" customFormat="false" ht="16.5" hidden="false" customHeight="true" outlineLevel="0" collapsed="false"/>
    <row r="3174" customFormat="false" ht="16.5" hidden="false" customHeight="true" outlineLevel="0" collapsed="false"/>
    <row r="3175" customFormat="false" ht="16.5" hidden="false" customHeight="true" outlineLevel="0" collapsed="false"/>
    <row r="3176" customFormat="false" ht="16.5" hidden="false" customHeight="true" outlineLevel="0" collapsed="false"/>
    <row r="3177" customFormat="false" ht="16.5" hidden="false" customHeight="true" outlineLevel="0" collapsed="false"/>
    <row r="3178" customFormat="false" ht="16.5" hidden="false" customHeight="true" outlineLevel="0" collapsed="false"/>
    <row r="3179" customFormat="false" ht="16.5" hidden="false" customHeight="true" outlineLevel="0" collapsed="false"/>
    <row r="3180" customFormat="false" ht="16.5" hidden="false" customHeight="true" outlineLevel="0" collapsed="false"/>
    <row r="1044421" customFormat="false" ht="12.75" hidden="false" customHeight="true" outlineLevel="0" collapsed="false"/>
    <row r="1044422" customFormat="false" ht="12.75" hidden="false" customHeight="true" outlineLevel="0" collapsed="false"/>
    <row r="1044423" customFormat="false" ht="12.75" hidden="false" customHeight="true" outlineLevel="0" collapsed="false"/>
    <row r="1044424" customFormat="false" ht="12.75" hidden="false" customHeight="true" outlineLevel="0" collapsed="false"/>
    <row r="1044425" customFormat="false" ht="12.75" hidden="false" customHeight="true" outlineLevel="0" collapsed="false"/>
    <row r="1044426" customFormat="false" ht="12.75" hidden="false" customHeight="true" outlineLevel="0" collapsed="false"/>
    <row r="1044427" customFormat="false" ht="12.75" hidden="false" customHeight="true" outlineLevel="0" collapsed="false"/>
    <row r="1044428" customFormat="false" ht="12.75" hidden="false" customHeight="true" outlineLevel="0" collapsed="false"/>
    <row r="1044429" customFormat="false" ht="12.75" hidden="false" customHeight="true" outlineLevel="0" collapsed="false"/>
    <row r="1044430" customFormat="false" ht="12.75" hidden="false" customHeight="true" outlineLevel="0" collapsed="false"/>
    <row r="1044431" customFormat="false" ht="12.75" hidden="false" customHeight="true" outlineLevel="0" collapsed="false"/>
    <row r="1044432" customFormat="false" ht="12.75" hidden="false" customHeight="true" outlineLevel="0" collapsed="false"/>
    <row r="1044433" customFormat="false" ht="12.75" hidden="false" customHeight="true" outlineLevel="0" collapsed="false"/>
    <row r="1044434" customFormat="false" ht="12.75" hidden="false" customHeight="true" outlineLevel="0" collapsed="false"/>
    <row r="1044435" customFormat="false" ht="12.75" hidden="false" customHeight="true" outlineLevel="0" collapsed="false"/>
    <row r="1044436" customFormat="false" ht="12.75" hidden="false" customHeight="true" outlineLevel="0" collapsed="false"/>
    <row r="1044437" customFormat="false" ht="12.75" hidden="false" customHeight="true" outlineLevel="0" collapsed="false"/>
    <row r="1044438" customFormat="false" ht="12.75" hidden="false" customHeight="true" outlineLevel="0" collapsed="false"/>
    <row r="1044439" customFormat="false" ht="12.75" hidden="false" customHeight="true" outlineLevel="0" collapsed="false"/>
    <row r="1044440" customFormat="false" ht="12.75" hidden="false" customHeight="true" outlineLevel="0" collapsed="false"/>
    <row r="1044441" customFormat="false" ht="12.75" hidden="false" customHeight="true" outlineLevel="0" collapsed="false"/>
    <row r="1044442" customFormat="false" ht="12.75" hidden="false" customHeight="true" outlineLevel="0" collapsed="false"/>
    <row r="1044443" customFormat="false" ht="12.75" hidden="false" customHeight="true" outlineLevel="0" collapsed="false"/>
    <row r="1044444" customFormat="false" ht="12.75" hidden="false" customHeight="true" outlineLevel="0" collapsed="false"/>
    <row r="1044445" customFormat="false" ht="12.75" hidden="false" customHeight="true" outlineLevel="0" collapsed="false"/>
    <row r="1044446" customFormat="false" ht="12.75" hidden="false" customHeight="true" outlineLevel="0" collapsed="false"/>
    <row r="1044447" customFormat="false" ht="12.75" hidden="false" customHeight="true" outlineLevel="0" collapsed="false"/>
    <row r="1044448" customFormat="false" ht="12.75" hidden="false" customHeight="true" outlineLevel="0" collapsed="false"/>
    <row r="1044449" customFormat="false" ht="12.75" hidden="false" customHeight="true" outlineLevel="0" collapsed="false"/>
    <row r="1044450" customFormat="false" ht="12.75" hidden="false" customHeight="true" outlineLevel="0" collapsed="false"/>
    <row r="1044451" customFormat="false" ht="12.75" hidden="false" customHeight="true" outlineLevel="0" collapsed="false"/>
    <row r="1044452" customFormat="false" ht="12.75" hidden="false" customHeight="true" outlineLevel="0" collapsed="false"/>
    <row r="1044453" customFormat="false" ht="12.75" hidden="false" customHeight="true" outlineLevel="0" collapsed="false"/>
    <row r="1044454" customFormat="false" ht="12.75" hidden="false" customHeight="true" outlineLevel="0" collapsed="false"/>
    <row r="1044455" customFormat="false" ht="12.75" hidden="false" customHeight="true" outlineLevel="0" collapsed="false"/>
    <row r="1044456" customFormat="false" ht="12.75" hidden="false" customHeight="true" outlineLevel="0" collapsed="false"/>
    <row r="1044457" customFormat="false" ht="12.75" hidden="false" customHeight="true" outlineLevel="0" collapsed="false"/>
    <row r="1044458" customFormat="false" ht="12.75" hidden="false" customHeight="true" outlineLevel="0" collapsed="false"/>
    <row r="1044459" customFormat="false" ht="12.75" hidden="false" customHeight="true" outlineLevel="0" collapsed="false"/>
    <row r="1044460" customFormat="false" ht="12.75" hidden="false" customHeight="true" outlineLevel="0" collapsed="false"/>
    <row r="1044461" customFormat="false" ht="12.75" hidden="false" customHeight="true" outlineLevel="0" collapsed="false"/>
    <row r="1044462" customFormat="false" ht="12.75" hidden="false" customHeight="true" outlineLevel="0" collapsed="false"/>
    <row r="1044463" customFormat="false" ht="12.75" hidden="false" customHeight="true" outlineLevel="0" collapsed="false"/>
    <row r="1044464" customFormat="false" ht="12.75" hidden="false" customHeight="true" outlineLevel="0" collapsed="false"/>
    <row r="1044465" customFormat="false" ht="12.75" hidden="false" customHeight="true" outlineLevel="0" collapsed="false"/>
    <row r="1044466" customFormat="false" ht="12.75" hidden="false" customHeight="true" outlineLevel="0" collapsed="false"/>
    <row r="1044467" customFormat="false" ht="12.75" hidden="false" customHeight="true" outlineLevel="0" collapsed="false"/>
    <row r="1044468" customFormat="false" ht="12.75" hidden="false" customHeight="true" outlineLevel="0" collapsed="false"/>
    <row r="1044469" customFormat="false" ht="12.75" hidden="false" customHeight="true" outlineLevel="0" collapsed="false"/>
    <row r="1044470" customFormat="false" ht="12.75" hidden="false" customHeight="true" outlineLevel="0" collapsed="false"/>
    <row r="1044471" customFormat="false" ht="12.75" hidden="false" customHeight="true" outlineLevel="0" collapsed="false"/>
    <row r="1044472" customFormat="false" ht="12.75" hidden="false" customHeight="true" outlineLevel="0" collapsed="false"/>
    <row r="1044473" customFormat="false" ht="12.75" hidden="false" customHeight="true" outlineLevel="0" collapsed="false"/>
    <row r="1044474" customFormat="false" ht="12.75" hidden="false" customHeight="true" outlineLevel="0" collapsed="false"/>
    <row r="1044475" customFormat="false" ht="12.75" hidden="false" customHeight="true" outlineLevel="0" collapsed="false"/>
    <row r="1044476" customFormat="false" ht="12.75" hidden="false" customHeight="true" outlineLevel="0" collapsed="false"/>
    <row r="1044477" customFormat="false" ht="12.75" hidden="false" customHeight="true" outlineLevel="0" collapsed="false"/>
    <row r="1044478" customFormat="false" ht="12.75" hidden="false" customHeight="true" outlineLevel="0" collapsed="false"/>
    <row r="1044479" customFormat="false" ht="12.75" hidden="false" customHeight="true" outlineLevel="0" collapsed="false"/>
    <row r="1044480" customFormat="false" ht="12.75" hidden="false" customHeight="true" outlineLevel="0" collapsed="false"/>
    <row r="1044481" customFormat="false" ht="12.75" hidden="false" customHeight="true" outlineLevel="0" collapsed="false"/>
    <row r="1044482" customFormat="false" ht="12.75" hidden="false" customHeight="true" outlineLevel="0" collapsed="false"/>
    <row r="1044483" customFormat="false" ht="12.75" hidden="false" customHeight="true" outlineLevel="0" collapsed="false"/>
    <row r="1044484" customFormat="false" ht="12.75" hidden="false" customHeight="true" outlineLevel="0" collapsed="false"/>
    <row r="1044485" customFormat="false" ht="12.75" hidden="false" customHeight="true" outlineLevel="0" collapsed="false"/>
    <row r="1044486" customFormat="false" ht="12.75" hidden="false" customHeight="true" outlineLevel="0" collapsed="false"/>
    <row r="1044487" customFormat="false" ht="12.75" hidden="false" customHeight="true" outlineLevel="0" collapsed="false"/>
    <row r="1044488" customFormat="false" ht="12.75" hidden="false" customHeight="true" outlineLevel="0" collapsed="false"/>
    <row r="1044489" customFormat="false" ht="12.75" hidden="false" customHeight="true" outlineLevel="0" collapsed="false"/>
    <row r="1044490" customFormat="false" ht="12.75" hidden="false" customHeight="true" outlineLevel="0" collapsed="false"/>
    <row r="1044491" customFormat="false" ht="12.75" hidden="false" customHeight="true" outlineLevel="0" collapsed="false"/>
    <row r="1044492" customFormat="false" ht="12.75" hidden="false" customHeight="true" outlineLevel="0" collapsed="false"/>
    <row r="1044493" customFormat="false" ht="12.75" hidden="false" customHeight="true" outlineLevel="0" collapsed="false"/>
    <row r="1044494" customFormat="false" ht="12.75" hidden="false" customHeight="true" outlineLevel="0" collapsed="false"/>
    <row r="1044495" customFormat="false" ht="12.75" hidden="false" customHeight="true" outlineLevel="0" collapsed="false"/>
    <row r="1044496" customFormat="false" ht="12.75" hidden="false" customHeight="true" outlineLevel="0" collapsed="false"/>
    <row r="1044497" customFormat="false" ht="12.75" hidden="false" customHeight="true" outlineLevel="0" collapsed="false"/>
    <row r="1044498" customFormat="false" ht="12.75" hidden="false" customHeight="true" outlineLevel="0" collapsed="false"/>
    <row r="1044499" customFormat="false" ht="12.75" hidden="false" customHeight="true" outlineLevel="0" collapsed="false"/>
    <row r="1044500" customFormat="false" ht="12.75" hidden="false" customHeight="true" outlineLevel="0" collapsed="false"/>
    <row r="1044501" customFormat="false" ht="12.75" hidden="false" customHeight="true" outlineLevel="0" collapsed="false"/>
    <row r="1044502" customFormat="false" ht="12.75" hidden="false" customHeight="true" outlineLevel="0" collapsed="false"/>
    <row r="1044503" customFormat="false" ht="12.75" hidden="false" customHeight="true" outlineLevel="0" collapsed="false"/>
    <row r="1044504" customFormat="false" ht="12.75" hidden="false" customHeight="true" outlineLevel="0" collapsed="false"/>
    <row r="1044505" customFormat="false" ht="12.75" hidden="false" customHeight="true" outlineLevel="0" collapsed="false"/>
    <row r="1044506" customFormat="false" ht="12.75" hidden="false" customHeight="true" outlineLevel="0" collapsed="false"/>
    <row r="1044507" customFormat="false" ht="12.75" hidden="false" customHeight="true" outlineLevel="0" collapsed="false"/>
    <row r="1044508" customFormat="false" ht="12.75" hidden="false" customHeight="true" outlineLevel="0" collapsed="false"/>
    <row r="1044509" customFormat="false" ht="12.75" hidden="false" customHeight="true" outlineLevel="0" collapsed="false"/>
    <row r="1044510" customFormat="false" ht="12.75" hidden="false" customHeight="true" outlineLevel="0" collapsed="false"/>
    <row r="1044511" customFormat="false" ht="12.75" hidden="false" customHeight="true" outlineLevel="0" collapsed="false"/>
    <row r="1044512" customFormat="false" ht="12.75" hidden="false" customHeight="true" outlineLevel="0" collapsed="false"/>
    <row r="1044513" customFormat="false" ht="12.75" hidden="false" customHeight="true" outlineLevel="0" collapsed="false"/>
    <row r="1044514" customFormat="false" ht="12.75" hidden="false" customHeight="true" outlineLevel="0" collapsed="false"/>
    <row r="1044515" customFormat="false" ht="12.75" hidden="false" customHeight="true" outlineLevel="0" collapsed="false"/>
    <row r="1044516" customFormat="false" ht="12.75" hidden="false" customHeight="true" outlineLevel="0" collapsed="false"/>
    <row r="1044517" customFormat="false" ht="12.75" hidden="false" customHeight="true" outlineLevel="0" collapsed="false"/>
    <row r="1044518" customFormat="false" ht="12.75" hidden="false" customHeight="true" outlineLevel="0" collapsed="false"/>
    <row r="1044519" customFormat="false" ht="12.75" hidden="false" customHeight="true" outlineLevel="0" collapsed="false"/>
    <row r="1044520" customFormat="false" ht="12.75" hidden="false" customHeight="true" outlineLevel="0" collapsed="false"/>
    <row r="1044521" customFormat="false" ht="12.75" hidden="false" customHeight="true" outlineLevel="0" collapsed="false"/>
    <row r="1044522" customFormat="false" ht="12.75" hidden="false" customHeight="true" outlineLevel="0" collapsed="false"/>
    <row r="1044523" customFormat="false" ht="12.75" hidden="false" customHeight="true" outlineLevel="0" collapsed="false"/>
    <row r="1044524" customFormat="false" ht="12.75" hidden="false" customHeight="true" outlineLevel="0" collapsed="false"/>
    <row r="1044525" customFormat="false" ht="12.75" hidden="false" customHeight="true" outlineLevel="0" collapsed="false"/>
    <row r="1044526" customFormat="false" ht="12.75" hidden="false" customHeight="true" outlineLevel="0" collapsed="false"/>
    <row r="1044527" customFormat="false" ht="12.75" hidden="false" customHeight="true" outlineLevel="0" collapsed="false"/>
    <row r="1044528" customFormat="false" ht="12.75" hidden="false" customHeight="true" outlineLevel="0" collapsed="false"/>
    <row r="1044529" customFormat="false" ht="12.75" hidden="false" customHeight="true" outlineLevel="0" collapsed="false"/>
    <row r="1044530" customFormat="false" ht="12.75" hidden="false" customHeight="true" outlineLevel="0" collapsed="false"/>
    <row r="1044531" customFormat="false" ht="12.75" hidden="false" customHeight="true" outlineLevel="0" collapsed="false"/>
    <row r="1044532" customFormat="false" ht="12.75" hidden="false" customHeight="true" outlineLevel="0" collapsed="false"/>
    <row r="1044533" customFormat="false" ht="12.75" hidden="false" customHeight="true" outlineLevel="0" collapsed="false"/>
    <row r="1044534" customFormat="false" ht="12.75" hidden="false" customHeight="true" outlineLevel="0" collapsed="false"/>
    <row r="1044535" customFormat="false" ht="12.75" hidden="false" customHeight="true" outlineLevel="0" collapsed="false"/>
    <row r="1044536" customFormat="false" ht="12.75" hidden="false" customHeight="true" outlineLevel="0" collapsed="false"/>
    <row r="1044537" customFormat="false" ht="12.75" hidden="false" customHeight="true" outlineLevel="0" collapsed="false"/>
    <row r="1044538" customFormat="false" ht="12.75" hidden="false" customHeight="true" outlineLevel="0" collapsed="false"/>
    <row r="1044539" customFormat="false" ht="12.75" hidden="false" customHeight="true" outlineLevel="0" collapsed="false"/>
    <row r="1044540" customFormat="false" ht="12.75" hidden="false" customHeight="true" outlineLevel="0" collapsed="false"/>
    <row r="1044541" customFormat="false" ht="12.75" hidden="false" customHeight="true" outlineLevel="0" collapsed="false"/>
    <row r="1044542" customFormat="false" ht="12.75" hidden="false" customHeight="true" outlineLevel="0" collapsed="false"/>
    <row r="1044543" customFormat="false" ht="12.75" hidden="false" customHeight="true" outlineLevel="0" collapsed="false"/>
    <row r="1044544" customFormat="false" ht="12.75" hidden="false" customHeight="true" outlineLevel="0" collapsed="false"/>
    <row r="1044545" customFormat="false" ht="12.75" hidden="false" customHeight="true" outlineLevel="0" collapsed="false"/>
    <row r="1044546" customFormat="false" ht="12.75" hidden="false" customHeight="true" outlineLevel="0" collapsed="false"/>
    <row r="1044547" customFormat="false" ht="12.75" hidden="false" customHeight="true" outlineLevel="0" collapsed="false"/>
    <row r="1044548" customFormat="false" ht="12.75" hidden="false" customHeight="true" outlineLevel="0" collapsed="false"/>
    <row r="1044549" customFormat="false" ht="12.75" hidden="false" customHeight="true" outlineLevel="0" collapsed="false"/>
    <row r="1044550" customFormat="false" ht="12.75" hidden="false" customHeight="true" outlineLevel="0" collapsed="false"/>
    <row r="1044551" customFormat="false" ht="12.75" hidden="false" customHeight="true" outlineLevel="0" collapsed="false"/>
    <row r="1044552" customFormat="false" ht="12.75" hidden="false" customHeight="true" outlineLevel="0" collapsed="false"/>
    <row r="1044553" customFormat="false" ht="12.75" hidden="false" customHeight="true" outlineLevel="0" collapsed="false"/>
    <row r="1044554" customFormat="false" ht="12.75" hidden="false" customHeight="true" outlineLevel="0" collapsed="false"/>
    <row r="1044555" customFormat="false" ht="12.75" hidden="false" customHeight="true" outlineLevel="0" collapsed="false"/>
    <row r="1044556" customFormat="false" ht="12.75" hidden="false" customHeight="true" outlineLevel="0" collapsed="false"/>
    <row r="1044557" customFormat="false" ht="12.75" hidden="false" customHeight="true" outlineLevel="0" collapsed="false"/>
    <row r="1044558" customFormat="false" ht="12.75" hidden="false" customHeight="true" outlineLevel="0" collapsed="false"/>
    <row r="1044559" customFormat="false" ht="12.75" hidden="false" customHeight="true" outlineLevel="0" collapsed="false"/>
    <row r="1044560" customFormat="false" ht="12.75" hidden="false" customHeight="true" outlineLevel="0" collapsed="false"/>
    <row r="1044561" customFormat="false" ht="12.75" hidden="false" customHeight="true" outlineLevel="0" collapsed="false"/>
    <row r="1044562" customFormat="false" ht="12.75" hidden="false" customHeight="true" outlineLevel="0" collapsed="false"/>
    <row r="1044563" customFormat="false" ht="12.75" hidden="false" customHeight="true" outlineLevel="0" collapsed="false"/>
    <row r="1044564" customFormat="false" ht="12.75" hidden="false" customHeight="true" outlineLevel="0" collapsed="false"/>
    <row r="1044565" customFormat="false" ht="12.75" hidden="false" customHeight="true" outlineLevel="0" collapsed="false"/>
    <row r="1044566" customFormat="false" ht="12.75" hidden="false" customHeight="true" outlineLevel="0" collapsed="false"/>
    <row r="1044567" customFormat="false" ht="12.75" hidden="false" customHeight="true" outlineLevel="0" collapsed="false"/>
    <row r="1044568" customFormat="false" ht="12.75" hidden="false" customHeight="true" outlineLevel="0" collapsed="false"/>
    <row r="1044569" customFormat="false" ht="12.75" hidden="false" customHeight="true" outlineLevel="0" collapsed="false"/>
    <row r="1044570" customFormat="false" ht="12.75" hidden="false" customHeight="true" outlineLevel="0" collapsed="false"/>
    <row r="1044571" customFormat="false" ht="12.75" hidden="false" customHeight="true" outlineLevel="0" collapsed="false"/>
    <row r="1044572" customFormat="false" ht="12.75" hidden="false" customHeight="true" outlineLevel="0" collapsed="false"/>
    <row r="1044573" customFormat="false" ht="12.75" hidden="false" customHeight="true" outlineLevel="0" collapsed="false"/>
    <row r="1044574" customFormat="false" ht="12.75" hidden="false" customHeight="true" outlineLevel="0" collapsed="false"/>
    <row r="1044575" customFormat="false" ht="12.75" hidden="false" customHeight="true" outlineLevel="0" collapsed="false"/>
    <row r="1044576" customFormat="false" ht="12.75" hidden="false" customHeight="true" outlineLevel="0" collapsed="false"/>
    <row r="1044577" customFormat="false" ht="12.75" hidden="false" customHeight="true" outlineLevel="0" collapsed="false"/>
    <row r="1044578" customFormat="false" ht="12.75" hidden="false" customHeight="true" outlineLevel="0" collapsed="false"/>
    <row r="1044579" customFormat="false" ht="12.75" hidden="false" customHeight="true" outlineLevel="0" collapsed="false"/>
    <row r="1044580" customFormat="false" ht="12.75" hidden="false" customHeight="true" outlineLevel="0" collapsed="false"/>
    <row r="1044581" customFormat="false" ht="12.75" hidden="false" customHeight="true" outlineLevel="0" collapsed="false"/>
    <row r="1044582" customFormat="false" ht="12.75" hidden="false" customHeight="true" outlineLevel="0" collapsed="false"/>
    <row r="1044583" customFormat="false" ht="12.75" hidden="false" customHeight="true" outlineLevel="0" collapsed="false"/>
    <row r="1044584" customFormat="false" ht="12.75" hidden="false" customHeight="true" outlineLevel="0" collapsed="false"/>
    <row r="1044585" customFormat="false" ht="12.75" hidden="false" customHeight="true" outlineLevel="0" collapsed="false"/>
    <row r="1044586" customFormat="false" ht="12.75" hidden="false" customHeight="true" outlineLevel="0" collapsed="false"/>
    <row r="1044587" customFormat="false" ht="12.75" hidden="false" customHeight="true" outlineLevel="0" collapsed="false"/>
    <row r="1044588" customFormat="false" ht="12.75" hidden="false" customHeight="true" outlineLevel="0" collapsed="false"/>
    <row r="1044589" customFormat="false" ht="12.75" hidden="false" customHeight="true" outlineLevel="0" collapsed="false"/>
    <row r="1044590" customFormat="false" ht="12.75" hidden="false" customHeight="true" outlineLevel="0" collapsed="false"/>
    <row r="1044591" customFormat="false" ht="12.75" hidden="false" customHeight="true" outlineLevel="0" collapsed="false"/>
    <row r="1044592" customFormat="false" ht="12.75" hidden="false" customHeight="true" outlineLevel="0" collapsed="false"/>
    <row r="1044593" customFormat="false" ht="12.75" hidden="false" customHeight="true" outlineLevel="0" collapsed="false"/>
    <row r="1044594" customFormat="false" ht="12.75" hidden="false" customHeight="true" outlineLevel="0" collapsed="false"/>
    <row r="1044595" customFormat="false" ht="12.75" hidden="false" customHeight="true" outlineLevel="0" collapsed="false"/>
    <row r="1044596" customFormat="false" ht="12.75" hidden="false" customHeight="true" outlineLevel="0" collapsed="false"/>
    <row r="1044597" customFormat="false" ht="12.75" hidden="false" customHeight="true" outlineLevel="0" collapsed="false"/>
    <row r="1044598" customFormat="false" ht="12.75" hidden="false" customHeight="true" outlineLevel="0" collapsed="false"/>
    <row r="1044599" customFormat="false" ht="12.75" hidden="false" customHeight="true" outlineLevel="0" collapsed="false"/>
    <row r="1044600" customFormat="false" ht="12.75" hidden="false" customHeight="true" outlineLevel="0" collapsed="false"/>
    <row r="1044601" customFormat="false" ht="12.75" hidden="false" customHeight="true" outlineLevel="0" collapsed="false"/>
    <row r="1044602" customFormat="false" ht="12.75" hidden="false" customHeight="true" outlineLevel="0" collapsed="false"/>
    <row r="1044603" customFormat="false" ht="12.75" hidden="false" customHeight="true" outlineLevel="0" collapsed="false"/>
    <row r="1044604" customFormat="false" ht="12.75" hidden="false" customHeight="true" outlineLevel="0" collapsed="false"/>
    <row r="1044605" customFormat="false" ht="12.75" hidden="false" customHeight="true" outlineLevel="0" collapsed="false"/>
    <row r="1044606" customFormat="false" ht="12.75" hidden="false" customHeight="true" outlineLevel="0" collapsed="false"/>
    <row r="1044607" customFormat="false" ht="12.75" hidden="false" customHeight="true" outlineLevel="0" collapsed="false"/>
    <row r="1044608" customFormat="false" ht="12.75" hidden="false" customHeight="true" outlineLevel="0" collapsed="false"/>
    <row r="1044609" customFormat="false" ht="12.75" hidden="false" customHeight="true" outlineLevel="0" collapsed="false"/>
    <row r="1044610" customFormat="false" ht="12.75" hidden="false" customHeight="true" outlineLevel="0" collapsed="false"/>
    <row r="1044611" customFormat="false" ht="12.75" hidden="false" customHeight="true" outlineLevel="0" collapsed="false"/>
    <row r="1044612" customFormat="false" ht="12.75" hidden="false" customHeight="true" outlineLevel="0" collapsed="false"/>
    <row r="1044613" customFormat="false" ht="12.75" hidden="false" customHeight="true" outlineLevel="0" collapsed="false"/>
    <row r="1044614" customFormat="false" ht="12.75" hidden="false" customHeight="true" outlineLevel="0" collapsed="false"/>
    <row r="1044615" customFormat="false" ht="12.75" hidden="false" customHeight="true" outlineLevel="0" collapsed="false"/>
    <row r="1044616" customFormat="false" ht="12.75" hidden="false" customHeight="true" outlineLevel="0" collapsed="false"/>
    <row r="1044617" customFormat="false" ht="12.75" hidden="false" customHeight="true" outlineLevel="0" collapsed="false"/>
    <row r="1044618" customFormat="false" ht="12.75" hidden="false" customHeight="true" outlineLevel="0" collapsed="false"/>
    <row r="1044619" customFormat="false" ht="12.75" hidden="false" customHeight="true" outlineLevel="0" collapsed="false"/>
    <row r="1044620" customFormat="false" ht="12.75" hidden="false" customHeight="true" outlineLevel="0" collapsed="false"/>
    <row r="1044621" customFormat="false" ht="12.75" hidden="false" customHeight="true" outlineLevel="0" collapsed="false"/>
    <row r="1044622" customFormat="false" ht="12.75" hidden="false" customHeight="true" outlineLevel="0" collapsed="false"/>
    <row r="1044623" customFormat="false" ht="12.75" hidden="false" customHeight="true" outlineLevel="0" collapsed="false"/>
    <row r="1044624" customFormat="false" ht="12.75" hidden="false" customHeight="true" outlineLevel="0" collapsed="false"/>
    <row r="1044625" customFormat="false" ht="12.75" hidden="false" customHeight="true" outlineLevel="0" collapsed="false"/>
    <row r="1044626" customFormat="false" ht="12.75" hidden="false" customHeight="true" outlineLevel="0" collapsed="false"/>
    <row r="1044627" customFormat="false" ht="12.75" hidden="false" customHeight="true" outlineLevel="0" collapsed="false"/>
    <row r="1044628" customFormat="false" ht="12.75" hidden="false" customHeight="true" outlineLevel="0" collapsed="false"/>
    <row r="1044629" customFormat="false" ht="12.75" hidden="false" customHeight="true" outlineLevel="0" collapsed="false"/>
    <row r="1044630" customFormat="false" ht="12.75" hidden="false" customHeight="true" outlineLevel="0" collapsed="false"/>
    <row r="1044631" customFormat="false" ht="12.75" hidden="false" customHeight="true" outlineLevel="0" collapsed="false"/>
    <row r="1044632" customFormat="false" ht="12.75" hidden="false" customHeight="true" outlineLevel="0" collapsed="false"/>
    <row r="1044633" customFormat="false" ht="12.75" hidden="false" customHeight="true" outlineLevel="0" collapsed="false"/>
    <row r="1044634" customFormat="false" ht="12.75" hidden="false" customHeight="true" outlineLevel="0" collapsed="false"/>
    <row r="1044635" customFormat="false" ht="12.75" hidden="false" customHeight="true" outlineLevel="0" collapsed="false"/>
    <row r="1044636" customFormat="false" ht="12.75" hidden="false" customHeight="true" outlineLevel="0" collapsed="false"/>
    <row r="1044637" customFormat="false" ht="12.75" hidden="false" customHeight="true" outlineLevel="0" collapsed="false"/>
    <row r="1044638" customFormat="false" ht="12.75" hidden="false" customHeight="true" outlineLevel="0" collapsed="false"/>
    <row r="1044639" customFormat="false" ht="12.75" hidden="false" customHeight="true" outlineLevel="0" collapsed="false"/>
    <row r="1044640" customFormat="false" ht="12.75" hidden="false" customHeight="true" outlineLevel="0" collapsed="false"/>
    <row r="1044641" customFormat="false" ht="12.75" hidden="false" customHeight="true" outlineLevel="0" collapsed="false"/>
    <row r="1044642" customFormat="false" ht="12.75" hidden="false" customHeight="true" outlineLevel="0" collapsed="false"/>
    <row r="1044643" customFormat="false" ht="12.75" hidden="false" customHeight="true" outlineLevel="0" collapsed="false"/>
    <row r="1044644" customFormat="false" ht="12.75" hidden="false" customHeight="true" outlineLevel="0" collapsed="false"/>
    <row r="1044645" customFormat="false" ht="12.75" hidden="false" customHeight="true" outlineLevel="0" collapsed="false"/>
    <row r="1044646" customFormat="false" ht="12.75" hidden="false" customHeight="true" outlineLevel="0" collapsed="false"/>
    <row r="1044647" customFormat="false" ht="12.75" hidden="false" customHeight="true" outlineLevel="0" collapsed="false"/>
    <row r="1044648" customFormat="false" ht="12.75" hidden="false" customHeight="true" outlineLevel="0" collapsed="false"/>
    <row r="1044649" customFormat="false" ht="12.75" hidden="false" customHeight="true" outlineLevel="0" collapsed="false"/>
    <row r="1044650" customFormat="false" ht="12.75" hidden="false" customHeight="true" outlineLevel="0" collapsed="false"/>
    <row r="1044651" customFormat="false" ht="12.75" hidden="false" customHeight="true" outlineLevel="0" collapsed="false"/>
    <row r="1044652" customFormat="false" ht="12.75" hidden="false" customHeight="true" outlineLevel="0" collapsed="false"/>
    <row r="1044653" customFormat="false" ht="12.75" hidden="false" customHeight="true" outlineLevel="0" collapsed="false"/>
    <row r="1044654" customFormat="false" ht="12.75" hidden="false" customHeight="true" outlineLevel="0" collapsed="false"/>
    <row r="1044655" customFormat="false" ht="12.75" hidden="false" customHeight="true" outlineLevel="0" collapsed="false"/>
    <row r="1044656" customFormat="false" ht="12.75" hidden="false" customHeight="true" outlineLevel="0" collapsed="false"/>
    <row r="1044657" customFormat="false" ht="12.75" hidden="false" customHeight="true" outlineLevel="0" collapsed="false"/>
    <row r="1044658" customFormat="false" ht="12.75" hidden="false" customHeight="true" outlineLevel="0" collapsed="false"/>
    <row r="1044659" customFormat="false" ht="12.75" hidden="false" customHeight="true" outlineLevel="0" collapsed="false"/>
    <row r="1044660" customFormat="false" ht="12.75" hidden="false" customHeight="true" outlineLevel="0" collapsed="false"/>
    <row r="1044661" customFormat="false" ht="12.75" hidden="false" customHeight="true" outlineLevel="0" collapsed="false"/>
    <row r="1044662" customFormat="false" ht="12.75" hidden="false" customHeight="true" outlineLevel="0" collapsed="false"/>
    <row r="1044663" customFormat="false" ht="12.75" hidden="false" customHeight="true" outlineLevel="0" collapsed="false"/>
    <row r="1044664" customFormat="false" ht="12.75" hidden="false" customHeight="true" outlineLevel="0" collapsed="false"/>
    <row r="1044665" customFormat="false" ht="12.75" hidden="false" customHeight="true" outlineLevel="0" collapsed="false"/>
    <row r="1044666" customFormat="false" ht="12.75" hidden="false" customHeight="true" outlineLevel="0" collapsed="false"/>
    <row r="1044667" customFormat="false" ht="12.75" hidden="false" customHeight="true" outlineLevel="0" collapsed="false"/>
    <row r="1044668" customFormat="false" ht="12.75" hidden="false" customHeight="true" outlineLevel="0" collapsed="false"/>
    <row r="1044669" customFormat="false" ht="12.75" hidden="false" customHeight="true" outlineLevel="0" collapsed="false"/>
    <row r="1044670" customFormat="false" ht="12.75" hidden="false" customHeight="true" outlineLevel="0" collapsed="false"/>
    <row r="1044671" customFormat="false" ht="12.75" hidden="false" customHeight="true" outlineLevel="0" collapsed="false"/>
    <row r="1044672" customFormat="false" ht="12.75" hidden="false" customHeight="true" outlineLevel="0" collapsed="false"/>
    <row r="1044673" customFormat="false" ht="12.75" hidden="false" customHeight="true" outlineLevel="0" collapsed="false"/>
    <row r="1044674" customFormat="false" ht="12.75" hidden="false" customHeight="true" outlineLevel="0" collapsed="false"/>
    <row r="1044675" customFormat="false" ht="12.75" hidden="false" customHeight="true" outlineLevel="0" collapsed="false"/>
    <row r="1044676" customFormat="false" ht="12.75" hidden="false" customHeight="true" outlineLevel="0" collapsed="false"/>
    <row r="1044677" customFormat="false" ht="12.75" hidden="false" customHeight="true" outlineLevel="0" collapsed="false"/>
    <row r="1044678" customFormat="false" ht="12.75" hidden="false" customHeight="true" outlineLevel="0" collapsed="false"/>
    <row r="1044679" customFormat="false" ht="12.75" hidden="false" customHeight="true" outlineLevel="0" collapsed="false"/>
    <row r="1044680" customFormat="false" ht="12.75" hidden="false" customHeight="true" outlineLevel="0" collapsed="false"/>
    <row r="1044681" customFormat="false" ht="12.75" hidden="false" customHeight="true" outlineLevel="0" collapsed="false"/>
    <row r="1044682" customFormat="false" ht="12.75" hidden="false" customHeight="true" outlineLevel="0" collapsed="false"/>
    <row r="1044683" customFormat="false" ht="12.75" hidden="false" customHeight="true" outlineLevel="0" collapsed="false"/>
    <row r="1044684" customFormat="false" ht="12.75" hidden="false" customHeight="true" outlineLevel="0" collapsed="false"/>
    <row r="1044685" customFormat="false" ht="12.75" hidden="false" customHeight="true" outlineLevel="0" collapsed="false"/>
    <row r="1044686" customFormat="false" ht="12.75" hidden="false" customHeight="true" outlineLevel="0" collapsed="false"/>
    <row r="1044687" customFormat="false" ht="12.75" hidden="false" customHeight="true" outlineLevel="0" collapsed="false"/>
    <row r="1044688" customFormat="false" ht="12.75" hidden="false" customHeight="true" outlineLevel="0" collapsed="false"/>
    <row r="1044689" customFormat="false" ht="12.75" hidden="false" customHeight="true" outlineLevel="0" collapsed="false"/>
    <row r="1044690" customFormat="false" ht="12.75" hidden="false" customHeight="true" outlineLevel="0" collapsed="false"/>
    <row r="1044691" customFormat="false" ht="12.75" hidden="false" customHeight="true" outlineLevel="0" collapsed="false"/>
    <row r="1044692" customFormat="false" ht="12.75" hidden="false" customHeight="true" outlineLevel="0" collapsed="false"/>
    <row r="1044693" customFormat="false" ht="12.75" hidden="false" customHeight="true" outlineLevel="0" collapsed="false"/>
    <row r="1044694" customFormat="false" ht="12.75" hidden="false" customHeight="true" outlineLevel="0" collapsed="false"/>
    <row r="1044695" customFormat="false" ht="12.75" hidden="false" customHeight="true" outlineLevel="0" collapsed="false"/>
    <row r="1044696" customFormat="false" ht="12.75" hidden="false" customHeight="true" outlineLevel="0" collapsed="false"/>
    <row r="1044697" customFormat="false" ht="12.75" hidden="false" customHeight="true" outlineLevel="0" collapsed="false"/>
    <row r="1044698" customFormat="false" ht="12.75" hidden="false" customHeight="true" outlineLevel="0" collapsed="false"/>
    <row r="1044699" customFormat="false" ht="12.75" hidden="false" customHeight="true" outlineLevel="0" collapsed="false"/>
    <row r="1044700" customFormat="false" ht="12.75" hidden="false" customHeight="true" outlineLevel="0" collapsed="false"/>
    <row r="1044701" customFormat="false" ht="12.75" hidden="false" customHeight="true" outlineLevel="0" collapsed="false"/>
    <row r="1044702" customFormat="false" ht="12.75" hidden="false" customHeight="true" outlineLevel="0" collapsed="false"/>
    <row r="1044703" customFormat="false" ht="12.75" hidden="false" customHeight="true" outlineLevel="0" collapsed="false"/>
    <row r="1044704" customFormat="false" ht="12.75" hidden="false" customHeight="true" outlineLevel="0" collapsed="false"/>
    <row r="1044705" customFormat="false" ht="12.75" hidden="false" customHeight="true" outlineLevel="0" collapsed="false"/>
    <row r="1044706" customFormat="false" ht="12.75" hidden="false" customHeight="true" outlineLevel="0" collapsed="false"/>
    <row r="1044707" customFormat="false" ht="12.75" hidden="false" customHeight="true" outlineLevel="0" collapsed="false"/>
    <row r="1044708" customFormat="false" ht="12.75" hidden="false" customHeight="true" outlineLevel="0" collapsed="false"/>
    <row r="1044709" customFormat="false" ht="12.75" hidden="false" customHeight="true" outlineLevel="0" collapsed="false"/>
    <row r="1044710" customFormat="false" ht="12.75" hidden="false" customHeight="true" outlineLevel="0" collapsed="false"/>
    <row r="1044711" customFormat="false" ht="12.75" hidden="false" customHeight="true" outlineLevel="0" collapsed="false"/>
    <row r="1044712" customFormat="false" ht="12.75" hidden="false" customHeight="true" outlineLevel="0" collapsed="false"/>
    <row r="1044713" customFormat="false" ht="12.75" hidden="false" customHeight="true" outlineLevel="0" collapsed="false"/>
    <row r="1044714" customFormat="false" ht="12.75" hidden="false" customHeight="true" outlineLevel="0" collapsed="false"/>
    <row r="1044715" customFormat="false" ht="12.75" hidden="false" customHeight="true" outlineLevel="0" collapsed="false"/>
    <row r="1044716" customFormat="false" ht="12.75" hidden="false" customHeight="true" outlineLevel="0" collapsed="false"/>
    <row r="1044717" customFormat="false" ht="12.75" hidden="false" customHeight="true" outlineLevel="0" collapsed="false"/>
    <row r="1044718" customFormat="false" ht="12.75" hidden="false" customHeight="true" outlineLevel="0" collapsed="false"/>
    <row r="1044719" customFormat="false" ht="12.75" hidden="false" customHeight="true" outlineLevel="0" collapsed="false"/>
    <row r="1044720" customFormat="false" ht="12.75" hidden="false" customHeight="true" outlineLevel="0" collapsed="false"/>
    <row r="1044721" customFormat="false" ht="12.75" hidden="false" customHeight="true" outlineLevel="0" collapsed="false"/>
    <row r="1044722" customFormat="false" ht="12.75" hidden="false" customHeight="true" outlineLevel="0" collapsed="false"/>
    <row r="1044723" customFormat="false" ht="12.75" hidden="false" customHeight="true" outlineLevel="0" collapsed="false"/>
    <row r="1044724" customFormat="false" ht="12.75" hidden="false" customHeight="true" outlineLevel="0" collapsed="false"/>
    <row r="1044725" customFormat="false" ht="12.75" hidden="false" customHeight="true" outlineLevel="0" collapsed="false"/>
    <row r="1044726" customFormat="false" ht="12.75" hidden="false" customHeight="true" outlineLevel="0" collapsed="false"/>
    <row r="1044727" customFormat="false" ht="12.75" hidden="false" customHeight="true" outlineLevel="0" collapsed="false"/>
    <row r="1044728" customFormat="false" ht="12.75" hidden="false" customHeight="true" outlineLevel="0" collapsed="false"/>
    <row r="1044729" customFormat="false" ht="12.75" hidden="false" customHeight="true" outlineLevel="0" collapsed="false"/>
    <row r="1044730" customFormat="false" ht="12.75" hidden="false" customHeight="true" outlineLevel="0" collapsed="false"/>
    <row r="1044731" customFormat="false" ht="12.75" hidden="false" customHeight="true" outlineLevel="0" collapsed="false"/>
    <row r="1044732" customFormat="false" ht="12.75" hidden="false" customHeight="true" outlineLevel="0" collapsed="false"/>
    <row r="1044733" customFormat="false" ht="12.75" hidden="false" customHeight="true" outlineLevel="0" collapsed="false"/>
    <row r="1044734" customFormat="false" ht="12.75" hidden="false" customHeight="true" outlineLevel="0" collapsed="false"/>
    <row r="1044735" customFormat="false" ht="12.75" hidden="false" customHeight="true" outlineLevel="0" collapsed="false"/>
    <row r="1044736" customFormat="false" ht="12.75" hidden="false" customHeight="true" outlineLevel="0" collapsed="false"/>
    <row r="1044737" customFormat="false" ht="12.75" hidden="false" customHeight="true" outlineLevel="0" collapsed="false"/>
    <row r="1044738" customFormat="false" ht="12.75" hidden="false" customHeight="true" outlineLevel="0" collapsed="false"/>
    <row r="1044739" customFormat="false" ht="12.75" hidden="false" customHeight="true" outlineLevel="0" collapsed="false"/>
    <row r="1044740" customFormat="false" ht="12.75" hidden="false" customHeight="true" outlineLevel="0" collapsed="false"/>
    <row r="1044741" customFormat="false" ht="12.75" hidden="false" customHeight="true" outlineLevel="0" collapsed="false"/>
    <row r="1044742" customFormat="false" ht="12.75" hidden="false" customHeight="true" outlineLevel="0" collapsed="false"/>
    <row r="1044743" customFormat="false" ht="12.75" hidden="false" customHeight="true" outlineLevel="0" collapsed="false"/>
    <row r="1044744" customFormat="false" ht="12.75" hidden="false" customHeight="true" outlineLevel="0" collapsed="false"/>
    <row r="1044745" customFormat="false" ht="12.75" hidden="false" customHeight="true" outlineLevel="0" collapsed="false"/>
    <row r="1044746" customFormat="false" ht="12.75" hidden="false" customHeight="true" outlineLevel="0" collapsed="false"/>
    <row r="1044747" customFormat="false" ht="12.75" hidden="false" customHeight="true" outlineLevel="0" collapsed="false"/>
    <row r="1044748" customFormat="false" ht="12.75" hidden="false" customHeight="true" outlineLevel="0" collapsed="false"/>
    <row r="1044749" customFormat="false" ht="12.75" hidden="false" customHeight="true" outlineLevel="0" collapsed="false"/>
    <row r="1044750" customFormat="false" ht="12.75" hidden="false" customHeight="true" outlineLevel="0" collapsed="false"/>
    <row r="1044751" customFormat="false" ht="12.75" hidden="false" customHeight="true" outlineLevel="0" collapsed="false"/>
    <row r="1044752" customFormat="false" ht="12.75" hidden="false" customHeight="true" outlineLevel="0" collapsed="false"/>
    <row r="1044753" customFormat="false" ht="12.75" hidden="false" customHeight="true" outlineLevel="0" collapsed="false"/>
    <row r="1044754" customFormat="false" ht="12.75" hidden="false" customHeight="true" outlineLevel="0" collapsed="false"/>
    <row r="1044755" customFormat="false" ht="12.75" hidden="false" customHeight="true" outlineLevel="0" collapsed="false"/>
    <row r="1044756" customFormat="false" ht="12.75" hidden="false" customHeight="true" outlineLevel="0" collapsed="false"/>
    <row r="1044757" customFormat="false" ht="12.75" hidden="false" customHeight="true" outlineLevel="0" collapsed="false"/>
    <row r="1044758" customFormat="false" ht="12.75" hidden="false" customHeight="true" outlineLevel="0" collapsed="false"/>
    <row r="1044759" customFormat="false" ht="12.75" hidden="false" customHeight="true" outlineLevel="0" collapsed="false"/>
    <row r="1044760" customFormat="false" ht="12.75" hidden="false" customHeight="true" outlineLevel="0" collapsed="false"/>
    <row r="1044761" customFormat="false" ht="12.75" hidden="false" customHeight="true" outlineLevel="0" collapsed="false"/>
    <row r="1044762" customFormat="false" ht="12.75" hidden="false" customHeight="true" outlineLevel="0" collapsed="false"/>
    <row r="1044763" customFormat="false" ht="12.75" hidden="false" customHeight="true" outlineLevel="0" collapsed="false"/>
    <row r="1044764" customFormat="false" ht="12.75" hidden="false" customHeight="true" outlineLevel="0" collapsed="false"/>
    <row r="1044765" customFormat="false" ht="12.75" hidden="false" customHeight="true" outlineLevel="0" collapsed="false"/>
    <row r="1044766" customFormat="false" ht="12.75" hidden="false" customHeight="true" outlineLevel="0" collapsed="false"/>
    <row r="1044767" customFormat="false" ht="12.75" hidden="false" customHeight="true" outlineLevel="0" collapsed="false"/>
    <row r="1044768" customFormat="false" ht="12.75" hidden="false" customHeight="true" outlineLevel="0" collapsed="false"/>
    <row r="1044769" customFormat="false" ht="12.75" hidden="false" customHeight="true" outlineLevel="0" collapsed="false"/>
    <row r="1044770" customFormat="false" ht="12.75" hidden="false" customHeight="true" outlineLevel="0" collapsed="false"/>
    <row r="1044771" customFormat="false" ht="12.75" hidden="false" customHeight="true" outlineLevel="0" collapsed="false"/>
    <row r="1044772" customFormat="false" ht="12.75" hidden="false" customHeight="true" outlineLevel="0" collapsed="false"/>
    <row r="1044773" customFormat="false" ht="12.75" hidden="false" customHeight="true" outlineLevel="0" collapsed="false"/>
    <row r="1044774" customFormat="false" ht="12.75" hidden="false" customHeight="true" outlineLevel="0" collapsed="false"/>
    <row r="1044775" customFormat="false" ht="12.75" hidden="false" customHeight="true" outlineLevel="0" collapsed="false"/>
    <row r="1044776" customFormat="false" ht="12.75" hidden="false" customHeight="true" outlineLevel="0" collapsed="false"/>
    <row r="1044777" customFormat="false" ht="12.75" hidden="false" customHeight="true" outlineLevel="0" collapsed="false"/>
    <row r="1044778" customFormat="false" ht="12.75" hidden="false" customHeight="true" outlineLevel="0" collapsed="false"/>
    <row r="1044779" customFormat="false" ht="12.75" hidden="false" customHeight="true" outlineLevel="0" collapsed="false"/>
    <row r="1044780" customFormat="false" ht="12.75" hidden="false" customHeight="true" outlineLevel="0" collapsed="false"/>
    <row r="1044781" customFormat="false" ht="12.75" hidden="false" customHeight="true" outlineLevel="0" collapsed="false"/>
    <row r="1044782" customFormat="false" ht="12.75" hidden="false" customHeight="true" outlineLevel="0" collapsed="false"/>
    <row r="1044783" customFormat="false" ht="12.75" hidden="false" customHeight="true" outlineLevel="0" collapsed="false"/>
    <row r="1044784" customFormat="false" ht="12.75" hidden="false" customHeight="true" outlineLevel="0" collapsed="false"/>
    <row r="1044785" customFormat="false" ht="12.75" hidden="false" customHeight="true" outlineLevel="0" collapsed="false"/>
    <row r="1044786" customFormat="false" ht="12.75" hidden="false" customHeight="true" outlineLevel="0" collapsed="false"/>
    <row r="1044787" customFormat="false" ht="12.75" hidden="false" customHeight="true" outlineLevel="0" collapsed="false"/>
    <row r="1044788" customFormat="false" ht="12.75" hidden="false" customHeight="true" outlineLevel="0" collapsed="false"/>
    <row r="1044789" customFormat="false" ht="12.75" hidden="false" customHeight="true" outlineLevel="0" collapsed="false"/>
    <row r="1044790" customFormat="false" ht="12.75" hidden="false" customHeight="true" outlineLevel="0" collapsed="false"/>
    <row r="1044791" customFormat="false" ht="12.75" hidden="false" customHeight="true" outlineLevel="0" collapsed="false"/>
    <row r="1044792" customFormat="false" ht="12.75" hidden="false" customHeight="true" outlineLevel="0" collapsed="false"/>
    <row r="1044793" customFormat="false" ht="12.75" hidden="false" customHeight="true" outlineLevel="0" collapsed="false"/>
    <row r="1044794" customFormat="false" ht="12.75" hidden="false" customHeight="true" outlineLevel="0" collapsed="false"/>
    <row r="1044795" customFormat="false" ht="12.75" hidden="false" customHeight="true" outlineLevel="0" collapsed="false"/>
    <row r="1044796" customFormat="false" ht="12.75" hidden="false" customHeight="true" outlineLevel="0" collapsed="false"/>
    <row r="1044797" customFormat="false" ht="12.75" hidden="false" customHeight="true" outlineLevel="0" collapsed="false"/>
    <row r="1044798" customFormat="false" ht="12.75" hidden="false" customHeight="true" outlineLevel="0" collapsed="false"/>
    <row r="1044799" customFormat="false" ht="12.75" hidden="false" customHeight="true" outlineLevel="0" collapsed="false"/>
    <row r="1044800" customFormat="false" ht="12.75" hidden="false" customHeight="true" outlineLevel="0" collapsed="false"/>
    <row r="1044801" customFormat="false" ht="12.75" hidden="false" customHeight="true" outlineLevel="0" collapsed="false"/>
    <row r="1044802" customFormat="false" ht="12.75" hidden="false" customHeight="true" outlineLevel="0" collapsed="false"/>
    <row r="1044803" customFormat="false" ht="12.75" hidden="false" customHeight="true" outlineLevel="0" collapsed="false"/>
    <row r="1044804" customFormat="false" ht="12.75" hidden="false" customHeight="true" outlineLevel="0" collapsed="false"/>
    <row r="1044805" customFormat="false" ht="12.75" hidden="false" customHeight="true" outlineLevel="0" collapsed="false"/>
    <row r="1044806" customFormat="false" ht="12.75" hidden="false" customHeight="true" outlineLevel="0" collapsed="false"/>
    <row r="1044807" customFormat="false" ht="12.75" hidden="false" customHeight="true" outlineLevel="0" collapsed="false"/>
    <row r="1044808" customFormat="false" ht="12.75" hidden="false" customHeight="true" outlineLevel="0" collapsed="false"/>
    <row r="1044809" customFormat="false" ht="12.75" hidden="false" customHeight="true" outlineLevel="0" collapsed="false"/>
    <row r="1044810" customFormat="false" ht="12.75" hidden="false" customHeight="true" outlineLevel="0" collapsed="false"/>
    <row r="1044811" customFormat="false" ht="12.75" hidden="false" customHeight="true" outlineLevel="0" collapsed="false"/>
    <row r="1044812" customFormat="false" ht="12.75" hidden="false" customHeight="true" outlineLevel="0" collapsed="false"/>
    <row r="1044813" customFormat="false" ht="12.75" hidden="false" customHeight="true" outlineLevel="0" collapsed="false"/>
    <row r="1044814" customFormat="false" ht="12.75" hidden="false" customHeight="true" outlineLevel="0" collapsed="false"/>
    <row r="1044815" customFormat="false" ht="12.75" hidden="false" customHeight="true" outlineLevel="0" collapsed="false"/>
    <row r="1044816" customFormat="false" ht="12.75" hidden="false" customHeight="true" outlineLevel="0" collapsed="false"/>
    <row r="1044817" customFormat="false" ht="12.75" hidden="false" customHeight="true" outlineLevel="0" collapsed="false"/>
    <row r="1044818" customFormat="false" ht="12.75" hidden="false" customHeight="true" outlineLevel="0" collapsed="false"/>
    <row r="1044819" customFormat="false" ht="12.75" hidden="false" customHeight="true" outlineLevel="0" collapsed="false"/>
    <row r="1044820" customFormat="false" ht="12.75" hidden="false" customHeight="true" outlineLevel="0" collapsed="false"/>
    <row r="1044821" customFormat="false" ht="12.75" hidden="false" customHeight="true" outlineLevel="0" collapsed="false"/>
    <row r="1044822" customFormat="false" ht="12.75" hidden="false" customHeight="true" outlineLevel="0" collapsed="false"/>
    <row r="1044823" customFormat="false" ht="12.75" hidden="false" customHeight="true" outlineLevel="0" collapsed="false"/>
    <row r="1044824" customFormat="false" ht="12.75" hidden="false" customHeight="true" outlineLevel="0" collapsed="false"/>
    <row r="1044825" customFormat="false" ht="12.75" hidden="false" customHeight="true" outlineLevel="0" collapsed="false"/>
    <row r="1044826" customFormat="false" ht="12.75" hidden="false" customHeight="true" outlineLevel="0" collapsed="false"/>
    <row r="1044827" customFormat="false" ht="12.75" hidden="false" customHeight="true" outlineLevel="0" collapsed="false"/>
    <row r="1044828" customFormat="false" ht="12.75" hidden="false" customHeight="true" outlineLevel="0" collapsed="false"/>
    <row r="1044829" customFormat="false" ht="12.75" hidden="false" customHeight="true" outlineLevel="0" collapsed="false"/>
    <row r="1044830" customFormat="false" ht="12.75" hidden="false" customHeight="true" outlineLevel="0" collapsed="false"/>
    <row r="1044831" customFormat="false" ht="12.75" hidden="false" customHeight="true" outlineLevel="0" collapsed="false"/>
    <row r="1044832" customFormat="false" ht="12.75" hidden="false" customHeight="true" outlineLevel="0" collapsed="false"/>
    <row r="1044833" customFormat="false" ht="12.75" hidden="false" customHeight="true" outlineLevel="0" collapsed="false"/>
    <row r="1044834" customFormat="false" ht="12.75" hidden="false" customHeight="true" outlineLevel="0" collapsed="false"/>
    <row r="1044835" customFormat="false" ht="12.75" hidden="false" customHeight="true" outlineLevel="0" collapsed="false"/>
    <row r="1044836" customFormat="false" ht="12.75" hidden="false" customHeight="true" outlineLevel="0" collapsed="false"/>
    <row r="1044837" customFormat="false" ht="12.75" hidden="false" customHeight="true" outlineLevel="0" collapsed="false"/>
    <row r="1044838" customFormat="false" ht="12.75" hidden="false" customHeight="true" outlineLevel="0" collapsed="false"/>
    <row r="1044839" customFormat="false" ht="12.75" hidden="false" customHeight="true" outlineLevel="0" collapsed="false"/>
    <row r="1044840" customFormat="false" ht="12.75" hidden="false" customHeight="true" outlineLevel="0" collapsed="false"/>
    <row r="1044841" customFormat="false" ht="12.75" hidden="false" customHeight="true" outlineLevel="0" collapsed="false"/>
    <row r="1044842" customFormat="false" ht="12.75" hidden="false" customHeight="true" outlineLevel="0" collapsed="false"/>
    <row r="1044843" customFormat="false" ht="12.75" hidden="false" customHeight="true" outlineLevel="0" collapsed="false"/>
    <row r="1044844" customFormat="false" ht="12.75" hidden="false" customHeight="true" outlineLevel="0" collapsed="false"/>
    <row r="1044845" customFormat="false" ht="12.75" hidden="false" customHeight="true" outlineLevel="0" collapsed="false"/>
    <row r="1044846" customFormat="false" ht="12.75" hidden="false" customHeight="true" outlineLevel="0" collapsed="false"/>
    <row r="1044847" customFormat="false" ht="12.75" hidden="false" customHeight="true" outlineLevel="0" collapsed="false"/>
    <row r="1044848" customFormat="false" ht="12.75" hidden="false" customHeight="true" outlineLevel="0" collapsed="false"/>
    <row r="1044849" customFormat="false" ht="12.75" hidden="false" customHeight="true" outlineLevel="0" collapsed="false"/>
    <row r="1044850" customFormat="false" ht="12.75" hidden="false" customHeight="true" outlineLevel="0" collapsed="false"/>
    <row r="1044851" customFormat="false" ht="12.75" hidden="false" customHeight="true" outlineLevel="0" collapsed="false"/>
    <row r="1044852" customFormat="false" ht="12.75" hidden="false" customHeight="true" outlineLevel="0" collapsed="false"/>
    <row r="1044853" customFormat="false" ht="12.75" hidden="false" customHeight="true" outlineLevel="0" collapsed="false"/>
    <row r="1044854" customFormat="false" ht="12.75" hidden="false" customHeight="true" outlineLevel="0" collapsed="false"/>
    <row r="1044855" customFormat="false" ht="12.75" hidden="false" customHeight="true" outlineLevel="0" collapsed="false"/>
    <row r="1044856" customFormat="false" ht="12.75" hidden="false" customHeight="true" outlineLevel="0" collapsed="false"/>
    <row r="1044857" customFormat="false" ht="12.75" hidden="false" customHeight="true" outlineLevel="0" collapsed="false"/>
    <row r="1044858" customFormat="false" ht="12.75" hidden="false" customHeight="true" outlineLevel="0" collapsed="false"/>
    <row r="1044859" customFormat="false" ht="12.75" hidden="false" customHeight="true" outlineLevel="0" collapsed="false"/>
    <row r="1044860" customFormat="false" ht="12.75" hidden="false" customHeight="true" outlineLevel="0" collapsed="false"/>
    <row r="1044861" customFormat="false" ht="12.75" hidden="false" customHeight="true" outlineLevel="0" collapsed="false"/>
    <row r="1044862" customFormat="false" ht="12.75" hidden="false" customHeight="true" outlineLevel="0" collapsed="false"/>
    <row r="1044863" customFormat="false" ht="12.75" hidden="false" customHeight="true" outlineLevel="0" collapsed="false"/>
    <row r="1044864" customFormat="false" ht="12.75" hidden="false" customHeight="true" outlineLevel="0" collapsed="false"/>
    <row r="1044865" customFormat="false" ht="12.75" hidden="false" customHeight="true" outlineLevel="0" collapsed="false"/>
    <row r="1044866" customFormat="false" ht="12.75" hidden="false" customHeight="true" outlineLevel="0" collapsed="false"/>
    <row r="1044867" customFormat="false" ht="12.75" hidden="false" customHeight="true" outlineLevel="0" collapsed="false"/>
    <row r="1044868" customFormat="false" ht="12.75" hidden="false" customHeight="true" outlineLevel="0" collapsed="false"/>
    <row r="1044869" customFormat="false" ht="12.75" hidden="false" customHeight="true" outlineLevel="0" collapsed="false"/>
    <row r="1044870" customFormat="false" ht="12.75" hidden="false" customHeight="true" outlineLevel="0" collapsed="false"/>
    <row r="1044871" customFormat="false" ht="12.75" hidden="false" customHeight="true" outlineLevel="0" collapsed="false"/>
    <row r="1044872" customFormat="false" ht="12.75" hidden="false" customHeight="true" outlineLevel="0" collapsed="false"/>
    <row r="1044873" customFormat="false" ht="12.75" hidden="false" customHeight="true" outlineLevel="0" collapsed="false"/>
    <row r="1044874" customFormat="false" ht="12.75" hidden="false" customHeight="true" outlineLevel="0" collapsed="false"/>
    <row r="1044875" customFormat="false" ht="12.75" hidden="false" customHeight="true" outlineLevel="0" collapsed="false"/>
    <row r="1044876" customFormat="false" ht="12.75" hidden="false" customHeight="true" outlineLevel="0" collapsed="false"/>
    <row r="1044877" customFormat="false" ht="12.75" hidden="false" customHeight="true" outlineLevel="0" collapsed="false"/>
    <row r="1044878" customFormat="false" ht="12.75" hidden="false" customHeight="true" outlineLevel="0" collapsed="false"/>
    <row r="1044879" customFormat="false" ht="12.75" hidden="false" customHeight="true" outlineLevel="0" collapsed="false"/>
    <row r="1044880" customFormat="false" ht="12.75" hidden="false" customHeight="true" outlineLevel="0" collapsed="false"/>
    <row r="1044881" customFormat="false" ht="12.75" hidden="false" customHeight="true" outlineLevel="0" collapsed="false"/>
    <row r="1044882" customFormat="false" ht="12.75" hidden="false" customHeight="true" outlineLevel="0" collapsed="false"/>
    <row r="1044883" customFormat="false" ht="12.75" hidden="false" customHeight="true" outlineLevel="0" collapsed="false"/>
    <row r="1044884" customFormat="false" ht="12.75" hidden="false" customHeight="true" outlineLevel="0" collapsed="false"/>
    <row r="1044885" customFormat="false" ht="12.75" hidden="false" customHeight="true" outlineLevel="0" collapsed="false"/>
    <row r="1044886" customFormat="false" ht="12.75" hidden="false" customHeight="true" outlineLevel="0" collapsed="false"/>
    <row r="1044887" customFormat="false" ht="12.75" hidden="false" customHeight="true" outlineLevel="0" collapsed="false"/>
    <row r="1044888" customFormat="false" ht="12.75" hidden="false" customHeight="true" outlineLevel="0" collapsed="false"/>
    <row r="1044889" customFormat="false" ht="12.75" hidden="false" customHeight="true" outlineLevel="0" collapsed="false"/>
    <row r="1044890" customFormat="false" ht="12.75" hidden="false" customHeight="true" outlineLevel="0" collapsed="false"/>
    <row r="1044891" customFormat="false" ht="12.75" hidden="false" customHeight="true" outlineLevel="0" collapsed="false"/>
    <row r="1044892" customFormat="false" ht="12.75" hidden="false" customHeight="true" outlineLevel="0" collapsed="false"/>
    <row r="1044893" customFormat="false" ht="12.75" hidden="false" customHeight="true" outlineLevel="0" collapsed="false"/>
    <row r="1044894" customFormat="false" ht="12.75" hidden="false" customHeight="true" outlineLevel="0" collapsed="false"/>
    <row r="1044895" customFormat="false" ht="12.75" hidden="false" customHeight="true" outlineLevel="0" collapsed="false"/>
    <row r="1044896" customFormat="false" ht="12.75" hidden="false" customHeight="true" outlineLevel="0" collapsed="false"/>
    <row r="1044897" customFormat="false" ht="12.75" hidden="false" customHeight="true" outlineLevel="0" collapsed="false"/>
    <row r="1044898" customFormat="false" ht="12.75" hidden="false" customHeight="true" outlineLevel="0" collapsed="false"/>
    <row r="1044899" customFormat="false" ht="12.75" hidden="false" customHeight="true" outlineLevel="0" collapsed="false"/>
    <row r="1044900" customFormat="false" ht="12.75" hidden="false" customHeight="true" outlineLevel="0" collapsed="false"/>
    <row r="1044901" customFormat="false" ht="12.75" hidden="false" customHeight="true" outlineLevel="0" collapsed="false"/>
    <row r="1044902" customFormat="false" ht="12.75" hidden="false" customHeight="true" outlineLevel="0" collapsed="false"/>
    <row r="1044903" customFormat="false" ht="12.75" hidden="false" customHeight="true" outlineLevel="0" collapsed="false"/>
    <row r="1044904" customFormat="false" ht="12.75" hidden="false" customHeight="true" outlineLevel="0" collapsed="false"/>
    <row r="1044905" customFormat="false" ht="12.75" hidden="false" customHeight="true" outlineLevel="0" collapsed="false"/>
    <row r="1044906" customFormat="false" ht="12.75" hidden="false" customHeight="true" outlineLevel="0" collapsed="false"/>
    <row r="1044907" customFormat="false" ht="12.75" hidden="false" customHeight="true" outlineLevel="0" collapsed="false"/>
    <row r="1044908" customFormat="false" ht="12.75" hidden="false" customHeight="true" outlineLevel="0" collapsed="false"/>
    <row r="1044909" customFormat="false" ht="12.75" hidden="false" customHeight="true" outlineLevel="0" collapsed="false"/>
    <row r="1044910" customFormat="false" ht="12.75" hidden="false" customHeight="true" outlineLevel="0" collapsed="false"/>
    <row r="1044911" customFormat="false" ht="12.75" hidden="false" customHeight="true" outlineLevel="0" collapsed="false"/>
    <row r="1044912" customFormat="false" ht="12.75" hidden="false" customHeight="true" outlineLevel="0" collapsed="false"/>
    <row r="1044913" customFormat="false" ht="12.75" hidden="false" customHeight="true" outlineLevel="0" collapsed="false"/>
    <row r="1044914" customFormat="false" ht="12.75" hidden="false" customHeight="true" outlineLevel="0" collapsed="false"/>
    <row r="1044915" customFormat="false" ht="12.75" hidden="false" customHeight="true" outlineLevel="0" collapsed="false"/>
    <row r="1044916" customFormat="false" ht="12.75" hidden="false" customHeight="true" outlineLevel="0" collapsed="false"/>
    <row r="1044917" customFormat="false" ht="12.75" hidden="false" customHeight="true" outlineLevel="0" collapsed="false"/>
    <row r="1044918" customFormat="false" ht="12.75" hidden="false" customHeight="true" outlineLevel="0" collapsed="false"/>
    <row r="1044919" customFormat="false" ht="12.75" hidden="false" customHeight="true" outlineLevel="0" collapsed="false"/>
    <row r="1044920" customFormat="false" ht="12.75" hidden="false" customHeight="true" outlineLevel="0" collapsed="false"/>
    <row r="1044921" customFormat="false" ht="12.75" hidden="false" customHeight="true" outlineLevel="0" collapsed="false"/>
    <row r="1044922" customFormat="false" ht="12.75" hidden="false" customHeight="true" outlineLevel="0" collapsed="false"/>
    <row r="1044923" customFormat="false" ht="12.75" hidden="false" customHeight="true" outlineLevel="0" collapsed="false"/>
    <row r="1044924" customFormat="false" ht="12.75" hidden="false" customHeight="true" outlineLevel="0" collapsed="false"/>
    <row r="1044925" customFormat="false" ht="12.75" hidden="false" customHeight="true" outlineLevel="0" collapsed="false"/>
    <row r="1044926" customFormat="false" ht="12.75" hidden="false" customHeight="true" outlineLevel="0" collapsed="false"/>
    <row r="1044927" customFormat="false" ht="12.75" hidden="false" customHeight="true" outlineLevel="0" collapsed="false"/>
    <row r="1044928" customFormat="false" ht="12.75" hidden="false" customHeight="true" outlineLevel="0" collapsed="false"/>
    <row r="1044929" customFormat="false" ht="12.75" hidden="false" customHeight="true" outlineLevel="0" collapsed="false"/>
    <row r="1044930" customFormat="false" ht="12.75" hidden="false" customHeight="true" outlineLevel="0" collapsed="false"/>
    <row r="1044931" customFormat="false" ht="12.75" hidden="false" customHeight="true" outlineLevel="0" collapsed="false"/>
    <row r="1044932" customFormat="false" ht="12.75" hidden="false" customHeight="true" outlineLevel="0" collapsed="false"/>
    <row r="1044933" customFormat="false" ht="12.75" hidden="false" customHeight="true" outlineLevel="0" collapsed="false"/>
    <row r="1044934" customFormat="false" ht="12.75" hidden="false" customHeight="true" outlineLevel="0" collapsed="false"/>
    <row r="1044935" customFormat="false" ht="12.75" hidden="false" customHeight="true" outlineLevel="0" collapsed="false"/>
    <row r="1044936" customFormat="false" ht="12.75" hidden="false" customHeight="true" outlineLevel="0" collapsed="false"/>
    <row r="1044937" customFormat="false" ht="12.75" hidden="false" customHeight="true" outlineLevel="0" collapsed="false"/>
    <row r="1044938" customFormat="false" ht="12.75" hidden="false" customHeight="true" outlineLevel="0" collapsed="false"/>
    <row r="1044939" customFormat="false" ht="12.75" hidden="false" customHeight="true" outlineLevel="0" collapsed="false"/>
    <row r="1044940" customFormat="false" ht="12.75" hidden="false" customHeight="true" outlineLevel="0" collapsed="false"/>
    <row r="1044941" customFormat="false" ht="12.75" hidden="false" customHeight="true" outlineLevel="0" collapsed="false"/>
    <row r="1044942" customFormat="false" ht="12.75" hidden="false" customHeight="true" outlineLevel="0" collapsed="false"/>
    <row r="1044943" customFormat="false" ht="12.75" hidden="false" customHeight="true" outlineLevel="0" collapsed="false"/>
    <row r="1044944" customFormat="false" ht="12.75" hidden="false" customHeight="true" outlineLevel="0" collapsed="false"/>
    <row r="1044945" customFormat="false" ht="12.75" hidden="false" customHeight="true" outlineLevel="0" collapsed="false"/>
    <row r="1044946" customFormat="false" ht="12.75" hidden="false" customHeight="true" outlineLevel="0" collapsed="false"/>
    <row r="1044947" customFormat="false" ht="12.75" hidden="false" customHeight="true" outlineLevel="0" collapsed="false"/>
    <row r="1044948" customFormat="false" ht="12.75" hidden="false" customHeight="true" outlineLevel="0" collapsed="false"/>
    <row r="1044949" customFormat="false" ht="12.75" hidden="false" customHeight="true" outlineLevel="0" collapsed="false"/>
    <row r="1044950" customFormat="false" ht="12.75" hidden="false" customHeight="true" outlineLevel="0" collapsed="false"/>
    <row r="1044951" customFormat="false" ht="12.75" hidden="false" customHeight="true" outlineLevel="0" collapsed="false"/>
    <row r="1044952" customFormat="false" ht="12.75" hidden="false" customHeight="true" outlineLevel="0" collapsed="false"/>
    <row r="1044953" customFormat="false" ht="12.75" hidden="false" customHeight="true" outlineLevel="0" collapsed="false"/>
    <row r="1044954" customFormat="false" ht="12.75" hidden="false" customHeight="true" outlineLevel="0" collapsed="false"/>
    <row r="1044955" customFormat="false" ht="12.75" hidden="false" customHeight="true" outlineLevel="0" collapsed="false"/>
    <row r="1044956" customFormat="false" ht="12.75" hidden="false" customHeight="true" outlineLevel="0" collapsed="false"/>
    <row r="1044957" customFormat="false" ht="12.75" hidden="false" customHeight="true" outlineLevel="0" collapsed="false"/>
    <row r="1044958" customFormat="false" ht="12.75" hidden="false" customHeight="true" outlineLevel="0" collapsed="false"/>
    <row r="1044959" customFormat="false" ht="12.75" hidden="false" customHeight="true" outlineLevel="0" collapsed="false"/>
    <row r="1044960" customFormat="false" ht="12.75" hidden="false" customHeight="true" outlineLevel="0" collapsed="false"/>
    <row r="1044961" customFormat="false" ht="12.75" hidden="false" customHeight="true" outlineLevel="0" collapsed="false"/>
    <row r="1044962" customFormat="false" ht="12.75" hidden="false" customHeight="true" outlineLevel="0" collapsed="false"/>
    <row r="1044963" customFormat="false" ht="12.75" hidden="false" customHeight="true" outlineLevel="0" collapsed="false"/>
    <row r="1044964" customFormat="false" ht="12.75" hidden="false" customHeight="true" outlineLevel="0" collapsed="false"/>
    <row r="1044965" customFormat="false" ht="12.75" hidden="false" customHeight="true" outlineLevel="0" collapsed="false"/>
    <row r="1044966" customFormat="false" ht="12.75" hidden="false" customHeight="true" outlineLevel="0" collapsed="false"/>
    <row r="1044967" customFormat="false" ht="12.75" hidden="false" customHeight="true" outlineLevel="0" collapsed="false"/>
    <row r="1044968" customFormat="false" ht="12.75" hidden="false" customHeight="true" outlineLevel="0" collapsed="false"/>
    <row r="1044969" customFormat="false" ht="12.75" hidden="false" customHeight="true" outlineLevel="0" collapsed="false"/>
    <row r="1044970" customFormat="false" ht="12.75" hidden="false" customHeight="true" outlineLevel="0" collapsed="false"/>
    <row r="1044971" customFormat="false" ht="12.75" hidden="false" customHeight="true" outlineLevel="0" collapsed="false"/>
    <row r="1044972" customFormat="false" ht="12.75" hidden="false" customHeight="true" outlineLevel="0" collapsed="false"/>
    <row r="1044973" customFormat="false" ht="12.75" hidden="false" customHeight="true" outlineLevel="0" collapsed="false"/>
    <row r="1044974" customFormat="false" ht="12.75" hidden="false" customHeight="true" outlineLevel="0" collapsed="false"/>
    <row r="1044975" customFormat="false" ht="12.75" hidden="false" customHeight="true" outlineLevel="0" collapsed="false"/>
    <row r="1044976" customFormat="false" ht="12.75" hidden="false" customHeight="true" outlineLevel="0" collapsed="false"/>
    <row r="1044977" customFormat="false" ht="12.75" hidden="false" customHeight="true" outlineLevel="0" collapsed="false"/>
    <row r="1044978" customFormat="false" ht="12.75" hidden="false" customHeight="true" outlineLevel="0" collapsed="false"/>
    <row r="1044979" customFormat="false" ht="12.75" hidden="false" customHeight="true" outlineLevel="0" collapsed="false"/>
    <row r="1044980" customFormat="false" ht="12.75" hidden="false" customHeight="true" outlineLevel="0" collapsed="false"/>
    <row r="1044981" customFormat="false" ht="12.75" hidden="false" customHeight="true" outlineLevel="0" collapsed="false"/>
    <row r="1044982" customFormat="false" ht="12.75" hidden="false" customHeight="true" outlineLevel="0" collapsed="false"/>
    <row r="1044983" customFormat="false" ht="12.75" hidden="false" customHeight="true" outlineLevel="0" collapsed="false"/>
    <row r="1044984" customFormat="false" ht="12.75" hidden="false" customHeight="true" outlineLevel="0" collapsed="false"/>
    <row r="1044985" customFormat="false" ht="12.75" hidden="false" customHeight="true" outlineLevel="0" collapsed="false"/>
    <row r="1044986" customFormat="false" ht="12.75" hidden="false" customHeight="true" outlineLevel="0" collapsed="false"/>
    <row r="1044987" customFormat="false" ht="12.75" hidden="false" customHeight="true" outlineLevel="0" collapsed="false"/>
    <row r="1044988" customFormat="false" ht="12.75" hidden="false" customHeight="true" outlineLevel="0" collapsed="false"/>
    <row r="1044989" customFormat="false" ht="12.75" hidden="false" customHeight="true" outlineLevel="0" collapsed="false"/>
    <row r="1044990" customFormat="false" ht="12.75" hidden="false" customHeight="true" outlineLevel="0" collapsed="false"/>
    <row r="1044991" customFormat="false" ht="12.75" hidden="false" customHeight="true" outlineLevel="0" collapsed="false"/>
    <row r="1044992" customFormat="false" ht="12.75" hidden="false" customHeight="true" outlineLevel="0" collapsed="false"/>
    <row r="1044993" customFormat="false" ht="12.75" hidden="false" customHeight="true" outlineLevel="0" collapsed="false"/>
    <row r="1044994" customFormat="false" ht="12.75" hidden="false" customHeight="true" outlineLevel="0" collapsed="false"/>
    <row r="1044995" customFormat="false" ht="12.75" hidden="false" customHeight="true" outlineLevel="0" collapsed="false"/>
    <row r="1044996" customFormat="false" ht="12.75" hidden="false" customHeight="true" outlineLevel="0" collapsed="false"/>
    <row r="1044997" customFormat="false" ht="12.75" hidden="false" customHeight="true" outlineLevel="0" collapsed="false"/>
    <row r="1044998" customFormat="false" ht="12.75" hidden="false" customHeight="true" outlineLevel="0" collapsed="false"/>
    <row r="1044999" customFormat="false" ht="12.75" hidden="false" customHeight="true" outlineLevel="0" collapsed="false"/>
    <row r="1045000" customFormat="false" ht="12.75" hidden="false" customHeight="true" outlineLevel="0" collapsed="false"/>
    <row r="1045001" customFormat="false" ht="12.75" hidden="false" customHeight="true" outlineLevel="0" collapsed="false"/>
    <row r="1045002" customFormat="false" ht="12.75" hidden="false" customHeight="true" outlineLevel="0" collapsed="false"/>
    <row r="1045003" customFormat="false" ht="12.75" hidden="false" customHeight="true" outlineLevel="0" collapsed="false"/>
    <row r="1045004" customFormat="false" ht="12.75" hidden="false" customHeight="true" outlineLevel="0" collapsed="false"/>
    <row r="1045005" customFormat="false" ht="12.75" hidden="false" customHeight="true" outlineLevel="0" collapsed="false"/>
    <row r="1045006" customFormat="false" ht="12.75" hidden="false" customHeight="true" outlineLevel="0" collapsed="false"/>
    <row r="1045007" customFormat="false" ht="12.75" hidden="false" customHeight="true" outlineLevel="0" collapsed="false"/>
    <row r="1045008" customFormat="false" ht="12.75" hidden="false" customHeight="true" outlineLevel="0" collapsed="false"/>
    <row r="1045009" customFormat="false" ht="12.75" hidden="false" customHeight="true" outlineLevel="0" collapsed="false"/>
    <row r="1045010" customFormat="false" ht="12.75" hidden="false" customHeight="true" outlineLevel="0" collapsed="false"/>
    <row r="1045011" customFormat="false" ht="12.75" hidden="false" customHeight="true" outlineLevel="0" collapsed="false"/>
    <row r="1045012" customFormat="false" ht="12.75" hidden="false" customHeight="true" outlineLevel="0" collapsed="false"/>
    <row r="1045013" customFormat="false" ht="12.75" hidden="false" customHeight="true" outlineLevel="0" collapsed="false"/>
    <row r="1045014" customFormat="false" ht="12.75" hidden="false" customHeight="true" outlineLevel="0" collapsed="false"/>
    <row r="1045015" customFormat="false" ht="12.75" hidden="false" customHeight="true" outlineLevel="0" collapsed="false"/>
    <row r="1045016" customFormat="false" ht="12.75" hidden="false" customHeight="true" outlineLevel="0" collapsed="false"/>
    <row r="1045017" customFormat="false" ht="12.75" hidden="false" customHeight="true" outlineLevel="0" collapsed="false"/>
    <row r="1045018" customFormat="false" ht="12.75" hidden="false" customHeight="true" outlineLevel="0" collapsed="false"/>
    <row r="1045019" customFormat="false" ht="12.75" hidden="false" customHeight="true" outlineLevel="0" collapsed="false"/>
    <row r="1045020" customFormat="false" ht="12.75" hidden="false" customHeight="true" outlineLevel="0" collapsed="false"/>
    <row r="1045021" customFormat="false" ht="12.75" hidden="false" customHeight="true" outlineLevel="0" collapsed="false"/>
    <row r="1045022" customFormat="false" ht="12.75" hidden="false" customHeight="true" outlineLevel="0" collapsed="false"/>
    <row r="1045023" customFormat="false" ht="12.75" hidden="false" customHeight="true" outlineLevel="0" collapsed="false"/>
    <row r="1045024" customFormat="false" ht="12.75" hidden="false" customHeight="true" outlineLevel="0" collapsed="false"/>
    <row r="1045025" customFormat="false" ht="12.75" hidden="false" customHeight="true" outlineLevel="0" collapsed="false"/>
    <row r="1045026" customFormat="false" ht="12.75" hidden="false" customHeight="true" outlineLevel="0" collapsed="false"/>
    <row r="1045027" customFormat="false" ht="12.75" hidden="false" customHeight="true" outlineLevel="0" collapsed="false"/>
    <row r="1045028" customFormat="false" ht="12.75" hidden="false" customHeight="true" outlineLevel="0" collapsed="false"/>
    <row r="1045029" customFormat="false" ht="12.75" hidden="false" customHeight="true" outlineLevel="0" collapsed="false"/>
    <row r="1045030" customFormat="false" ht="12.75" hidden="false" customHeight="true" outlineLevel="0" collapsed="false"/>
    <row r="1045031" customFormat="false" ht="12.75" hidden="false" customHeight="true" outlineLevel="0" collapsed="false"/>
    <row r="1045032" customFormat="false" ht="12.75" hidden="false" customHeight="true" outlineLevel="0" collapsed="false"/>
    <row r="1045033" customFormat="false" ht="12.75" hidden="false" customHeight="true" outlineLevel="0" collapsed="false"/>
    <row r="1045034" customFormat="false" ht="12.75" hidden="false" customHeight="true" outlineLevel="0" collapsed="false"/>
    <row r="1045035" customFormat="false" ht="12.75" hidden="false" customHeight="true" outlineLevel="0" collapsed="false"/>
    <row r="1045036" customFormat="false" ht="12.75" hidden="false" customHeight="true" outlineLevel="0" collapsed="false"/>
    <row r="1045037" customFormat="false" ht="12.75" hidden="false" customHeight="true" outlineLevel="0" collapsed="false"/>
    <row r="1045038" customFormat="false" ht="12.75" hidden="false" customHeight="true" outlineLevel="0" collapsed="false"/>
    <row r="1045039" customFormat="false" ht="12.75" hidden="false" customHeight="true" outlineLevel="0" collapsed="false"/>
    <row r="1045040" customFormat="false" ht="12.75" hidden="false" customHeight="true" outlineLevel="0" collapsed="false"/>
    <row r="1045041" customFormat="false" ht="12.75" hidden="false" customHeight="true" outlineLevel="0" collapsed="false"/>
    <row r="1045042" customFormat="false" ht="12.75" hidden="false" customHeight="true" outlineLevel="0" collapsed="false"/>
    <row r="1045043" customFormat="false" ht="12.75" hidden="false" customHeight="true" outlineLevel="0" collapsed="false"/>
    <row r="1045044" customFormat="false" ht="12.75" hidden="false" customHeight="true" outlineLevel="0" collapsed="false"/>
    <row r="1045045" customFormat="false" ht="12.75" hidden="false" customHeight="true" outlineLevel="0" collapsed="false"/>
    <row r="1045046" customFormat="false" ht="12.75" hidden="false" customHeight="true" outlineLevel="0" collapsed="false"/>
    <row r="1045047" customFormat="false" ht="12.75" hidden="false" customHeight="true" outlineLevel="0" collapsed="false"/>
    <row r="1045048" customFormat="false" ht="12.75" hidden="false" customHeight="true" outlineLevel="0" collapsed="false"/>
    <row r="1045049" customFormat="false" ht="12.75" hidden="false" customHeight="true" outlineLevel="0" collapsed="false"/>
    <row r="1045050" customFormat="false" ht="12.75" hidden="false" customHeight="true" outlineLevel="0" collapsed="false"/>
    <row r="1045051" customFormat="false" ht="12.75" hidden="false" customHeight="true" outlineLevel="0" collapsed="false"/>
    <row r="1045052" customFormat="false" ht="12.75" hidden="false" customHeight="true" outlineLevel="0" collapsed="false"/>
    <row r="1045053" customFormat="false" ht="12.75" hidden="false" customHeight="true" outlineLevel="0" collapsed="false"/>
    <row r="1045054" customFormat="false" ht="12.75" hidden="false" customHeight="true" outlineLevel="0" collapsed="false"/>
    <row r="1045055" customFormat="false" ht="12.75" hidden="false" customHeight="true" outlineLevel="0" collapsed="false"/>
    <row r="1045056" customFormat="false" ht="12.75" hidden="false" customHeight="true" outlineLevel="0" collapsed="false"/>
    <row r="1045057" customFormat="false" ht="12.75" hidden="false" customHeight="true" outlineLevel="0" collapsed="false"/>
    <row r="1045058" customFormat="false" ht="12.75" hidden="false" customHeight="true" outlineLevel="0" collapsed="false"/>
    <row r="1045059" customFormat="false" ht="12.75" hidden="false" customHeight="true" outlineLevel="0" collapsed="false"/>
    <row r="1045060" customFormat="false" ht="12.75" hidden="false" customHeight="true" outlineLevel="0" collapsed="false"/>
    <row r="1045061" customFormat="false" ht="12.75" hidden="false" customHeight="true" outlineLevel="0" collapsed="false"/>
    <row r="1045062" customFormat="false" ht="12.75" hidden="false" customHeight="true" outlineLevel="0" collapsed="false"/>
    <row r="1045063" customFormat="false" ht="12.75" hidden="false" customHeight="true" outlineLevel="0" collapsed="false"/>
    <row r="1045064" customFormat="false" ht="12.75" hidden="false" customHeight="true" outlineLevel="0" collapsed="false"/>
    <row r="1045065" customFormat="false" ht="12.75" hidden="false" customHeight="true" outlineLevel="0" collapsed="false"/>
    <row r="1045066" customFormat="false" ht="12.75" hidden="false" customHeight="true" outlineLevel="0" collapsed="false"/>
    <row r="1045067" customFormat="false" ht="12.75" hidden="false" customHeight="true" outlineLevel="0" collapsed="false"/>
    <row r="1045068" customFormat="false" ht="12.75" hidden="false" customHeight="true" outlineLevel="0" collapsed="false"/>
    <row r="1045069" customFormat="false" ht="12.75" hidden="false" customHeight="true" outlineLevel="0" collapsed="false"/>
    <row r="1045070" customFormat="false" ht="12.75" hidden="false" customHeight="true" outlineLevel="0" collapsed="false"/>
    <row r="1045071" customFormat="false" ht="12.75" hidden="false" customHeight="true" outlineLevel="0" collapsed="false"/>
    <row r="1045072" customFormat="false" ht="12.75" hidden="false" customHeight="true" outlineLevel="0" collapsed="false"/>
    <row r="1045073" customFormat="false" ht="12.75" hidden="false" customHeight="true" outlineLevel="0" collapsed="false"/>
    <row r="1045074" customFormat="false" ht="12.75" hidden="false" customHeight="true" outlineLevel="0" collapsed="false"/>
    <row r="1045075" customFormat="false" ht="12.75" hidden="false" customHeight="true" outlineLevel="0" collapsed="false"/>
    <row r="1045076" customFormat="false" ht="12.75" hidden="false" customHeight="true" outlineLevel="0" collapsed="false"/>
    <row r="1045077" customFormat="false" ht="12.75" hidden="false" customHeight="true" outlineLevel="0" collapsed="false"/>
    <row r="1045078" customFormat="false" ht="12.75" hidden="false" customHeight="true" outlineLevel="0" collapsed="false"/>
    <row r="1045079" customFormat="false" ht="12.75" hidden="false" customHeight="true" outlineLevel="0" collapsed="false"/>
    <row r="1045080" customFormat="false" ht="12.75" hidden="false" customHeight="true" outlineLevel="0" collapsed="false"/>
    <row r="1045081" customFormat="false" ht="12.75" hidden="false" customHeight="true" outlineLevel="0" collapsed="false"/>
    <row r="1045082" customFormat="false" ht="12.75" hidden="false" customHeight="true" outlineLevel="0" collapsed="false"/>
    <row r="1045083" customFormat="false" ht="12.75" hidden="false" customHeight="true" outlineLevel="0" collapsed="false"/>
    <row r="1045084" customFormat="false" ht="12.75" hidden="false" customHeight="true" outlineLevel="0" collapsed="false"/>
    <row r="1045085" customFormat="false" ht="12.75" hidden="false" customHeight="true" outlineLevel="0" collapsed="false"/>
    <row r="1045086" customFormat="false" ht="12.75" hidden="false" customHeight="true" outlineLevel="0" collapsed="false"/>
    <row r="1045087" customFormat="false" ht="12.75" hidden="false" customHeight="true" outlineLevel="0" collapsed="false"/>
    <row r="1045088" customFormat="false" ht="12.75" hidden="false" customHeight="true" outlineLevel="0" collapsed="false"/>
    <row r="1045089" customFormat="false" ht="12.75" hidden="false" customHeight="true" outlineLevel="0" collapsed="false"/>
    <row r="1045090" customFormat="false" ht="12.75" hidden="false" customHeight="true" outlineLevel="0" collapsed="false"/>
    <row r="1045091" customFormat="false" ht="12.75" hidden="false" customHeight="true" outlineLevel="0" collapsed="false"/>
    <row r="1045092" customFormat="false" ht="12.75" hidden="false" customHeight="true" outlineLevel="0" collapsed="false"/>
    <row r="1045093" customFormat="false" ht="12.75" hidden="false" customHeight="true" outlineLevel="0" collapsed="false"/>
    <row r="1045094" customFormat="false" ht="12.75" hidden="false" customHeight="true" outlineLevel="0" collapsed="false"/>
    <row r="1045095" customFormat="false" ht="12.75" hidden="false" customHeight="true" outlineLevel="0" collapsed="false"/>
    <row r="1045096" customFormat="false" ht="12.75" hidden="false" customHeight="true" outlineLevel="0" collapsed="false"/>
    <row r="1045097" customFormat="false" ht="12.75" hidden="false" customHeight="true" outlineLevel="0" collapsed="false"/>
    <row r="1045098" customFormat="false" ht="12.75" hidden="false" customHeight="true" outlineLevel="0" collapsed="false"/>
    <row r="1045099" customFormat="false" ht="12.75" hidden="false" customHeight="true" outlineLevel="0" collapsed="false"/>
    <row r="1045100" customFormat="false" ht="12.75" hidden="false" customHeight="true" outlineLevel="0" collapsed="false"/>
    <row r="1045101" customFormat="false" ht="12.75" hidden="false" customHeight="true" outlineLevel="0" collapsed="false"/>
    <row r="1045102" customFormat="false" ht="12.75" hidden="false" customHeight="true" outlineLevel="0" collapsed="false"/>
    <row r="1045103" customFormat="false" ht="12.75" hidden="false" customHeight="true" outlineLevel="0" collapsed="false"/>
    <row r="1045104" customFormat="false" ht="12.75" hidden="false" customHeight="true" outlineLevel="0" collapsed="false"/>
    <row r="1045105" customFormat="false" ht="12.75" hidden="false" customHeight="true" outlineLevel="0" collapsed="false"/>
    <row r="1045106" customFormat="false" ht="12.75" hidden="false" customHeight="true" outlineLevel="0" collapsed="false"/>
    <row r="1045107" customFormat="false" ht="12.75" hidden="false" customHeight="true" outlineLevel="0" collapsed="false"/>
    <row r="1045108" customFormat="false" ht="12.75" hidden="false" customHeight="true" outlineLevel="0" collapsed="false"/>
    <row r="1045109" customFormat="false" ht="12.75" hidden="false" customHeight="true" outlineLevel="0" collapsed="false"/>
    <row r="1045110" customFormat="false" ht="12.75" hidden="false" customHeight="true" outlineLevel="0" collapsed="false"/>
    <row r="1045111" customFormat="false" ht="12.75" hidden="false" customHeight="true" outlineLevel="0" collapsed="false"/>
    <row r="1045112" customFormat="false" ht="12.75" hidden="false" customHeight="true" outlineLevel="0" collapsed="false"/>
    <row r="1045113" customFormat="false" ht="12.75" hidden="false" customHeight="true" outlineLevel="0" collapsed="false"/>
    <row r="1045114" customFormat="false" ht="12.75" hidden="false" customHeight="true" outlineLevel="0" collapsed="false"/>
    <row r="1045115" customFormat="false" ht="12.75" hidden="false" customHeight="true" outlineLevel="0" collapsed="false"/>
    <row r="1045116" customFormat="false" ht="12.75" hidden="false" customHeight="true" outlineLevel="0" collapsed="false"/>
    <row r="1045117" customFormat="false" ht="12.75" hidden="false" customHeight="true" outlineLevel="0" collapsed="false"/>
    <row r="1045118" customFormat="false" ht="12.75" hidden="false" customHeight="true" outlineLevel="0" collapsed="false"/>
    <row r="1045119" customFormat="false" ht="12.75" hidden="false" customHeight="true" outlineLevel="0" collapsed="false"/>
    <row r="1045120" customFormat="false" ht="12.75" hidden="false" customHeight="true" outlineLevel="0" collapsed="false"/>
    <row r="1045121" customFormat="false" ht="12.75" hidden="false" customHeight="true" outlineLevel="0" collapsed="false"/>
    <row r="1045122" customFormat="false" ht="12.75" hidden="false" customHeight="true" outlineLevel="0" collapsed="false"/>
    <row r="1045123" customFormat="false" ht="12.75" hidden="false" customHeight="true" outlineLevel="0" collapsed="false"/>
    <row r="1045124" customFormat="false" ht="12.75" hidden="false" customHeight="true" outlineLevel="0" collapsed="false"/>
    <row r="1045125" customFormat="false" ht="12.75" hidden="false" customHeight="true" outlineLevel="0" collapsed="false"/>
    <row r="1045126" customFormat="false" ht="12.75" hidden="false" customHeight="true" outlineLevel="0" collapsed="false"/>
    <row r="1045127" customFormat="false" ht="12.75" hidden="false" customHeight="true" outlineLevel="0" collapsed="false"/>
    <row r="1045128" customFormat="false" ht="12.75" hidden="false" customHeight="true" outlineLevel="0" collapsed="false"/>
    <row r="1045129" customFormat="false" ht="12.75" hidden="false" customHeight="true" outlineLevel="0" collapsed="false"/>
    <row r="1045130" customFormat="false" ht="12.75" hidden="false" customHeight="true" outlineLevel="0" collapsed="false"/>
    <row r="1045131" customFormat="false" ht="12.75" hidden="false" customHeight="true" outlineLevel="0" collapsed="false"/>
    <row r="1045132" customFormat="false" ht="12.75" hidden="false" customHeight="true" outlineLevel="0" collapsed="false"/>
    <row r="1045133" customFormat="false" ht="12.75" hidden="false" customHeight="true" outlineLevel="0" collapsed="false"/>
    <row r="1045134" customFormat="false" ht="12.75" hidden="false" customHeight="true" outlineLevel="0" collapsed="false"/>
    <row r="1045135" customFormat="false" ht="12.75" hidden="false" customHeight="true" outlineLevel="0" collapsed="false"/>
    <row r="1045136" customFormat="false" ht="12.75" hidden="false" customHeight="true" outlineLevel="0" collapsed="false"/>
    <row r="1045137" customFormat="false" ht="12.75" hidden="false" customHeight="true" outlineLevel="0" collapsed="false"/>
    <row r="1045138" customFormat="false" ht="12.75" hidden="false" customHeight="true" outlineLevel="0" collapsed="false"/>
    <row r="1045139" customFormat="false" ht="12.75" hidden="false" customHeight="true" outlineLevel="0" collapsed="false"/>
    <row r="1045140" customFormat="false" ht="12.75" hidden="false" customHeight="true" outlineLevel="0" collapsed="false"/>
    <row r="1045141" customFormat="false" ht="12.75" hidden="false" customHeight="true" outlineLevel="0" collapsed="false"/>
    <row r="1045142" customFormat="false" ht="12.75" hidden="false" customHeight="true" outlineLevel="0" collapsed="false"/>
    <row r="1045143" customFormat="false" ht="12.75" hidden="false" customHeight="true" outlineLevel="0" collapsed="false"/>
    <row r="1045144" customFormat="false" ht="12.75" hidden="false" customHeight="true" outlineLevel="0" collapsed="false"/>
    <row r="1045145" customFormat="false" ht="12.75" hidden="false" customHeight="true" outlineLevel="0" collapsed="false"/>
    <row r="1045146" customFormat="false" ht="12.75" hidden="false" customHeight="true" outlineLevel="0" collapsed="false"/>
    <row r="1045147" customFormat="false" ht="12.75" hidden="false" customHeight="true" outlineLevel="0" collapsed="false"/>
    <row r="1045148" customFormat="false" ht="12.75" hidden="false" customHeight="true" outlineLevel="0" collapsed="false"/>
    <row r="1045149" customFormat="false" ht="12.75" hidden="false" customHeight="true" outlineLevel="0" collapsed="false"/>
    <row r="1045150" customFormat="false" ht="12.75" hidden="false" customHeight="true" outlineLevel="0" collapsed="false"/>
    <row r="1045151" customFormat="false" ht="12.75" hidden="false" customHeight="true" outlineLevel="0" collapsed="false"/>
    <row r="1045152" customFormat="false" ht="12.75" hidden="false" customHeight="true" outlineLevel="0" collapsed="false"/>
    <row r="1045153" customFormat="false" ht="12.75" hidden="false" customHeight="true" outlineLevel="0" collapsed="false"/>
    <row r="1045154" customFormat="false" ht="12.75" hidden="false" customHeight="true" outlineLevel="0" collapsed="false"/>
    <row r="1045155" customFormat="false" ht="12.75" hidden="false" customHeight="true" outlineLevel="0" collapsed="false"/>
    <row r="1045156" customFormat="false" ht="12.75" hidden="false" customHeight="true" outlineLevel="0" collapsed="false"/>
    <row r="1045157" customFormat="false" ht="12.75" hidden="false" customHeight="true" outlineLevel="0" collapsed="false"/>
    <row r="1045158" customFormat="false" ht="12.75" hidden="false" customHeight="true" outlineLevel="0" collapsed="false"/>
    <row r="1045159" customFormat="false" ht="12.75" hidden="false" customHeight="true" outlineLevel="0" collapsed="false"/>
    <row r="1045160" customFormat="false" ht="12.75" hidden="false" customHeight="true" outlineLevel="0" collapsed="false"/>
    <row r="1045161" customFormat="false" ht="12.75" hidden="false" customHeight="true" outlineLevel="0" collapsed="false"/>
    <row r="1045162" customFormat="false" ht="12.75" hidden="false" customHeight="true" outlineLevel="0" collapsed="false"/>
    <row r="1045163" customFormat="false" ht="12.75" hidden="false" customHeight="true" outlineLevel="0" collapsed="false"/>
    <row r="1045164" customFormat="false" ht="12.75" hidden="false" customHeight="true" outlineLevel="0" collapsed="false"/>
    <row r="1045165" customFormat="false" ht="12.75" hidden="false" customHeight="true" outlineLevel="0" collapsed="false"/>
    <row r="1045166" customFormat="false" ht="12.75" hidden="false" customHeight="true" outlineLevel="0" collapsed="false"/>
    <row r="1045167" customFormat="false" ht="12.75" hidden="false" customHeight="true" outlineLevel="0" collapsed="false"/>
    <row r="1045168" customFormat="false" ht="12.75" hidden="false" customHeight="true" outlineLevel="0" collapsed="false"/>
    <row r="1045169" customFormat="false" ht="12.75" hidden="false" customHeight="true" outlineLevel="0" collapsed="false"/>
    <row r="1045170" customFormat="false" ht="12.75" hidden="false" customHeight="true" outlineLevel="0" collapsed="false"/>
    <row r="1045171" customFormat="false" ht="12.75" hidden="false" customHeight="true" outlineLevel="0" collapsed="false"/>
    <row r="1045172" customFormat="false" ht="12.75" hidden="false" customHeight="true" outlineLevel="0" collapsed="false"/>
    <row r="1045173" customFormat="false" ht="12.75" hidden="false" customHeight="true" outlineLevel="0" collapsed="false"/>
    <row r="1045174" customFormat="false" ht="12.75" hidden="false" customHeight="true" outlineLevel="0" collapsed="false"/>
    <row r="1045175" customFormat="false" ht="12.75" hidden="false" customHeight="true" outlineLevel="0" collapsed="false"/>
    <row r="1045176" customFormat="false" ht="12.75" hidden="false" customHeight="true" outlineLevel="0" collapsed="false"/>
    <row r="1045177" customFormat="false" ht="12.75" hidden="false" customHeight="true" outlineLevel="0" collapsed="false"/>
    <row r="1045178" customFormat="false" ht="12.75" hidden="false" customHeight="true" outlineLevel="0" collapsed="false"/>
    <row r="1045179" customFormat="false" ht="12.75" hidden="false" customHeight="true" outlineLevel="0" collapsed="false"/>
    <row r="1045180" customFormat="false" ht="12.75" hidden="false" customHeight="true" outlineLevel="0" collapsed="false"/>
    <row r="1045181" customFormat="false" ht="12.75" hidden="false" customHeight="true" outlineLevel="0" collapsed="false"/>
    <row r="1045182" customFormat="false" ht="12.75" hidden="false" customHeight="true" outlineLevel="0" collapsed="false"/>
    <row r="1045183" customFormat="false" ht="12.75" hidden="false" customHeight="true" outlineLevel="0" collapsed="false"/>
    <row r="1045184" customFormat="false" ht="12.75" hidden="false" customHeight="true" outlineLevel="0" collapsed="false"/>
    <row r="1045185" customFormat="false" ht="12.75" hidden="false" customHeight="true" outlineLevel="0" collapsed="false"/>
    <row r="1045186" customFormat="false" ht="12.75" hidden="false" customHeight="true" outlineLevel="0" collapsed="false"/>
    <row r="1045187" customFormat="false" ht="12.75" hidden="false" customHeight="true" outlineLevel="0" collapsed="false"/>
    <row r="1045188" customFormat="false" ht="12.75" hidden="false" customHeight="true" outlineLevel="0" collapsed="false"/>
    <row r="1045189" customFormat="false" ht="12.75" hidden="false" customHeight="true" outlineLevel="0" collapsed="false"/>
    <row r="1045190" customFormat="false" ht="12.75" hidden="false" customHeight="true" outlineLevel="0" collapsed="false"/>
    <row r="1045191" customFormat="false" ht="12.75" hidden="false" customHeight="true" outlineLevel="0" collapsed="false"/>
    <row r="1045192" customFormat="false" ht="12.75" hidden="false" customHeight="true" outlineLevel="0" collapsed="false"/>
    <row r="1045193" customFormat="false" ht="12.75" hidden="false" customHeight="true" outlineLevel="0" collapsed="false"/>
    <row r="1045194" customFormat="false" ht="12.75" hidden="false" customHeight="true" outlineLevel="0" collapsed="false"/>
    <row r="1045195" customFormat="false" ht="12.75" hidden="false" customHeight="true" outlineLevel="0" collapsed="false"/>
    <row r="1045196" customFormat="false" ht="12.75" hidden="false" customHeight="true" outlineLevel="0" collapsed="false"/>
    <row r="1045197" customFormat="false" ht="12.75" hidden="false" customHeight="true" outlineLevel="0" collapsed="false"/>
    <row r="1045198" customFormat="false" ht="12.75" hidden="false" customHeight="true" outlineLevel="0" collapsed="false"/>
    <row r="1045199" customFormat="false" ht="12.75" hidden="false" customHeight="true" outlineLevel="0" collapsed="false"/>
    <row r="1045200" customFormat="false" ht="12.75" hidden="false" customHeight="true" outlineLevel="0" collapsed="false"/>
    <row r="1045201" customFormat="false" ht="12.75" hidden="false" customHeight="true" outlineLevel="0" collapsed="false"/>
    <row r="1045202" customFormat="false" ht="12.75" hidden="false" customHeight="true" outlineLevel="0" collapsed="false"/>
    <row r="1045203" customFormat="false" ht="12.75" hidden="false" customHeight="true" outlineLevel="0" collapsed="false"/>
    <row r="1045204" customFormat="false" ht="12.75" hidden="false" customHeight="true" outlineLevel="0" collapsed="false"/>
    <row r="1045205" customFormat="false" ht="12.75" hidden="false" customHeight="true" outlineLevel="0" collapsed="false"/>
    <row r="1045206" customFormat="false" ht="12.75" hidden="false" customHeight="true" outlineLevel="0" collapsed="false"/>
    <row r="1045207" customFormat="false" ht="12.75" hidden="false" customHeight="true" outlineLevel="0" collapsed="false"/>
    <row r="1045208" customFormat="false" ht="12.75" hidden="false" customHeight="true" outlineLevel="0" collapsed="false"/>
    <row r="1045209" customFormat="false" ht="12.75" hidden="false" customHeight="true" outlineLevel="0" collapsed="false"/>
    <row r="1045210" customFormat="false" ht="12.75" hidden="false" customHeight="true" outlineLevel="0" collapsed="false"/>
    <row r="1045211" customFormat="false" ht="12.75" hidden="false" customHeight="true" outlineLevel="0" collapsed="false"/>
    <row r="1045212" customFormat="false" ht="12.75" hidden="false" customHeight="true" outlineLevel="0" collapsed="false"/>
    <row r="1045213" customFormat="false" ht="12.75" hidden="false" customHeight="true" outlineLevel="0" collapsed="false"/>
    <row r="1045214" customFormat="false" ht="12.75" hidden="false" customHeight="true" outlineLevel="0" collapsed="false"/>
    <row r="1045215" customFormat="false" ht="12.75" hidden="false" customHeight="true" outlineLevel="0" collapsed="false"/>
    <row r="1045216" customFormat="false" ht="12.75" hidden="false" customHeight="true" outlineLevel="0" collapsed="false"/>
    <row r="1045217" customFormat="false" ht="12.75" hidden="false" customHeight="true" outlineLevel="0" collapsed="false"/>
    <row r="1045218" customFormat="false" ht="12.75" hidden="false" customHeight="true" outlineLevel="0" collapsed="false"/>
    <row r="1045219" customFormat="false" ht="12.75" hidden="false" customHeight="true" outlineLevel="0" collapsed="false"/>
    <row r="1045220" customFormat="false" ht="12.75" hidden="false" customHeight="true" outlineLevel="0" collapsed="false"/>
    <row r="1045221" customFormat="false" ht="12.75" hidden="false" customHeight="true" outlineLevel="0" collapsed="false"/>
    <row r="1045222" customFormat="false" ht="12.75" hidden="false" customHeight="true" outlineLevel="0" collapsed="false"/>
    <row r="1045223" customFormat="false" ht="12.75" hidden="false" customHeight="true" outlineLevel="0" collapsed="false"/>
    <row r="1045224" customFormat="false" ht="12.75" hidden="false" customHeight="true" outlineLevel="0" collapsed="false"/>
    <row r="1045225" customFormat="false" ht="12.75" hidden="false" customHeight="true" outlineLevel="0" collapsed="false"/>
    <row r="1045226" customFormat="false" ht="12.75" hidden="false" customHeight="true" outlineLevel="0" collapsed="false"/>
    <row r="1045227" customFormat="false" ht="12.75" hidden="false" customHeight="true" outlineLevel="0" collapsed="false"/>
    <row r="1045228" customFormat="false" ht="12.75" hidden="false" customHeight="true" outlineLevel="0" collapsed="false"/>
    <row r="1045229" customFormat="false" ht="12.75" hidden="false" customHeight="true" outlineLevel="0" collapsed="false"/>
    <row r="1045230" customFormat="false" ht="12.75" hidden="false" customHeight="true" outlineLevel="0" collapsed="false"/>
    <row r="1045231" customFormat="false" ht="12.75" hidden="false" customHeight="true" outlineLevel="0" collapsed="false"/>
    <row r="1045232" customFormat="false" ht="12.75" hidden="false" customHeight="true" outlineLevel="0" collapsed="false"/>
    <row r="1045233" customFormat="false" ht="12.75" hidden="false" customHeight="true" outlineLevel="0" collapsed="false"/>
    <row r="1045234" customFormat="false" ht="12.75" hidden="false" customHeight="true" outlineLevel="0" collapsed="false"/>
    <row r="1045235" customFormat="false" ht="12.75" hidden="false" customHeight="true" outlineLevel="0" collapsed="false"/>
    <row r="1045236" customFormat="false" ht="12.75" hidden="false" customHeight="true" outlineLevel="0" collapsed="false"/>
    <row r="1045237" customFormat="false" ht="12.75" hidden="false" customHeight="true" outlineLevel="0" collapsed="false"/>
    <row r="1045238" customFormat="false" ht="12.75" hidden="false" customHeight="true" outlineLevel="0" collapsed="false"/>
    <row r="1045239" customFormat="false" ht="12.75" hidden="false" customHeight="true" outlineLevel="0" collapsed="false"/>
    <row r="1045240" customFormat="false" ht="12.75" hidden="false" customHeight="true" outlineLevel="0" collapsed="false"/>
    <row r="1045241" customFormat="false" ht="12.75" hidden="false" customHeight="true" outlineLevel="0" collapsed="false"/>
    <row r="1045242" customFormat="false" ht="12.75" hidden="false" customHeight="true" outlineLevel="0" collapsed="false"/>
    <row r="1045243" customFormat="false" ht="12.75" hidden="false" customHeight="true" outlineLevel="0" collapsed="false"/>
    <row r="1045244" customFormat="false" ht="12.75" hidden="false" customHeight="true" outlineLevel="0" collapsed="false"/>
    <row r="1045245" customFormat="false" ht="12.75" hidden="false" customHeight="true" outlineLevel="0" collapsed="false"/>
    <row r="1045246" customFormat="false" ht="12.75" hidden="false" customHeight="true" outlineLevel="0" collapsed="false"/>
    <row r="1045247" customFormat="false" ht="12.75" hidden="false" customHeight="true" outlineLevel="0" collapsed="false"/>
    <row r="1045248" customFormat="false" ht="12.75" hidden="false" customHeight="true" outlineLevel="0" collapsed="false"/>
    <row r="1045249" customFormat="false" ht="12.75" hidden="false" customHeight="true" outlineLevel="0" collapsed="false"/>
    <row r="1045250" customFormat="false" ht="12.75" hidden="false" customHeight="true" outlineLevel="0" collapsed="false"/>
    <row r="1045251" customFormat="false" ht="12.75" hidden="false" customHeight="true" outlineLevel="0" collapsed="false"/>
    <row r="1045252" customFormat="false" ht="12.75" hidden="false" customHeight="true" outlineLevel="0" collapsed="false"/>
    <row r="1045253" customFormat="false" ht="12.75" hidden="false" customHeight="true" outlineLevel="0" collapsed="false"/>
    <row r="1045254" customFormat="false" ht="12.75" hidden="false" customHeight="true" outlineLevel="0" collapsed="false"/>
    <row r="1045255" customFormat="false" ht="12.75" hidden="false" customHeight="true" outlineLevel="0" collapsed="false"/>
    <row r="1045256" customFormat="false" ht="12.75" hidden="false" customHeight="true" outlineLevel="0" collapsed="false"/>
    <row r="1045257" customFormat="false" ht="12.75" hidden="false" customHeight="true" outlineLevel="0" collapsed="false"/>
    <row r="1045258" customFormat="false" ht="12.75" hidden="false" customHeight="true" outlineLevel="0" collapsed="false"/>
    <row r="1045259" customFormat="false" ht="12.75" hidden="false" customHeight="true" outlineLevel="0" collapsed="false"/>
    <row r="1045260" customFormat="false" ht="12.75" hidden="false" customHeight="true" outlineLevel="0" collapsed="false"/>
    <row r="1045261" customFormat="false" ht="12.75" hidden="false" customHeight="true" outlineLevel="0" collapsed="false"/>
    <row r="1045262" customFormat="false" ht="12.75" hidden="false" customHeight="true" outlineLevel="0" collapsed="false"/>
    <row r="1045263" customFormat="false" ht="12.75" hidden="false" customHeight="true" outlineLevel="0" collapsed="false"/>
    <row r="1045264" customFormat="false" ht="12.75" hidden="false" customHeight="true" outlineLevel="0" collapsed="false"/>
    <row r="1045265" customFormat="false" ht="12.75" hidden="false" customHeight="true" outlineLevel="0" collapsed="false"/>
    <row r="1045266" customFormat="false" ht="12.75" hidden="false" customHeight="true" outlineLevel="0" collapsed="false"/>
    <row r="1045267" customFormat="false" ht="12.75" hidden="false" customHeight="true" outlineLevel="0" collapsed="false"/>
    <row r="1045268" customFormat="false" ht="12.75" hidden="false" customHeight="true" outlineLevel="0" collapsed="false"/>
    <row r="1045269" customFormat="false" ht="12.75" hidden="false" customHeight="true" outlineLevel="0" collapsed="false"/>
    <row r="1045270" customFormat="false" ht="12.75" hidden="false" customHeight="true" outlineLevel="0" collapsed="false"/>
    <row r="1045271" customFormat="false" ht="12.75" hidden="false" customHeight="true" outlineLevel="0" collapsed="false"/>
    <row r="1045272" customFormat="false" ht="12.75" hidden="false" customHeight="true" outlineLevel="0" collapsed="false"/>
    <row r="1045273" customFormat="false" ht="12.75" hidden="false" customHeight="true" outlineLevel="0" collapsed="false"/>
    <row r="1045274" customFormat="false" ht="12.75" hidden="false" customHeight="true" outlineLevel="0" collapsed="false"/>
    <row r="1045275" customFormat="false" ht="12.75" hidden="false" customHeight="true" outlineLevel="0" collapsed="false"/>
    <row r="1045276" customFormat="false" ht="12.75" hidden="false" customHeight="true" outlineLevel="0" collapsed="false"/>
    <row r="1045277" customFormat="false" ht="12.75" hidden="false" customHeight="true" outlineLevel="0" collapsed="false"/>
    <row r="1045278" customFormat="false" ht="12.75" hidden="false" customHeight="true" outlineLevel="0" collapsed="false"/>
    <row r="1045279" customFormat="false" ht="12.75" hidden="false" customHeight="true" outlineLevel="0" collapsed="false"/>
    <row r="1045280" customFormat="false" ht="12.75" hidden="false" customHeight="true" outlineLevel="0" collapsed="false"/>
    <row r="1045281" customFormat="false" ht="12.75" hidden="false" customHeight="true" outlineLevel="0" collapsed="false"/>
    <row r="1045282" customFormat="false" ht="12.75" hidden="false" customHeight="true" outlineLevel="0" collapsed="false"/>
    <row r="1045283" customFormat="false" ht="12.75" hidden="false" customHeight="true" outlineLevel="0" collapsed="false"/>
    <row r="1045284" customFormat="false" ht="12.75" hidden="false" customHeight="true" outlineLevel="0" collapsed="false"/>
    <row r="1045285" customFormat="false" ht="12.75" hidden="false" customHeight="true" outlineLevel="0" collapsed="false"/>
    <row r="1045286" customFormat="false" ht="12.75" hidden="false" customHeight="true" outlineLevel="0" collapsed="false"/>
    <row r="1045287" customFormat="false" ht="12.75" hidden="false" customHeight="true" outlineLevel="0" collapsed="false"/>
    <row r="1045288" customFormat="false" ht="12.75" hidden="false" customHeight="true" outlineLevel="0" collapsed="false"/>
    <row r="1045289" customFormat="false" ht="12.75" hidden="false" customHeight="true" outlineLevel="0" collapsed="false"/>
    <row r="1045290" customFormat="false" ht="12.75" hidden="false" customHeight="true" outlineLevel="0" collapsed="false"/>
    <row r="1045291" customFormat="false" ht="12.75" hidden="false" customHeight="true" outlineLevel="0" collapsed="false"/>
    <row r="1045292" customFormat="false" ht="12.75" hidden="false" customHeight="true" outlineLevel="0" collapsed="false"/>
    <row r="1045293" customFormat="false" ht="12.75" hidden="false" customHeight="true" outlineLevel="0" collapsed="false"/>
    <row r="1045294" customFormat="false" ht="12.75" hidden="false" customHeight="true" outlineLevel="0" collapsed="false"/>
    <row r="1045295" customFormat="false" ht="12.75" hidden="false" customHeight="true" outlineLevel="0" collapsed="false"/>
    <row r="1045296" customFormat="false" ht="12.75" hidden="false" customHeight="true" outlineLevel="0" collapsed="false"/>
    <row r="1045297" customFormat="false" ht="12.75" hidden="false" customHeight="true" outlineLevel="0" collapsed="false"/>
    <row r="1045298" customFormat="false" ht="12.75" hidden="false" customHeight="true" outlineLevel="0" collapsed="false"/>
    <row r="1045299" customFormat="false" ht="12.75" hidden="false" customHeight="true" outlineLevel="0" collapsed="false"/>
    <row r="1045300" customFormat="false" ht="12.75" hidden="false" customHeight="true" outlineLevel="0" collapsed="false"/>
    <row r="1045301" customFormat="false" ht="12.75" hidden="false" customHeight="true" outlineLevel="0" collapsed="false"/>
    <row r="1045302" customFormat="false" ht="12.75" hidden="false" customHeight="true" outlineLevel="0" collapsed="false"/>
    <row r="1045303" customFormat="false" ht="12.75" hidden="false" customHeight="true" outlineLevel="0" collapsed="false"/>
    <row r="1045304" customFormat="false" ht="12.75" hidden="false" customHeight="true" outlineLevel="0" collapsed="false"/>
    <row r="1045305" customFormat="false" ht="12.75" hidden="false" customHeight="true" outlineLevel="0" collapsed="false"/>
    <row r="1045306" customFormat="false" ht="12.75" hidden="false" customHeight="true" outlineLevel="0" collapsed="false"/>
    <row r="1045307" customFormat="false" ht="12.75" hidden="false" customHeight="true" outlineLevel="0" collapsed="false"/>
    <row r="1045308" customFormat="false" ht="12.75" hidden="false" customHeight="true" outlineLevel="0" collapsed="false"/>
    <row r="1045309" customFormat="false" ht="12.75" hidden="false" customHeight="true" outlineLevel="0" collapsed="false"/>
    <row r="1045310" customFormat="false" ht="12.75" hidden="false" customHeight="true" outlineLevel="0" collapsed="false"/>
    <row r="1045311" customFormat="false" ht="12.75" hidden="false" customHeight="true" outlineLevel="0" collapsed="false"/>
    <row r="1045312" customFormat="false" ht="12.75" hidden="false" customHeight="true" outlineLevel="0" collapsed="false"/>
    <row r="1045313" customFormat="false" ht="12.75" hidden="false" customHeight="true" outlineLevel="0" collapsed="false"/>
    <row r="1045314" customFormat="false" ht="12.75" hidden="false" customHeight="true" outlineLevel="0" collapsed="false"/>
    <row r="1045315" customFormat="false" ht="12.75" hidden="false" customHeight="true" outlineLevel="0" collapsed="false"/>
    <row r="1045316" customFormat="false" ht="12.75" hidden="false" customHeight="true" outlineLevel="0" collapsed="false"/>
    <row r="1045317" customFormat="false" ht="12.75" hidden="false" customHeight="true" outlineLevel="0" collapsed="false"/>
    <row r="1045318" customFormat="false" ht="12.75" hidden="false" customHeight="true" outlineLevel="0" collapsed="false"/>
    <row r="1045319" customFormat="false" ht="12.75" hidden="false" customHeight="true" outlineLevel="0" collapsed="false"/>
    <row r="1045320" customFormat="false" ht="12.75" hidden="false" customHeight="true" outlineLevel="0" collapsed="false"/>
    <row r="1045321" customFormat="false" ht="12.75" hidden="false" customHeight="true" outlineLevel="0" collapsed="false"/>
    <row r="1045322" customFormat="false" ht="12.75" hidden="false" customHeight="true" outlineLevel="0" collapsed="false"/>
    <row r="1045323" customFormat="false" ht="12.75" hidden="false" customHeight="true" outlineLevel="0" collapsed="false"/>
    <row r="1045324" customFormat="false" ht="12.75" hidden="false" customHeight="true" outlineLevel="0" collapsed="false"/>
    <row r="1045325" customFormat="false" ht="12.75" hidden="false" customHeight="true" outlineLevel="0" collapsed="false"/>
    <row r="1045326" customFormat="false" ht="12.75" hidden="false" customHeight="true" outlineLevel="0" collapsed="false"/>
    <row r="1045327" customFormat="false" ht="12.75" hidden="false" customHeight="true" outlineLevel="0" collapsed="false"/>
    <row r="1045328" customFormat="false" ht="12.75" hidden="false" customHeight="true" outlineLevel="0" collapsed="false"/>
    <row r="1045329" customFormat="false" ht="12.75" hidden="false" customHeight="true" outlineLevel="0" collapsed="false"/>
    <row r="1045330" customFormat="false" ht="12.75" hidden="false" customHeight="true" outlineLevel="0" collapsed="false"/>
    <row r="1045331" customFormat="false" ht="12.75" hidden="false" customHeight="true" outlineLevel="0" collapsed="false"/>
    <row r="1045332" customFormat="false" ht="12.75" hidden="false" customHeight="true" outlineLevel="0" collapsed="false"/>
    <row r="1045333" customFormat="false" ht="12.75" hidden="false" customHeight="true" outlineLevel="0" collapsed="false"/>
    <row r="1045334" customFormat="false" ht="12.75" hidden="false" customHeight="true" outlineLevel="0" collapsed="false"/>
    <row r="1045335" customFormat="false" ht="12.75" hidden="false" customHeight="true" outlineLevel="0" collapsed="false"/>
    <row r="1045336" customFormat="false" ht="12.75" hidden="false" customHeight="true" outlineLevel="0" collapsed="false"/>
    <row r="1045337" customFormat="false" ht="12.75" hidden="false" customHeight="true" outlineLevel="0" collapsed="false"/>
    <row r="1045338" customFormat="false" ht="12.75" hidden="false" customHeight="true" outlineLevel="0" collapsed="false"/>
    <row r="1045339" customFormat="false" ht="12.75" hidden="false" customHeight="true" outlineLevel="0" collapsed="false"/>
    <row r="1045340" customFormat="false" ht="12.75" hidden="false" customHeight="true" outlineLevel="0" collapsed="false"/>
    <row r="1045341" customFormat="false" ht="12.75" hidden="false" customHeight="true" outlineLevel="0" collapsed="false"/>
    <row r="1045342" customFormat="false" ht="12.75" hidden="false" customHeight="true" outlineLevel="0" collapsed="false"/>
    <row r="1045343" customFormat="false" ht="12.75" hidden="false" customHeight="true" outlineLevel="0" collapsed="false"/>
    <row r="1045344" customFormat="false" ht="12.75" hidden="false" customHeight="true" outlineLevel="0" collapsed="false"/>
    <row r="1045345" customFormat="false" ht="12.75" hidden="false" customHeight="true" outlineLevel="0" collapsed="false"/>
    <row r="1045346" customFormat="false" ht="12.75" hidden="false" customHeight="true" outlineLevel="0" collapsed="false"/>
    <row r="1045347" customFormat="false" ht="12.75" hidden="false" customHeight="true" outlineLevel="0" collapsed="false"/>
    <row r="1045348" customFormat="false" ht="12.75" hidden="false" customHeight="true" outlineLevel="0" collapsed="false"/>
    <row r="1045349" customFormat="false" ht="12.75" hidden="false" customHeight="true" outlineLevel="0" collapsed="false"/>
    <row r="1045350" customFormat="false" ht="12.75" hidden="false" customHeight="true" outlineLevel="0" collapsed="false"/>
    <row r="1045351" customFormat="false" ht="12.75" hidden="false" customHeight="true" outlineLevel="0" collapsed="false"/>
    <row r="1045352" customFormat="false" ht="12.75" hidden="false" customHeight="true" outlineLevel="0" collapsed="false"/>
    <row r="1045353" customFormat="false" ht="12.75" hidden="false" customHeight="true" outlineLevel="0" collapsed="false"/>
    <row r="1045354" customFormat="false" ht="12.75" hidden="false" customHeight="true" outlineLevel="0" collapsed="false"/>
    <row r="1045355" customFormat="false" ht="12.75" hidden="false" customHeight="true" outlineLevel="0" collapsed="false"/>
    <row r="1045356" customFormat="false" ht="12.75" hidden="false" customHeight="true" outlineLevel="0" collapsed="false"/>
    <row r="1045357" customFormat="false" ht="12.75" hidden="false" customHeight="true" outlineLevel="0" collapsed="false"/>
    <row r="1045358" customFormat="false" ht="12.75" hidden="false" customHeight="true" outlineLevel="0" collapsed="false"/>
    <row r="1045359" customFormat="false" ht="12.75" hidden="false" customHeight="true" outlineLevel="0" collapsed="false"/>
    <row r="1045360" customFormat="false" ht="12.75" hidden="false" customHeight="true" outlineLevel="0" collapsed="false"/>
    <row r="1045361" customFormat="false" ht="12.75" hidden="false" customHeight="true" outlineLevel="0" collapsed="false"/>
    <row r="1045362" customFormat="false" ht="12.75" hidden="false" customHeight="true" outlineLevel="0" collapsed="false"/>
    <row r="1045363" customFormat="false" ht="12.75" hidden="false" customHeight="true" outlineLevel="0" collapsed="false"/>
    <row r="1045364" customFormat="false" ht="12.75" hidden="false" customHeight="true" outlineLevel="0" collapsed="false"/>
    <row r="1045365" customFormat="false" ht="12.75" hidden="false" customHeight="true" outlineLevel="0" collapsed="false"/>
    <row r="1045366" customFormat="false" ht="12.75" hidden="false" customHeight="true" outlineLevel="0" collapsed="false"/>
    <row r="1045367" customFormat="false" ht="12.75" hidden="false" customHeight="true" outlineLevel="0" collapsed="false"/>
    <row r="1045368" customFormat="false" ht="12.75" hidden="false" customHeight="true" outlineLevel="0" collapsed="false"/>
    <row r="1045369" customFormat="false" ht="12.75" hidden="false" customHeight="true" outlineLevel="0" collapsed="false"/>
    <row r="1045370" customFormat="false" ht="12.75" hidden="false" customHeight="true" outlineLevel="0" collapsed="false"/>
    <row r="1045371" customFormat="false" ht="12.75" hidden="false" customHeight="true" outlineLevel="0" collapsed="false"/>
    <row r="1045372" customFormat="false" ht="12.75" hidden="false" customHeight="true" outlineLevel="0" collapsed="false"/>
    <row r="1045373" customFormat="false" ht="12.75" hidden="false" customHeight="true" outlineLevel="0" collapsed="false"/>
    <row r="1045374" customFormat="false" ht="12.75" hidden="false" customHeight="true" outlineLevel="0" collapsed="false"/>
    <row r="1045375" customFormat="false" ht="12.75" hidden="false" customHeight="true" outlineLevel="0" collapsed="false"/>
    <row r="1045376" customFormat="false" ht="12.75" hidden="false" customHeight="true" outlineLevel="0" collapsed="false"/>
    <row r="1045377" customFormat="false" ht="12.75" hidden="false" customHeight="true" outlineLevel="0" collapsed="false"/>
    <row r="1045378" customFormat="false" ht="12.75" hidden="false" customHeight="true" outlineLevel="0" collapsed="false"/>
    <row r="1045379" customFormat="false" ht="12.75" hidden="false" customHeight="true" outlineLevel="0" collapsed="false"/>
    <row r="1045380" customFormat="false" ht="12.75" hidden="false" customHeight="true" outlineLevel="0" collapsed="false"/>
    <row r="1045381" customFormat="false" ht="12.75" hidden="false" customHeight="true" outlineLevel="0" collapsed="false"/>
    <row r="1045382" customFormat="false" ht="12.75" hidden="false" customHeight="true" outlineLevel="0" collapsed="false"/>
    <row r="1045383" customFormat="false" ht="12.75" hidden="false" customHeight="true" outlineLevel="0" collapsed="false"/>
    <row r="1045384" customFormat="false" ht="12.75" hidden="false" customHeight="true" outlineLevel="0" collapsed="false"/>
    <row r="1045385" customFormat="false" ht="12.75" hidden="false" customHeight="true" outlineLevel="0" collapsed="false"/>
    <row r="1045386" customFormat="false" ht="12.75" hidden="false" customHeight="true" outlineLevel="0" collapsed="false"/>
    <row r="1045387" customFormat="false" ht="12.75" hidden="false" customHeight="true" outlineLevel="0" collapsed="false"/>
    <row r="1045388" customFormat="false" ht="12.75" hidden="false" customHeight="true" outlineLevel="0" collapsed="false"/>
    <row r="1045389" customFormat="false" ht="12.75" hidden="false" customHeight="true" outlineLevel="0" collapsed="false"/>
    <row r="1045390" customFormat="false" ht="12.75" hidden="false" customHeight="true" outlineLevel="0" collapsed="false"/>
    <row r="1045391" customFormat="false" ht="12.75" hidden="false" customHeight="true" outlineLevel="0" collapsed="false"/>
    <row r="1045392" customFormat="false" ht="12.75" hidden="false" customHeight="true" outlineLevel="0" collapsed="false"/>
    <row r="1045393" customFormat="false" ht="12.75" hidden="false" customHeight="true" outlineLevel="0" collapsed="false"/>
    <row r="1045394" customFormat="false" ht="12.75" hidden="false" customHeight="true" outlineLevel="0" collapsed="false"/>
    <row r="1045395" customFormat="false" ht="12.75" hidden="false" customHeight="true" outlineLevel="0" collapsed="false"/>
    <row r="1045396" customFormat="false" ht="12.75" hidden="false" customHeight="true" outlineLevel="0" collapsed="false"/>
    <row r="1045397" customFormat="false" ht="12.75" hidden="false" customHeight="true" outlineLevel="0" collapsed="false"/>
    <row r="1045398" customFormat="false" ht="12.75" hidden="false" customHeight="true" outlineLevel="0" collapsed="false"/>
    <row r="1045399" customFormat="false" ht="12.75" hidden="false" customHeight="true" outlineLevel="0" collapsed="false"/>
    <row r="1045400" customFormat="false" ht="12.75" hidden="false" customHeight="true" outlineLevel="0" collapsed="false"/>
    <row r="1045401" customFormat="false" ht="12.75" hidden="false" customHeight="true" outlineLevel="0" collapsed="false"/>
    <row r="1045402" customFormat="false" ht="12.75" hidden="false" customHeight="true" outlineLevel="0" collapsed="false"/>
    <row r="1045403" customFormat="false" ht="12.75" hidden="false" customHeight="true" outlineLevel="0" collapsed="false"/>
    <row r="1045404" customFormat="false" ht="12.75" hidden="false" customHeight="true" outlineLevel="0" collapsed="false"/>
    <row r="1045405" customFormat="false" ht="12.75" hidden="false" customHeight="true" outlineLevel="0" collapsed="false"/>
    <row r="1045406" customFormat="false" ht="12.75" hidden="false" customHeight="true" outlineLevel="0" collapsed="false"/>
    <row r="1045407" customFormat="false" ht="12.75" hidden="false" customHeight="true" outlineLevel="0" collapsed="false"/>
    <row r="1045408" customFormat="false" ht="12.75" hidden="false" customHeight="true" outlineLevel="0" collapsed="false"/>
    <row r="1045409" customFormat="false" ht="12.75" hidden="false" customHeight="true" outlineLevel="0" collapsed="false"/>
    <row r="1045410" customFormat="false" ht="12.75" hidden="false" customHeight="true" outlineLevel="0" collapsed="false"/>
    <row r="1045411" customFormat="false" ht="12.75" hidden="false" customHeight="true" outlineLevel="0" collapsed="false"/>
    <row r="1045412" customFormat="false" ht="12.75" hidden="false" customHeight="true" outlineLevel="0" collapsed="false"/>
    <row r="1045413" customFormat="false" ht="12.75" hidden="false" customHeight="true" outlineLevel="0" collapsed="false"/>
    <row r="1045414" customFormat="false" ht="12.75" hidden="false" customHeight="true" outlineLevel="0" collapsed="false"/>
    <row r="1045415" customFormat="false" ht="12.75" hidden="false" customHeight="true" outlineLevel="0" collapsed="false"/>
    <row r="1045416" customFormat="false" ht="12.75" hidden="false" customHeight="true" outlineLevel="0" collapsed="false"/>
    <row r="1045417" customFormat="false" ht="12.75" hidden="false" customHeight="true" outlineLevel="0" collapsed="false"/>
    <row r="1045418" customFormat="false" ht="12.75" hidden="false" customHeight="true" outlineLevel="0" collapsed="false"/>
    <row r="1045419" customFormat="false" ht="12.75" hidden="false" customHeight="true" outlineLevel="0" collapsed="false"/>
    <row r="1045420" customFormat="false" ht="12.75" hidden="false" customHeight="true" outlineLevel="0" collapsed="false"/>
    <row r="1045421" customFormat="false" ht="12.75" hidden="false" customHeight="true" outlineLevel="0" collapsed="false"/>
    <row r="1045422" customFormat="false" ht="12.75" hidden="false" customHeight="true" outlineLevel="0" collapsed="false"/>
    <row r="1045423" customFormat="false" ht="12.75" hidden="false" customHeight="true" outlineLevel="0" collapsed="false"/>
    <row r="1045424" customFormat="false" ht="12.75" hidden="false" customHeight="true" outlineLevel="0" collapsed="false"/>
    <row r="1045425" customFormat="false" ht="12.75" hidden="false" customHeight="true" outlineLevel="0" collapsed="false"/>
    <row r="1045426" customFormat="false" ht="12.75" hidden="false" customHeight="true" outlineLevel="0" collapsed="false"/>
    <row r="1045427" customFormat="false" ht="12.75" hidden="false" customHeight="true" outlineLevel="0" collapsed="false"/>
    <row r="1045428" customFormat="false" ht="12.75" hidden="false" customHeight="true" outlineLevel="0" collapsed="false"/>
    <row r="1045429" customFormat="false" ht="12.75" hidden="false" customHeight="true" outlineLevel="0" collapsed="false"/>
    <row r="1045430" customFormat="false" ht="12.75" hidden="false" customHeight="true" outlineLevel="0" collapsed="false"/>
    <row r="1045431" customFormat="false" ht="12.75" hidden="false" customHeight="true" outlineLevel="0" collapsed="false"/>
    <row r="1045432" customFormat="false" ht="12.75" hidden="false" customHeight="true" outlineLevel="0" collapsed="false"/>
    <row r="1045433" customFormat="false" ht="12.75" hidden="false" customHeight="true" outlineLevel="0" collapsed="false"/>
    <row r="1045434" customFormat="false" ht="12.75" hidden="false" customHeight="true" outlineLevel="0" collapsed="false"/>
    <row r="1045435" customFormat="false" ht="12.75" hidden="false" customHeight="true" outlineLevel="0" collapsed="false"/>
    <row r="1045436" customFormat="false" ht="12.75" hidden="false" customHeight="true" outlineLevel="0" collapsed="false"/>
    <row r="1045437" customFormat="false" ht="12.75" hidden="false" customHeight="true" outlineLevel="0" collapsed="false"/>
    <row r="1045438" customFormat="false" ht="12.75" hidden="false" customHeight="true" outlineLevel="0" collapsed="false"/>
    <row r="1045439" customFormat="false" ht="12.75" hidden="false" customHeight="true" outlineLevel="0" collapsed="false"/>
    <row r="1045440" customFormat="false" ht="12.75" hidden="false" customHeight="true" outlineLevel="0" collapsed="false"/>
    <row r="1045441" customFormat="false" ht="12.75" hidden="false" customHeight="true" outlineLevel="0" collapsed="false"/>
    <row r="1045442" customFormat="false" ht="12.75" hidden="false" customHeight="true" outlineLevel="0" collapsed="false"/>
    <row r="1045443" customFormat="false" ht="12.75" hidden="false" customHeight="true" outlineLevel="0" collapsed="false"/>
    <row r="1045444" customFormat="false" ht="12.75" hidden="false" customHeight="true" outlineLevel="0" collapsed="false"/>
    <row r="1045445" customFormat="false" ht="12.75" hidden="false" customHeight="true" outlineLevel="0" collapsed="false"/>
    <row r="1045446" customFormat="false" ht="12.75" hidden="false" customHeight="true" outlineLevel="0" collapsed="false"/>
    <row r="1045447" customFormat="false" ht="12.75" hidden="false" customHeight="true" outlineLevel="0" collapsed="false"/>
    <row r="1045448" customFormat="false" ht="12.75" hidden="false" customHeight="true" outlineLevel="0" collapsed="false"/>
    <row r="1045449" customFormat="false" ht="12.75" hidden="false" customHeight="true" outlineLevel="0" collapsed="false"/>
    <row r="1045450" customFormat="false" ht="12.75" hidden="false" customHeight="true" outlineLevel="0" collapsed="false"/>
    <row r="1045451" customFormat="false" ht="12.75" hidden="false" customHeight="true" outlineLevel="0" collapsed="false"/>
    <row r="1045452" customFormat="false" ht="12.75" hidden="false" customHeight="true" outlineLevel="0" collapsed="false"/>
    <row r="1045453" customFormat="false" ht="12.75" hidden="false" customHeight="true" outlineLevel="0" collapsed="false"/>
    <row r="1045454" customFormat="false" ht="12.75" hidden="false" customHeight="true" outlineLevel="0" collapsed="false"/>
    <row r="1045455" customFormat="false" ht="12.75" hidden="false" customHeight="true" outlineLevel="0" collapsed="false"/>
    <row r="1045456" customFormat="false" ht="12.75" hidden="false" customHeight="true" outlineLevel="0" collapsed="false"/>
    <row r="1045457" customFormat="false" ht="12.75" hidden="false" customHeight="true" outlineLevel="0" collapsed="false"/>
    <row r="1045458" customFormat="false" ht="12.75" hidden="false" customHeight="true" outlineLevel="0" collapsed="false"/>
    <row r="1045459" customFormat="false" ht="12.75" hidden="false" customHeight="true" outlineLevel="0" collapsed="false"/>
    <row r="1045460" customFormat="false" ht="12.75" hidden="false" customHeight="true" outlineLevel="0" collapsed="false"/>
    <row r="1045461" customFormat="false" ht="12.75" hidden="false" customHeight="true" outlineLevel="0" collapsed="false"/>
    <row r="1045462" customFormat="false" ht="12.75" hidden="false" customHeight="true" outlineLevel="0" collapsed="false"/>
    <row r="1045463" customFormat="false" ht="12.75" hidden="false" customHeight="true" outlineLevel="0" collapsed="false"/>
    <row r="1045464" customFormat="false" ht="12.75" hidden="false" customHeight="true" outlineLevel="0" collapsed="false"/>
    <row r="1045465" customFormat="false" ht="12.75" hidden="false" customHeight="true" outlineLevel="0" collapsed="false"/>
    <row r="1045466" customFormat="false" ht="12.75" hidden="false" customHeight="true" outlineLevel="0" collapsed="false"/>
    <row r="1045467" customFormat="false" ht="12.75" hidden="false" customHeight="true" outlineLevel="0" collapsed="false"/>
    <row r="1045468" customFormat="false" ht="12.75" hidden="false" customHeight="true" outlineLevel="0" collapsed="false"/>
    <row r="1045469" customFormat="false" ht="12.75" hidden="false" customHeight="true" outlineLevel="0" collapsed="false"/>
    <row r="1045470" customFormat="false" ht="12.75" hidden="false" customHeight="true" outlineLevel="0" collapsed="false"/>
    <row r="1045471" customFormat="false" ht="12.75" hidden="false" customHeight="true" outlineLevel="0" collapsed="false"/>
    <row r="1045472" customFormat="false" ht="12.75" hidden="false" customHeight="true" outlineLevel="0" collapsed="false"/>
    <row r="1045473" customFormat="false" ht="12.75" hidden="false" customHeight="true" outlineLevel="0" collapsed="false"/>
    <row r="1045474" customFormat="false" ht="12.75" hidden="false" customHeight="true" outlineLevel="0" collapsed="false"/>
    <row r="1045475" customFormat="false" ht="12.75" hidden="false" customHeight="true" outlineLevel="0" collapsed="false"/>
    <row r="1045476" customFormat="false" ht="12.75" hidden="false" customHeight="true" outlineLevel="0" collapsed="false"/>
    <row r="1045477" customFormat="false" ht="12.75" hidden="false" customHeight="true" outlineLevel="0" collapsed="false"/>
    <row r="1045478" customFormat="false" ht="12.75" hidden="false" customHeight="true" outlineLevel="0" collapsed="false"/>
    <row r="1045479" customFormat="false" ht="12.75" hidden="false" customHeight="true" outlineLevel="0" collapsed="false"/>
    <row r="1045480" customFormat="false" ht="12.75" hidden="false" customHeight="true" outlineLevel="0" collapsed="false"/>
    <row r="1045481" customFormat="false" ht="12.75" hidden="false" customHeight="true" outlineLevel="0" collapsed="false"/>
    <row r="1045482" customFormat="false" ht="12.75" hidden="false" customHeight="true" outlineLevel="0" collapsed="false"/>
    <row r="1045483" customFormat="false" ht="12.75" hidden="false" customHeight="true" outlineLevel="0" collapsed="false"/>
    <row r="1045484" customFormat="false" ht="12.75" hidden="false" customHeight="true" outlineLevel="0" collapsed="false"/>
    <row r="1045485" customFormat="false" ht="12.75" hidden="false" customHeight="true" outlineLevel="0" collapsed="false"/>
    <row r="1045486" customFormat="false" ht="12.75" hidden="false" customHeight="true" outlineLevel="0" collapsed="false"/>
    <row r="1045487" customFormat="false" ht="12.75" hidden="false" customHeight="true" outlineLevel="0" collapsed="false"/>
    <row r="1045488" customFormat="false" ht="12.75" hidden="false" customHeight="true" outlineLevel="0" collapsed="false"/>
    <row r="1045489" customFormat="false" ht="12.75" hidden="false" customHeight="true" outlineLevel="0" collapsed="false"/>
    <row r="1045490" customFormat="false" ht="12.75" hidden="false" customHeight="true" outlineLevel="0" collapsed="false"/>
    <row r="1045491" customFormat="false" ht="12.75" hidden="false" customHeight="true" outlineLevel="0" collapsed="false"/>
    <row r="1045492" customFormat="false" ht="12.75" hidden="false" customHeight="true" outlineLevel="0" collapsed="false"/>
    <row r="1045493" customFormat="false" ht="12.75" hidden="false" customHeight="true" outlineLevel="0" collapsed="false"/>
    <row r="1045494" customFormat="false" ht="12.75" hidden="false" customHeight="true" outlineLevel="0" collapsed="false"/>
    <row r="1045495" customFormat="false" ht="12.75" hidden="false" customHeight="true" outlineLevel="0" collapsed="false"/>
    <row r="1045496" customFormat="false" ht="12.75" hidden="false" customHeight="true" outlineLevel="0" collapsed="false"/>
    <row r="1045497" customFormat="false" ht="12.75" hidden="false" customHeight="true" outlineLevel="0" collapsed="false"/>
    <row r="1045498" customFormat="false" ht="12.75" hidden="false" customHeight="true" outlineLevel="0" collapsed="false"/>
    <row r="1045499" customFormat="false" ht="12.75" hidden="false" customHeight="true" outlineLevel="0" collapsed="false"/>
    <row r="1045500" customFormat="false" ht="12.75" hidden="false" customHeight="true" outlineLevel="0" collapsed="false"/>
    <row r="1045501" customFormat="false" ht="12.75" hidden="false" customHeight="true" outlineLevel="0" collapsed="false"/>
    <row r="1045502" customFormat="false" ht="12.75" hidden="false" customHeight="true" outlineLevel="0" collapsed="false"/>
    <row r="1045503" customFormat="false" ht="12.75" hidden="false" customHeight="true" outlineLevel="0" collapsed="false"/>
    <row r="1045504" customFormat="false" ht="12.75" hidden="false" customHeight="true" outlineLevel="0" collapsed="false"/>
    <row r="1045505" customFormat="false" ht="12.75" hidden="false" customHeight="true" outlineLevel="0" collapsed="false"/>
    <row r="1045506" customFormat="false" ht="12.75" hidden="false" customHeight="true" outlineLevel="0" collapsed="false"/>
    <row r="1045507" customFormat="false" ht="12.75" hidden="false" customHeight="true" outlineLevel="0" collapsed="false"/>
    <row r="1045508" customFormat="false" ht="12.75" hidden="false" customHeight="true" outlineLevel="0" collapsed="false"/>
    <row r="1045509" customFormat="false" ht="12.75" hidden="false" customHeight="true" outlineLevel="0" collapsed="false"/>
    <row r="1045510" customFormat="false" ht="12.75" hidden="false" customHeight="true" outlineLevel="0" collapsed="false"/>
    <row r="1045511" customFormat="false" ht="12.75" hidden="false" customHeight="true" outlineLevel="0" collapsed="false"/>
    <row r="1045512" customFormat="false" ht="12.75" hidden="false" customHeight="true" outlineLevel="0" collapsed="false"/>
    <row r="1045513" customFormat="false" ht="12.75" hidden="false" customHeight="true" outlineLevel="0" collapsed="false"/>
    <row r="1045514" customFormat="false" ht="12.75" hidden="false" customHeight="true" outlineLevel="0" collapsed="false"/>
    <row r="1045515" customFormat="false" ht="12.75" hidden="false" customHeight="true" outlineLevel="0" collapsed="false"/>
    <row r="1045516" customFormat="false" ht="12.75" hidden="false" customHeight="true" outlineLevel="0" collapsed="false"/>
    <row r="1045517" customFormat="false" ht="12.75" hidden="false" customHeight="true" outlineLevel="0" collapsed="false"/>
    <row r="1045518" customFormat="false" ht="12.75" hidden="false" customHeight="true" outlineLevel="0" collapsed="false"/>
    <row r="1045519" customFormat="false" ht="12.75" hidden="false" customHeight="true" outlineLevel="0" collapsed="false"/>
    <row r="1045520" customFormat="false" ht="12.75" hidden="false" customHeight="true" outlineLevel="0" collapsed="false"/>
    <row r="1045521" customFormat="false" ht="12.75" hidden="false" customHeight="true" outlineLevel="0" collapsed="false"/>
    <row r="1045522" customFormat="false" ht="12.75" hidden="false" customHeight="true" outlineLevel="0" collapsed="false"/>
    <row r="1045523" customFormat="false" ht="12.75" hidden="false" customHeight="true" outlineLevel="0" collapsed="false"/>
    <row r="1045524" customFormat="false" ht="12.75" hidden="false" customHeight="true" outlineLevel="0" collapsed="false"/>
    <row r="1045525" customFormat="false" ht="12.75" hidden="false" customHeight="true" outlineLevel="0" collapsed="false"/>
    <row r="1045526" customFormat="false" ht="12.75" hidden="false" customHeight="true" outlineLevel="0" collapsed="false"/>
    <row r="1045527" customFormat="false" ht="12.75" hidden="false" customHeight="true" outlineLevel="0" collapsed="false"/>
    <row r="1045528" customFormat="false" ht="12.75" hidden="false" customHeight="true" outlineLevel="0" collapsed="false"/>
    <row r="1045529" customFormat="false" ht="12.75" hidden="false" customHeight="true" outlineLevel="0" collapsed="false"/>
    <row r="1045530" customFormat="false" ht="12.75" hidden="false" customHeight="true" outlineLevel="0" collapsed="false"/>
    <row r="1045531" customFormat="false" ht="12.75" hidden="false" customHeight="true" outlineLevel="0" collapsed="false"/>
    <row r="1045532" customFormat="false" ht="12.75" hidden="false" customHeight="true" outlineLevel="0" collapsed="false"/>
    <row r="1045533" customFormat="false" ht="12.75" hidden="false" customHeight="true" outlineLevel="0" collapsed="false"/>
    <row r="1045534" customFormat="false" ht="12.75" hidden="false" customHeight="true" outlineLevel="0" collapsed="false"/>
    <row r="1045535" customFormat="false" ht="12.75" hidden="false" customHeight="true" outlineLevel="0" collapsed="false"/>
    <row r="1045536" customFormat="false" ht="12.75" hidden="false" customHeight="true" outlineLevel="0" collapsed="false"/>
    <row r="1045537" customFormat="false" ht="12.75" hidden="false" customHeight="true" outlineLevel="0" collapsed="false"/>
    <row r="1045538" customFormat="false" ht="12.75" hidden="false" customHeight="true" outlineLevel="0" collapsed="false"/>
    <row r="1045539" customFormat="false" ht="12.75" hidden="false" customHeight="true" outlineLevel="0" collapsed="false"/>
    <row r="1045540" customFormat="false" ht="12.75" hidden="false" customHeight="true" outlineLevel="0" collapsed="false"/>
    <row r="1045541" customFormat="false" ht="12.75" hidden="false" customHeight="true" outlineLevel="0" collapsed="false"/>
    <row r="1045542" customFormat="false" ht="12.75" hidden="false" customHeight="true" outlineLevel="0" collapsed="false"/>
    <row r="1045543" customFormat="false" ht="12.75" hidden="false" customHeight="true" outlineLevel="0" collapsed="false"/>
    <row r="1045544" customFormat="false" ht="12.75" hidden="false" customHeight="true" outlineLevel="0" collapsed="false"/>
    <row r="1045545" customFormat="false" ht="12.75" hidden="false" customHeight="true" outlineLevel="0" collapsed="false"/>
    <row r="1045546" customFormat="false" ht="12.75" hidden="false" customHeight="true" outlineLevel="0" collapsed="false"/>
    <row r="1045547" customFormat="false" ht="12.75" hidden="false" customHeight="true" outlineLevel="0" collapsed="false"/>
    <row r="1045548" customFormat="false" ht="12.75" hidden="false" customHeight="true" outlineLevel="0" collapsed="false"/>
    <row r="1045549" customFormat="false" ht="12.75" hidden="false" customHeight="true" outlineLevel="0" collapsed="false"/>
    <row r="1045550" customFormat="false" ht="12.75" hidden="false" customHeight="true" outlineLevel="0" collapsed="false"/>
    <row r="1045551" customFormat="false" ht="12.75" hidden="false" customHeight="true" outlineLevel="0" collapsed="false"/>
    <row r="1045552" customFormat="false" ht="12.75" hidden="false" customHeight="true" outlineLevel="0" collapsed="false"/>
    <row r="1045553" customFormat="false" ht="12.75" hidden="false" customHeight="true" outlineLevel="0" collapsed="false"/>
    <row r="1045554" customFormat="false" ht="12.75" hidden="false" customHeight="true" outlineLevel="0" collapsed="false"/>
    <row r="1045555" customFormat="false" ht="12.75" hidden="false" customHeight="true" outlineLevel="0" collapsed="false"/>
    <row r="1045556" customFormat="false" ht="12.75" hidden="false" customHeight="true" outlineLevel="0" collapsed="false"/>
    <row r="1045557" customFormat="false" ht="12.75" hidden="false" customHeight="true" outlineLevel="0" collapsed="false"/>
    <row r="1045558" customFormat="false" ht="12.75" hidden="false" customHeight="true" outlineLevel="0" collapsed="false"/>
    <row r="1045559" customFormat="false" ht="12.75" hidden="false" customHeight="true" outlineLevel="0" collapsed="false"/>
    <row r="1045560" customFormat="false" ht="12.75" hidden="false" customHeight="true" outlineLevel="0" collapsed="false"/>
    <row r="1045561" customFormat="false" ht="12.75" hidden="false" customHeight="true" outlineLevel="0" collapsed="false"/>
    <row r="1045562" customFormat="false" ht="12.75" hidden="false" customHeight="true" outlineLevel="0" collapsed="false"/>
    <row r="1045563" customFormat="false" ht="12.75" hidden="false" customHeight="true" outlineLevel="0" collapsed="false"/>
    <row r="1045564" customFormat="false" ht="12.75" hidden="false" customHeight="true" outlineLevel="0" collapsed="false"/>
    <row r="1045565" customFormat="false" ht="12.75" hidden="false" customHeight="true" outlineLevel="0" collapsed="false"/>
    <row r="1045566" customFormat="false" ht="12.75" hidden="false" customHeight="true" outlineLevel="0" collapsed="false"/>
    <row r="1045567" customFormat="false" ht="12.75" hidden="false" customHeight="true" outlineLevel="0" collapsed="false"/>
    <row r="1045568" customFormat="false" ht="12.75" hidden="false" customHeight="true" outlineLevel="0" collapsed="false"/>
    <row r="1045569" customFormat="false" ht="12.75" hidden="false" customHeight="true" outlineLevel="0" collapsed="false"/>
    <row r="1045570" customFormat="false" ht="12.75" hidden="false" customHeight="true" outlineLevel="0" collapsed="false"/>
    <row r="1045571" customFormat="false" ht="12.75" hidden="false" customHeight="true" outlineLevel="0" collapsed="false"/>
    <row r="1045572" customFormat="false" ht="12.75" hidden="false" customHeight="true" outlineLevel="0" collapsed="false"/>
    <row r="1045573" customFormat="false" ht="12.75" hidden="false" customHeight="true" outlineLevel="0" collapsed="false"/>
    <row r="1045574" customFormat="false" ht="12.75" hidden="false" customHeight="true" outlineLevel="0" collapsed="false"/>
    <row r="1045575" customFormat="false" ht="12.75" hidden="false" customHeight="true" outlineLevel="0" collapsed="false"/>
    <row r="1045576" customFormat="false" ht="12.75" hidden="false" customHeight="true" outlineLevel="0" collapsed="false"/>
    <row r="1045577" customFormat="false" ht="12.75" hidden="false" customHeight="true" outlineLevel="0" collapsed="false"/>
    <row r="1045578" customFormat="false" ht="12.75" hidden="false" customHeight="true" outlineLevel="0" collapsed="false"/>
    <row r="1045579" customFormat="false" ht="12.75" hidden="false" customHeight="true" outlineLevel="0" collapsed="false"/>
    <row r="1045580" customFormat="false" ht="12.75" hidden="false" customHeight="true" outlineLevel="0" collapsed="false"/>
    <row r="1045581" customFormat="false" ht="12.75" hidden="false" customHeight="true" outlineLevel="0" collapsed="false"/>
    <row r="1045582" customFormat="false" ht="12.75" hidden="false" customHeight="true" outlineLevel="0" collapsed="false"/>
    <row r="1045583" customFormat="false" ht="12.75" hidden="false" customHeight="true" outlineLevel="0" collapsed="false"/>
    <row r="1045584" customFormat="false" ht="12.75" hidden="false" customHeight="true" outlineLevel="0" collapsed="false"/>
    <row r="1045585" customFormat="false" ht="12.75" hidden="false" customHeight="true" outlineLevel="0" collapsed="false"/>
    <row r="1045586" customFormat="false" ht="12.75" hidden="false" customHeight="true" outlineLevel="0" collapsed="false"/>
    <row r="1045587" customFormat="false" ht="12.75" hidden="false" customHeight="true" outlineLevel="0" collapsed="false"/>
    <row r="1045588" customFormat="false" ht="12.75" hidden="false" customHeight="true" outlineLevel="0" collapsed="false"/>
    <row r="1045589" customFormat="false" ht="12.75" hidden="false" customHeight="true" outlineLevel="0" collapsed="false"/>
    <row r="1045590" customFormat="false" ht="12.75" hidden="false" customHeight="true" outlineLevel="0" collapsed="false"/>
    <row r="1045591" customFormat="false" ht="12.75" hidden="false" customHeight="true" outlineLevel="0" collapsed="false"/>
    <row r="1045592" customFormat="false" ht="12.75" hidden="false" customHeight="true" outlineLevel="0" collapsed="false"/>
    <row r="1045593" customFormat="false" ht="12.75" hidden="false" customHeight="true" outlineLevel="0" collapsed="false"/>
    <row r="1045594" customFormat="false" ht="12.75" hidden="false" customHeight="true" outlineLevel="0" collapsed="false"/>
    <row r="1045595" customFormat="false" ht="12.75" hidden="false" customHeight="true" outlineLevel="0" collapsed="false"/>
    <row r="1045596" customFormat="false" ht="12.75" hidden="false" customHeight="true" outlineLevel="0" collapsed="false"/>
    <row r="1045597" customFormat="false" ht="12.75" hidden="false" customHeight="true" outlineLevel="0" collapsed="false"/>
    <row r="1045598" customFormat="false" ht="12.75" hidden="false" customHeight="true" outlineLevel="0" collapsed="false"/>
    <row r="1045599" customFormat="false" ht="12.75" hidden="false" customHeight="true" outlineLevel="0" collapsed="false"/>
    <row r="1045600" customFormat="false" ht="12.75" hidden="false" customHeight="true" outlineLevel="0" collapsed="false"/>
    <row r="1045601" customFormat="false" ht="12.75" hidden="false" customHeight="true" outlineLevel="0" collapsed="false"/>
    <row r="1045602" customFormat="false" ht="12.75" hidden="false" customHeight="true" outlineLevel="0" collapsed="false"/>
    <row r="1045603" customFormat="false" ht="12.75" hidden="false" customHeight="true" outlineLevel="0" collapsed="false"/>
    <row r="1045604" customFormat="false" ht="12.75" hidden="false" customHeight="true" outlineLevel="0" collapsed="false"/>
    <row r="1045605" customFormat="false" ht="12.75" hidden="false" customHeight="true" outlineLevel="0" collapsed="false"/>
    <row r="1045606" customFormat="false" ht="12.75" hidden="false" customHeight="true" outlineLevel="0" collapsed="false"/>
    <row r="1045607" customFormat="false" ht="12.75" hidden="false" customHeight="true" outlineLevel="0" collapsed="false"/>
    <row r="1045608" customFormat="false" ht="12.75" hidden="false" customHeight="true" outlineLevel="0" collapsed="false"/>
    <row r="1045609" customFormat="false" ht="12.75" hidden="false" customHeight="true" outlineLevel="0" collapsed="false"/>
    <row r="1045610" customFormat="false" ht="12.75" hidden="false" customHeight="true" outlineLevel="0" collapsed="false"/>
    <row r="1045611" customFormat="false" ht="12.75" hidden="false" customHeight="true" outlineLevel="0" collapsed="false"/>
    <row r="1045612" customFormat="false" ht="12.75" hidden="false" customHeight="true" outlineLevel="0" collapsed="false"/>
    <row r="1045613" customFormat="false" ht="12.75" hidden="false" customHeight="true" outlineLevel="0" collapsed="false"/>
    <row r="1045614" customFormat="false" ht="12.75" hidden="false" customHeight="true" outlineLevel="0" collapsed="false"/>
    <row r="1045615" customFormat="false" ht="12.75" hidden="false" customHeight="true" outlineLevel="0" collapsed="false"/>
    <row r="1045616" customFormat="false" ht="12.75" hidden="false" customHeight="true" outlineLevel="0" collapsed="false"/>
    <row r="1045617" customFormat="false" ht="12.75" hidden="false" customHeight="true" outlineLevel="0" collapsed="false"/>
    <row r="1045618" customFormat="false" ht="12.75" hidden="false" customHeight="true" outlineLevel="0" collapsed="false"/>
    <row r="1045619" customFormat="false" ht="12.75" hidden="false" customHeight="true" outlineLevel="0" collapsed="false"/>
    <row r="1045620" customFormat="false" ht="12.75" hidden="false" customHeight="true" outlineLevel="0" collapsed="false"/>
    <row r="1045621" customFormat="false" ht="12.75" hidden="false" customHeight="true" outlineLevel="0" collapsed="false"/>
    <row r="1045622" customFormat="false" ht="12.75" hidden="false" customHeight="true" outlineLevel="0" collapsed="false"/>
    <row r="1045623" customFormat="false" ht="12.75" hidden="false" customHeight="true" outlineLevel="0" collapsed="false"/>
    <row r="1045624" customFormat="false" ht="12.75" hidden="false" customHeight="true" outlineLevel="0" collapsed="false"/>
    <row r="1045625" customFormat="false" ht="12.75" hidden="false" customHeight="true" outlineLevel="0" collapsed="false"/>
    <row r="1045626" customFormat="false" ht="12.75" hidden="false" customHeight="true" outlineLevel="0" collapsed="false"/>
    <row r="1045627" customFormat="false" ht="12.75" hidden="false" customHeight="true" outlineLevel="0" collapsed="false"/>
    <row r="1045628" customFormat="false" ht="12.75" hidden="false" customHeight="true" outlineLevel="0" collapsed="false"/>
    <row r="1045629" customFormat="false" ht="12.75" hidden="false" customHeight="true" outlineLevel="0" collapsed="false"/>
    <row r="1045630" customFormat="false" ht="12.75" hidden="false" customHeight="true" outlineLevel="0" collapsed="false"/>
    <row r="1045631" customFormat="false" ht="12.75" hidden="false" customHeight="true" outlineLevel="0" collapsed="false"/>
    <row r="1045632" customFormat="false" ht="12.75" hidden="false" customHeight="true" outlineLevel="0" collapsed="false"/>
    <row r="1045633" customFormat="false" ht="12.75" hidden="false" customHeight="true" outlineLevel="0" collapsed="false"/>
    <row r="1045634" customFormat="false" ht="12.75" hidden="false" customHeight="true" outlineLevel="0" collapsed="false"/>
    <row r="1045635" customFormat="false" ht="12.75" hidden="false" customHeight="true" outlineLevel="0" collapsed="false"/>
    <row r="1045636" customFormat="false" ht="12.75" hidden="false" customHeight="true" outlineLevel="0" collapsed="false"/>
    <row r="1045637" customFormat="false" ht="12.75" hidden="false" customHeight="true" outlineLevel="0" collapsed="false"/>
    <row r="1045638" customFormat="false" ht="12.75" hidden="false" customHeight="true" outlineLevel="0" collapsed="false"/>
    <row r="1045639" customFormat="false" ht="12.75" hidden="false" customHeight="true" outlineLevel="0" collapsed="false"/>
    <row r="1045640" customFormat="false" ht="12.75" hidden="false" customHeight="true" outlineLevel="0" collapsed="false"/>
    <row r="1045641" customFormat="false" ht="12.75" hidden="false" customHeight="true" outlineLevel="0" collapsed="false"/>
    <row r="1045642" customFormat="false" ht="12.75" hidden="false" customHeight="true" outlineLevel="0" collapsed="false"/>
    <row r="1045643" customFormat="false" ht="12.75" hidden="false" customHeight="true" outlineLevel="0" collapsed="false"/>
    <row r="1045644" customFormat="false" ht="12.75" hidden="false" customHeight="true" outlineLevel="0" collapsed="false"/>
    <row r="1045645" customFormat="false" ht="12.75" hidden="false" customHeight="true" outlineLevel="0" collapsed="false"/>
    <row r="1045646" customFormat="false" ht="12.75" hidden="false" customHeight="true" outlineLevel="0" collapsed="false"/>
    <row r="1045647" customFormat="false" ht="12.75" hidden="false" customHeight="true" outlineLevel="0" collapsed="false"/>
    <row r="1045648" customFormat="false" ht="12.75" hidden="false" customHeight="true" outlineLevel="0" collapsed="false"/>
    <row r="1045649" customFormat="false" ht="12.75" hidden="false" customHeight="true" outlineLevel="0" collapsed="false"/>
    <row r="1045650" customFormat="false" ht="12.75" hidden="false" customHeight="true" outlineLevel="0" collapsed="false"/>
    <row r="1045651" customFormat="false" ht="12.75" hidden="false" customHeight="true" outlineLevel="0" collapsed="false"/>
    <row r="1045652" customFormat="false" ht="12.75" hidden="false" customHeight="true" outlineLevel="0" collapsed="false"/>
    <row r="1045653" customFormat="false" ht="12.75" hidden="false" customHeight="true" outlineLevel="0" collapsed="false"/>
    <row r="1045654" customFormat="false" ht="12.75" hidden="false" customHeight="true" outlineLevel="0" collapsed="false"/>
    <row r="1045655" customFormat="false" ht="12.75" hidden="false" customHeight="true" outlineLevel="0" collapsed="false"/>
    <row r="1045656" customFormat="false" ht="12.75" hidden="false" customHeight="true" outlineLevel="0" collapsed="false"/>
    <row r="1045657" customFormat="false" ht="12.75" hidden="false" customHeight="true" outlineLevel="0" collapsed="false"/>
    <row r="1045658" customFormat="false" ht="12.75" hidden="false" customHeight="true" outlineLevel="0" collapsed="false"/>
    <row r="1045659" customFormat="false" ht="12.75" hidden="false" customHeight="true" outlineLevel="0" collapsed="false"/>
    <row r="1045660" customFormat="false" ht="12.75" hidden="false" customHeight="true" outlineLevel="0" collapsed="false"/>
    <row r="1045661" customFormat="false" ht="12.75" hidden="false" customHeight="true" outlineLevel="0" collapsed="false"/>
    <row r="1045662" customFormat="false" ht="12.75" hidden="false" customHeight="true" outlineLevel="0" collapsed="false"/>
    <row r="1045663" customFormat="false" ht="12.75" hidden="false" customHeight="true" outlineLevel="0" collapsed="false"/>
    <row r="1045664" customFormat="false" ht="12.75" hidden="false" customHeight="true" outlineLevel="0" collapsed="false"/>
    <row r="1045665" customFormat="false" ht="12.75" hidden="false" customHeight="true" outlineLevel="0" collapsed="false"/>
    <row r="1045666" customFormat="false" ht="12.75" hidden="false" customHeight="true" outlineLevel="0" collapsed="false"/>
    <row r="1045667" customFormat="false" ht="12.75" hidden="false" customHeight="true" outlineLevel="0" collapsed="false"/>
    <row r="1045668" customFormat="false" ht="12.75" hidden="false" customHeight="true" outlineLevel="0" collapsed="false"/>
    <row r="1045669" customFormat="false" ht="12.75" hidden="false" customHeight="true" outlineLevel="0" collapsed="false"/>
    <row r="1045670" customFormat="false" ht="12.75" hidden="false" customHeight="true" outlineLevel="0" collapsed="false"/>
    <row r="1045671" customFormat="false" ht="12.75" hidden="false" customHeight="true" outlineLevel="0" collapsed="false"/>
    <row r="1045672" customFormat="false" ht="12.75" hidden="false" customHeight="true" outlineLevel="0" collapsed="false"/>
    <row r="1045673" customFormat="false" ht="12.75" hidden="false" customHeight="true" outlineLevel="0" collapsed="false"/>
    <row r="1045674" customFormat="false" ht="12.75" hidden="false" customHeight="true" outlineLevel="0" collapsed="false"/>
    <row r="1045675" customFormat="false" ht="12.75" hidden="false" customHeight="true" outlineLevel="0" collapsed="false"/>
    <row r="1045676" customFormat="false" ht="12.75" hidden="false" customHeight="true" outlineLevel="0" collapsed="false"/>
    <row r="1045677" customFormat="false" ht="12.75" hidden="false" customHeight="true" outlineLevel="0" collapsed="false"/>
    <row r="1045678" customFormat="false" ht="12.75" hidden="false" customHeight="true" outlineLevel="0" collapsed="false"/>
    <row r="1045679" customFormat="false" ht="12.75" hidden="false" customHeight="true" outlineLevel="0" collapsed="false"/>
    <row r="1045680" customFormat="false" ht="12.75" hidden="false" customHeight="true" outlineLevel="0" collapsed="false"/>
    <row r="1045681" customFormat="false" ht="12.75" hidden="false" customHeight="true" outlineLevel="0" collapsed="false"/>
    <row r="1045682" customFormat="false" ht="12.75" hidden="false" customHeight="true" outlineLevel="0" collapsed="false"/>
    <row r="1045683" customFormat="false" ht="12.75" hidden="false" customHeight="true" outlineLevel="0" collapsed="false"/>
    <row r="1045684" customFormat="false" ht="12.75" hidden="false" customHeight="true" outlineLevel="0" collapsed="false"/>
    <row r="1045685" customFormat="false" ht="12.75" hidden="false" customHeight="true" outlineLevel="0" collapsed="false"/>
    <row r="1045686" customFormat="false" ht="12.75" hidden="false" customHeight="true" outlineLevel="0" collapsed="false"/>
    <row r="1045687" customFormat="false" ht="12.75" hidden="false" customHeight="true" outlineLevel="0" collapsed="false"/>
    <row r="1045688" customFormat="false" ht="12.75" hidden="false" customHeight="true" outlineLevel="0" collapsed="false"/>
    <row r="1045689" customFormat="false" ht="12.75" hidden="false" customHeight="true" outlineLevel="0" collapsed="false"/>
    <row r="1045690" customFormat="false" ht="12.75" hidden="false" customHeight="true" outlineLevel="0" collapsed="false"/>
    <row r="1045691" customFormat="false" ht="12.75" hidden="false" customHeight="true" outlineLevel="0" collapsed="false"/>
    <row r="1045692" customFormat="false" ht="12.75" hidden="false" customHeight="true" outlineLevel="0" collapsed="false"/>
    <row r="1045693" customFormat="false" ht="12.75" hidden="false" customHeight="true" outlineLevel="0" collapsed="false"/>
    <row r="1045694" customFormat="false" ht="12.75" hidden="false" customHeight="true" outlineLevel="0" collapsed="false"/>
    <row r="1045695" customFormat="false" ht="12.75" hidden="false" customHeight="true" outlineLevel="0" collapsed="false"/>
    <row r="1045696" customFormat="false" ht="12.75" hidden="false" customHeight="true" outlineLevel="0" collapsed="false"/>
    <row r="1045697" customFormat="false" ht="12.75" hidden="false" customHeight="true" outlineLevel="0" collapsed="false"/>
    <row r="1045698" customFormat="false" ht="12.75" hidden="false" customHeight="true" outlineLevel="0" collapsed="false"/>
    <row r="1045699" customFormat="false" ht="12.75" hidden="false" customHeight="true" outlineLevel="0" collapsed="false"/>
    <row r="1045700" customFormat="false" ht="12.75" hidden="false" customHeight="true" outlineLevel="0" collapsed="false"/>
    <row r="1045701" customFormat="false" ht="12.75" hidden="false" customHeight="true" outlineLevel="0" collapsed="false"/>
    <row r="1045702" customFormat="false" ht="12.75" hidden="false" customHeight="true" outlineLevel="0" collapsed="false"/>
    <row r="1045703" customFormat="false" ht="12.75" hidden="false" customHeight="true" outlineLevel="0" collapsed="false"/>
    <row r="1045704" customFormat="false" ht="12.75" hidden="false" customHeight="true" outlineLevel="0" collapsed="false"/>
    <row r="1045705" customFormat="false" ht="12.75" hidden="false" customHeight="true" outlineLevel="0" collapsed="false"/>
    <row r="1045706" customFormat="false" ht="12.75" hidden="false" customHeight="true" outlineLevel="0" collapsed="false"/>
    <row r="1045707" customFormat="false" ht="12.75" hidden="false" customHeight="true" outlineLevel="0" collapsed="false"/>
    <row r="1045708" customFormat="false" ht="12.75" hidden="false" customHeight="true" outlineLevel="0" collapsed="false"/>
    <row r="1045709" customFormat="false" ht="12.75" hidden="false" customHeight="true" outlineLevel="0" collapsed="false"/>
    <row r="1045710" customFormat="false" ht="12.75" hidden="false" customHeight="true" outlineLevel="0" collapsed="false"/>
    <row r="1045711" customFormat="false" ht="12.75" hidden="false" customHeight="true" outlineLevel="0" collapsed="false"/>
    <row r="1045712" customFormat="false" ht="12.75" hidden="false" customHeight="true" outlineLevel="0" collapsed="false"/>
    <row r="1045713" customFormat="false" ht="12.75" hidden="false" customHeight="true" outlineLevel="0" collapsed="false"/>
    <row r="1045714" customFormat="false" ht="12.75" hidden="false" customHeight="true" outlineLevel="0" collapsed="false"/>
    <row r="1045715" customFormat="false" ht="12.75" hidden="false" customHeight="true" outlineLevel="0" collapsed="false"/>
    <row r="1045716" customFormat="false" ht="12.75" hidden="false" customHeight="true" outlineLevel="0" collapsed="false"/>
    <row r="1045717" customFormat="false" ht="12.75" hidden="false" customHeight="true" outlineLevel="0" collapsed="false"/>
    <row r="1045718" customFormat="false" ht="12.75" hidden="false" customHeight="true" outlineLevel="0" collapsed="false"/>
    <row r="1045719" customFormat="false" ht="12.75" hidden="false" customHeight="true" outlineLevel="0" collapsed="false"/>
    <row r="1045720" customFormat="false" ht="12.75" hidden="false" customHeight="true" outlineLevel="0" collapsed="false"/>
    <row r="1045721" customFormat="false" ht="12.75" hidden="false" customHeight="true" outlineLevel="0" collapsed="false"/>
    <row r="1045722" customFormat="false" ht="12.75" hidden="false" customHeight="true" outlineLevel="0" collapsed="false"/>
    <row r="1045723" customFormat="false" ht="12.75" hidden="false" customHeight="true" outlineLevel="0" collapsed="false"/>
    <row r="1045724" customFormat="false" ht="12.75" hidden="false" customHeight="true" outlineLevel="0" collapsed="false"/>
    <row r="1045725" customFormat="false" ht="12.75" hidden="false" customHeight="true" outlineLevel="0" collapsed="false"/>
    <row r="1045726" customFormat="false" ht="12.75" hidden="false" customHeight="true" outlineLevel="0" collapsed="false"/>
    <row r="1045727" customFormat="false" ht="12.75" hidden="false" customHeight="true" outlineLevel="0" collapsed="false"/>
    <row r="1045728" customFormat="false" ht="12.75" hidden="false" customHeight="true" outlineLevel="0" collapsed="false"/>
    <row r="1045729" customFormat="false" ht="12.75" hidden="false" customHeight="true" outlineLevel="0" collapsed="false"/>
    <row r="1045730" customFormat="false" ht="12.75" hidden="false" customHeight="true" outlineLevel="0" collapsed="false"/>
    <row r="1045731" customFormat="false" ht="12.75" hidden="false" customHeight="true" outlineLevel="0" collapsed="false"/>
    <row r="1045732" customFormat="false" ht="12.75" hidden="false" customHeight="true" outlineLevel="0" collapsed="false"/>
    <row r="1045733" customFormat="false" ht="12.75" hidden="false" customHeight="true" outlineLevel="0" collapsed="false"/>
    <row r="1045734" customFormat="false" ht="12.75" hidden="false" customHeight="true" outlineLevel="0" collapsed="false"/>
    <row r="1045735" customFormat="false" ht="12.75" hidden="false" customHeight="true" outlineLevel="0" collapsed="false"/>
    <row r="1045736" customFormat="false" ht="12.75" hidden="false" customHeight="true" outlineLevel="0" collapsed="false"/>
    <row r="1045737" customFormat="false" ht="12.75" hidden="false" customHeight="true" outlineLevel="0" collapsed="false"/>
    <row r="1045738" customFormat="false" ht="12.75" hidden="false" customHeight="true" outlineLevel="0" collapsed="false"/>
    <row r="1045739" customFormat="false" ht="12.75" hidden="false" customHeight="true" outlineLevel="0" collapsed="false"/>
    <row r="1045740" customFormat="false" ht="12.75" hidden="false" customHeight="true" outlineLevel="0" collapsed="false"/>
    <row r="1045741" customFormat="false" ht="12.75" hidden="false" customHeight="true" outlineLevel="0" collapsed="false"/>
    <row r="1045742" customFormat="false" ht="12.75" hidden="false" customHeight="true" outlineLevel="0" collapsed="false"/>
    <row r="1045743" customFormat="false" ht="12.75" hidden="false" customHeight="true" outlineLevel="0" collapsed="false"/>
    <row r="1045744" customFormat="false" ht="12.75" hidden="false" customHeight="true" outlineLevel="0" collapsed="false"/>
    <row r="1045745" customFormat="false" ht="12.75" hidden="false" customHeight="true" outlineLevel="0" collapsed="false"/>
    <row r="1045746" customFormat="false" ht="12.75" hidden="false" customHeight="true" outlineLevel="0" collapsed="false"/>
    <row r="1045747" customFormat="false" ht="12.75" hidden="false" customHeight="true" outlineLevel="0" collapsed="false"/>
    <row r="1045748" customFormat="false" ht="12.75" hidden="false" customHeight="true" outlineLevel="0" collapsed="false"/>
    <row r="1045749" customFormat="false" ht="12.75" hidden="false" customHeight="true" outlineLevel="0" collapsed="false"/>
    <row r="1045750" customFormat="false" ht="12.75" hidden="false" customHeight="true" outlineLevel="0" collapsed="false"/>
    <row r="1045751" customFormat="false" ht="12.75" hidden="false" customHeight="true" outlineLevel="0" collapsed="false"/>
    <row r="1045752" customFormat="false" ht="12.75" hidden="false" customHeight="true" outlineLevel="0" collapsed="false"/>
    <row r="1045753" customFormat="false" ht="12.75" hidden="false" customHeight="true" outlineLevel="0" collapsed="false"/>
    <row r="1045754" customFormat="false" ht="12.75" hidden="false" customHeight="true" outlineLevel="0" collapsed="false"/>
    <row r="1045755" customFormat="false" ht="12.75" hidden="false" customHeight="true" outlineLevel="0" collapsed="false"/>
    <row r="1045756" customFormat="false" ht="12.75" hidden="false" customHeight="true" outlineLevel="0" collapsed="false"/>
    <row r="1045757" customFormat="false" ht="12.75" hidden="false" customHeight="true" outlineLevel="0" collapsed="false"/>
    <row r="1045758" customFormat="false" ht="12.75" hidden="false" customHeight="true" outlineLevel="0" collapsed="false"/>
    <row r="1045759" customFormat="false" ht="12.75" hidden="false" customHeight="true" outlineLevel="0" collapsed="false"/>
    <row r="1045760" customFormat="false" ht="12.75" hidden="false" customHeight="true" outlineLevel="0" collapsed="false"/>
    <row r="1045761" customFormat="false" ht="12.75" hidden="false" customHeight="true" outlineLevel="0" collapsed="false"/>
    <row r="1045762" customFormat="false" ht="12.75" hidden="false" customHeight="true" outlineLevel="0" collapsed="false"/>
    <row r="1045763" customFormat="false" ht="12.75" hidden="false" customHeight="true" outlineLevel="0" collapsed="false"/>
    <row r="1045764" customFormat="false" ht="12.75" hidden="false" customHeight="true" outlineLevel="0" collapsed="false"/>
    <row r="1045765" customFormat="false" ht="12.75" hidden="false" customHeight="true" outlineLevel="0" collapsed="false"/>
    <row r="1045766" customFormat="false" ht="12.75" hidden="false" customHeight="true" outlineLevel="0" collapsed="false"/>
    <row r="1045767" customFormat="false" ht="12.75" hidden="false" customHeight="true" outlineLevel="0" collapsed="false"/>
    <row r="1045768" customFormat="false" ht="12.75" hidden="false" customHeight="true" outlineLevel="0" collapsed="false"/>
    <row r="1045769" customFormat="false" ht="12.75" hidden="false" customHeight="true" outlineLevel="0" collapsed="false"/>
    <row r="1045770" customFormat="false" ht="12.75" hidden="false" customHeight="true" outlineLevel="0" collapsed="false"/>
    <row r="1045771" customFormat="false" ht="12.75" hidden="false" customHeight="true" outlineLevel="0" collapsed="false"/>
    <row r="1045772" customFormat="false" ht="12.75" hidden="false" customHeight="true" outlineLevel="0" collapsed="false"/>
    <row r="1045773" customFormat="false" ht="12.75" hidden="false" customHeight="true" outlineLevel="0" collapsed="false"/>
    <row r="1045774" customFormat="false" ht="12.75" hidden="false" customHeight="true" outlineLevel="0" collapsed="false"/>
    <row r="1045775" customFormat="false" ht="12.75" hidden="false" customHeight="true" outlineLevel="0" collapsed="false"/>
    <row r="1045776" customFormat="false" ht="12.75" hidden="false" customHeight="true" outlineLevel="0" collapsed="false"/>
    <row r="1045777" customFormat="false" ht="12.75" hidden="false" customHeight="true" outlineLevel="0" collapsed="false"/>
    <row r="1045778" customFormat="false" ht="12.75" hidden="false" customHeight="true" outlineLevel="0" collapsed="false"/>
    <row r="1045779" customFormat="false" ht="12.75" hidden="false" customHeight="true" outlineLevel="0" collapsed="false"/>
    <row r="1045780" customFormat="false" ht="12.75" hidden="false" customHeight="true" outlineLevel="0" collapsed="false"/>
    <row r="1045781" customFormat="false" ht="12.75" hidden="false" customHeight="true" outlineLevel="0" collapsed="false"/>
    <row r="1045782" customFormat="false" ht="12.75" hidden="false" customHeight="true" outlineLevel="0" collapsed="false"/>
    <row r="1045783" customFormat="false" ht="12.75" hidden="false" customHeight="true" outlineLevel="0" collapsed="false"/>
    <row r="1045784" customFormat="false" ht="12.75" hidden="false" customHeight="true" outlineLevel="0" collapsed="false"/>
    <row r="1045785" customFormat="false" ht="12.75" hidden="false" customHeight="true" outlineLevel="0" collapsed="false"/>
    <row r="1045786" customFormat="false" ht="12.75" hidden="false" customHeight="true" outlineLevel="0" collapsed="false"/>
    <row r="1045787" customFormat="false" ht="12.75" hidden="false" customHeight="true" outlineLevel="0" collapsed="false"/>
    <row r="1045788" customFormat="false" ht="12.75" hidden="false" customHeight="true" outlineLevel="0" collapsed="false"/>
    <row r="1045789" customFormat="false" ht="12.75" hidden="false" customHeight="true" outlineLevel="0" collapsed="false"/>
    <row r="1045790" customFormat="false" ht="12.75" hidden="false" customHeight="true" outlineLevel="0" collapsed="false"/>
    <row r="1045791" customFormat="false" ht="12.75" hidden="false" customHeight="true" outlineLevel="0" collapsed="false"/>
    <row r="1045792" customFormat="false" ht="12.75" hidden="false" customHeight="true" outlineLevel="0" collapsed="false"/>
    <row r="1045793" customFormat="false" ht="12.75" hidden="false" customHeight="true" outlineLevel="0" collapsed="false"/>
    <row r="1045794" customFormat="false" ht="12.75" hidden="false" customHeight="true" outlineLevel="0" collapsed="false"/>
    <row r="1045795" customFormat="false" ht="12.75" hidden="false" customHeight="true" outlineLevel="0" collapsed="false"/>
    <row r="1045796" customFormat="false" ht="12.75" hidden="false" customHeight="true" outlineLevel="0" collapsed="false"/>
    <row r="1045797" customFormat="false" ht="12.75" hidden="false" customHeight="true" outlineLevel="0" collapsed="false"/>
    <row r="1045798" customFormat="false" ht="12.75" hidden="false" customHeight="true" outlineLevel="0" collapsed="false"/>
    <row r="1045799" customFormat="false" ht="12.75" hidden="false" customHeight="true" outlineLevel="0" collapsed="false"/>
    <row r="1045800" customFormat="false" ht="12.75" hidden="false" customHeight="true" outlineLevel="0" collapsed="false"/>
    <row r="1045801" customFormat="false" ht="12.75" hidden="false" customHeight="true" outlineLevel="0" collapsed="false"/>
    <row r="1045802" customFormat="false" ht="12.75" hidden="false" customHeight="true" outlineLevel="0" collapsed="false"/>
    <row r="1045803" customFormat="false" ht="12.75" hidden="false" customHeight="true" outlineLevel="0" collapsed="false"/>
    <row r="1045804" customFormat="false" ht="12.75" hidden="false" customHeight="true" outlineLevel="0" collapsed="false"/>
    <row r="1045805" customFormat="false" ht="12.75" hidden="false" customHeight="true" outlineLevel="0" collapsed="false"/>
    <row r="1045806" customFormat="false" ht="12.75" hidden="false" customHeight="true" outlineLevel="0" collapsed="false"/>
    <row r="1045807" customFormat="false" ht="12.75" hidden="false" customHeight="true" outlineLevel="0" collapsed="false"/>
    <row r="1045808" customFormat="false" ht="12.75" hidden="false" customHeight="true" outlineLevel="0" collapsed="false"/>
    <row r="1045809" customFormat="false" ht="12.75" hidden="false" customHeight="true" outlineLevel="0" collapsed="false"/>
    <row r="1045810" customFormat="false" ht="12.75" hidden="false" customHeight="true" outlineLevel="0" collapsed="false"/>
    <row r="1045811" customFormat="false" ht="12.75" hidden="false" customHeight="true" outlineLevel="0" collapsed="false"/>
    <row r="1045812" customFormat="false" ht="12.75" hidden="false" customHeight="true" outlineLevel="0" collapsed="false"/>
    <row r="1045813" customFormat="false" ht="12.75" hidden="false" customHeight="true" outlineLevel="0" collapsed="false"/>
    <row r="1045814" customFormat="false" ht="12.75" hidden="false" customHeight="true" outlineLevel="0" collapsed="false"/>
    <row r="1045815" customFormat="false" ht="12.75" hidden="false" customHeight="true" outlineLevel="0" collapsed="false"/>
    <row r="1045816" customFormat="false" ht="12.75" hidden="false" customHeight="true" outlineLevel="0" collapsed="false"/>
    <row r="1045817" customFormat="false" ht="12.75" hidden="false" customHeight="true" outlineLevel="0" collapsed="false"/>
    <row r="1045818" customFormat="false" ht="12.75" hidden="false" customHeight="true" outlineLevel="0" collapsed="false"/>
    <row r="1045819" customFormat="false" ht="12.75" hidden="false" customHeight="true" outlineLevel="0" collapsed="false"/>
    <row r="1045820" customFormat="false" ht="12.75" hidden="false" customHeight="true" outlineLevel="0" collapsed="false"/>
    <row r="1045821" customFormat="false" ht="12.75" hidden="false" customHeight="true" outlineLevel="0" collapsed="false"/>
    <row r="1045822" customFormat="false" ht="12.75" hidden="false" customHeight="true" outlineLevel="0" collapsed="false"/>
    <row r="1045823" customFormat="false" ht="12.75" hidden="false" customHeight="true" outlineLevel="0" collapsed="false"/>
    <row r="1045824" customFormat="false" ht="12.75" hidden="false" customHeight="true" outlineLevel="0" collapsed="false"/>
    <row r="1045825" customFormat="false" ht="12.75" hidden="false" customHeight="true" outlineLevel="0" collapsed="false"/>
    <row r="1045826" customFormat="false" ht="12.75" hidden="false" customHeight="true" outlineLevel="0" collapsed="false"/>
    <row r="1045827" customFormat="false" ht="12.75" hidden="false" customHeight="true" outlineLevel="0" collapsed="false"/>
    <row r="1045828" customFormat="false" ht="12.75" hidden="false" customHeight="true" outlineLevel="0" collapsed="false"/>
    <row r="1045829" customFormat="false" ht="12.75" hidden="false" customHeight="true" outlineLevel="0" collapsed="false"/>
    <row r="1045830" customFormat="false" ht="12.75" hidden="false" customHeight="true" outlineLevel="0" collapsed="false"/>
    <row r="1045831" customFormat="false" ht="12.75" hidden="false" customHeight="true" outlineLevel="0" collapsed="false"/>
    <row r="1045832" customFormat="false" ht="12.75" hidden="false" customHeight="true" outlineLevel="0" collapsed="false"/>
    <row r="1045833" customFormat="false" ht="12.75" hidden="false" customHeight="true" outlineLevel="0" collapsed="false"/>
    <row r="1045834" customFormat="false" ht="12.75" hidden="false" customHeight="true" outlineLevel="0" collapsed="false"/>
    <row r="1045835" customFormat="false" ht="12.75" hidden="false" customHeight="true" outlineLevel="0" collapsed="false"/>
    <row r="1045836" customFormat="false" ht="12.75" hidden="false" customHeight="true" outlineLevel="0" collapsed="false"/>
    <row r="1045837" customFormat="false" ht="12.75" hidden="false" customHeight="true" outlineLevel="0" collapsed="false"/>
    <row r="1045838" customFormat="false" ht="12.75" hidden="false" customHeight="true" outlineLevel="0" collapsed="false"/>
    <row r="1045839" customFormat="false" ht="12.75" hidden="false" customHeight="true" outlineLevel="0" collapsed="false"/>
    <row r="1045840" customFormat="false" ht="12.75" hidden="false" customHeight="true" outlineLevel="0" collapsed="false"/>
    <row r="1045841" customFormat="false" ht="12.75" hidden="false" customHeight="true" outlineLevel="0" collapsed="false"/>
    <row r="1045842" customFormat="false" ht="12.75" hidden="false" customHeight="true" outlineLevel="0" collapsed="false"/>
    <row r="1045843" customFormat="false" ht="12.75" hidden="false" customHeight="true" outlineLevel="0" collapsed="false"/>
    <row r="1045844" customFormat="false" ht="12.75" hidden="false" customHeight="true" outlineLevel="0" collapsed="false"/>
    <row r="1045845" customFormat="false" ht="12.75" hidden="false" customHeight="true" outlineLevel="0" collapsed="false"/>
    <row r="1045846" customFormat="false" ht="12.75" hidden="false" customHeight="true" outlineLevel="0" collapsed="false"/>
    <row r="1045847" customFormat="false" ht="12.75" hidden="false" customHeight="true" outlineLevel="0" collapsed="false"/>
    <row r="1045848" customFormat="false" ht="12.75" hidden="false" customHeight="true" outlineLevel="0" collapsed="false"/>
    <row r="1045849" customFormat="false" ht="12.75" hidden="false" customHeight="true" outlineLevel="0" collapsed="false"/>
    <row r="1045850" customFormat="false" ht="12.75" hidden="false" customHeight="true" outlineLevel="0" collapsed="false"/>
    <row r="1045851" customFormat="false" ht="12.75" hidden="false" customHeight="true" outlineLevel="0" collapsed="false"/>
    <row r="1045852" customFormat="false" ht="12.75" hidden="false" customHeight="true" outlineLevel="0" collapsed="false"/>
    <row r="1045853" customFormat="false" ht="12.75" hidden="false" customHeight="true" outlineLevel="0" collapsed="false"/>
    <row r="1045854" customFormat="false" ht="12.75" hidden="false" customHeight="true" outlineLevel="0" collapsed="false"/>
    <row r="1045855" customFormat="false" ht="12.75" hidden="false" customHeight="true" outlineLevel="0" collapsed="false"/>
    <row r="1045856" customFormat="false" ht="12.75" hidden="false" customHeight="true" outlineLevel="0" collapsed="false"/>
    <row r="1045857" customFormat="false" ht="12.75" hidden="false" customHeight="true" outlineLevel="0" collapsed="false"/>
    <row r="1045858" customFormat="false" ht="12.75" hidden="false" customHeight="true" outlineLevel="0" collapsed="false"/>
    <row r="1045859" customFormat="false" ht="12.75" hidden="false" customHeight="true" outlineLevel="0" collapsed="false"/>
    <row r="1045860" customFormat="false" ht="12.75" hidden="false" customHeight="true" outlineLevel="0" collapsed="false"/>
    <row r="1045861" customFormat="false" ht="12.75" hidden="false" customHeight="true" outlineLevel="0" collapsed="false"/>
    <row r="1045862" customFormat="false" ht="12.75" hidden="false" customHeight="true" outlineLevel="0" collapsed="false"/>
    <row r="1045863" customFormat="false" ht="12.75" hidden="false" customHeight="true" outlineLevel="0" collapsed="false"/>
    <row r="1045864" customFormat="false" ht="12.75" hidden="false" customHeight="true" outlineLevel="0" collapsed="false"/>
    <row r="1045865" customFormat="false" ht="12.75" hidden="false" customHeight="true" outlineLevel="0" collapsed="false"/>
    <row r="1045866" customFormat="false" ht="12.75" hidden="false" customHeight="true" outlineLevel="0" collapsed="false"/>
    <row r="1045867" customFormat="false" ht="12.75" hidden="false" customHeight="true" outlineLevel="0" collapsed="false"/>
    <row r="1045868" customFormat="false" ht="12.75" hidden="false" customHeight="true" outlineLevel="0" collapsed="false"/>
    <row r="1045869" customFormat="false" ht="12.75" hidden="false" customHeight="true" outlineLevel="0" collapsed="false"/>
    <row r="1045870" customFormat="false" ht="12.75" hidden="false" customHeight="true" outlineLevel="0" collapsed="false"/>
    <row r="1045871" customFormat="false" ht="12.75" hidden="false" customHeight="true" outlineLevel="0" collapsed="false"/>
    <row r="1045872" customFormat="false" ht="12.75" hidden="false" customHeight="true" outlineLevel="0" collapsed="false"/>
    <row r="1045873" customFormat="false" ht="12.75" hidden="false" customHeight="true" outlineLevel="0" collapsed="false"/>
    <row r="1045874" customFormat="false" ht="12.75" hidden="false" customHeight="true" outlineLevel="0" collapsed="false"/>
    <row r="1045875" customFormat="false" ht="12.75" hidden="false" customHeight="true" outlineLevel="0" collapsed="false"/>
    <row r="1045876" customFormat="false" ht="12.75" hidden="false" customHeight="true" outlineLevel="0" collapsed="false"/>
    <row r="1045877" customFormat="false" ht="12.75" hidden="false" customHeight="true" outlineLevel="0" collapsed="false"/>
    <row r="1045878" customFormat="false" ht="12.75" hidden="false" customHeight="true" outlineLevel="0" collapsed="false"/>
    <row r="1045879" customFormat="false" ht="12.75" hidden="false" customHeight="true" outlineLevel="0" collapsed="false"/>
    <row r="1045880" customFormat="false" ht="12.75" hidden="false" customHeight="true" outlineLevel="0" collapsed="false"/>
    <row r="1045881" customFormat="false" ht="12.75" hidden="false" customHeight="true" outlineLevel="0" collapsed="false"/>
    <row r="1045882" customFormat="false" ht="12.75" hidden="false" customHeight="true" outlineLevel="0" collapsed="false"/>
    <row r="1045883" customFormat="false" ht="12.75" hidden="false" customHeight="true" outlineLevel="0" collapsed="false"/>
    <row r="1045884" customFormat="false" ht="12.75" hidden="false" customHeight="true" outlineLevel="0" collapsed="false"/>
    <row r="1045885" customFormat="false" ht="12.75" hidden="false" customHeight="true" outlineLevel="0" collapsed="false"/>
    <row r="1045886" customFormat="false" ht="12.75" hidden="false" customHeight="true" outlineLevel="0" collapsed="false"/>
    <row r="1045887" customFormat="false" ht="12.75" hidden="false" customHeight="true" outlineLevel="0" collapsed="false"/>
    <row r="1045888" customFormat="false" ht="12.75" hidden="false" customHeight="true" outlineLevel="0" collapsed="false"/>
    <row r="1045889" customFormat="false" ht="12.75" hidden="false" customHeight="true" outlineLevel="0" collapsed="false"/>
    <row r="1045890" customFormat="false" ht="12.75" hidden="false" customHeight="true" outlineLevel="0" collapsed="false"/>
    <row r="1045891" customFormat="false" ht="12.75" hidden="false" customHeight="true" outlineLevel="0" collapsed="false"/>
    <row r="1045892" customFormat="false" ht="12.75" hidden="false" customHeight="true" outlineLevel="0" collapsed="false"/>
    <row r="1045893" customFormat="false" ht="12.75" hidden="false" customHeight="true" outlineLevel="0" collapsed="false"/>
    <row r="1045894" customFormat="false" ht="12.75" hidden="false" customHeight="true" outlineLevel="0" collapsed="false"/>
    <row r="1045895" customFormat="false" ht="12.75" hidden="false" customHeight="true" outlineLevel="0" collapsed="false"/>
    <row r="1045896" customFormat="false" ht="12.75" hidden="false" customHeight="true" outlineLevel="0" collapsed="false"/>
    <row r="1045897" customFormat="false" ht="12.75" hidden="false" customHeight="true" outlineLevel="0" collapsed="false"/>
    <row r="1045898" customFormat="false" ht="12.75" hidden="false" customHeight="true" outlineLevel="0" collapsed="false"/>
    <row r="1045899" customFormat="false" ht="12.75" hidden="false" customHeight="true" outlineLevel="0" collapsed="false"/>
    <row r="1045900" customFormat="false" ht="12.75" hidden="false" customHeight="true" outlineLevel="0" collapsed="false"/>
    <row r="1045901" customFormat="false" ht="12.75" hidden="false" customHeight="true" outlineLevel="0" collapsed="false"/>
    <row r="1045902" customFormat="false" ht="12.75" hidden="false" customHeight="true" outlineLevel="0" collapsed="false"/>
    <row r="1045903" customFormat="false" ht="12.75" hidden="false" customHeight="true" outlineLevel="0" collapsed="false"/>
    <row r="1045904" customFormat="false" ht="12.75" hidden="false" customHeight="true" outlineLevel="0" collapsed="false"/>
    <row r="1045905" customFormat="false" ht="12.75" hidden="false" customHeight="true" outlineLevel="0" collapsed="false"/>
    <row r="1045906" customFormat="false" ht="12.75" hidden="false" customHeight="true" outlineLevel="0" collapsed="false"/>
    <row r="1045907" customFormat="false" ht="12.75" hidden="false" customHeight="true" outlineLevel="0" collapsed="false"/>
    <row r="1045908" customFormat="false" ht="12.75" hidden="false" customHeight="true" outlineLevel="0" collapsed="false"/>
    <row r="1045909" customFormat="false" ht="12.75" hidden="false" customHeight="true" outlineLevel="0" collapsed="false"/>
    <row r="1045910" customFormat="false" ht="12.75" hidden="false" customHeight="true" outlineLevel="0" collapsed="false"/>
    <row r="1045911" customFormat="false" ht="12.75" hidden="false" customHeight="true" outlineLevel="0" collapsed="false"/>
    <row r="1045912" customFormat="false" ht="12.75" hidden="false" customHeight="true" outlineLevel="0" collapsed="false"/>
    <row r="1045913" customFormat="false" ht="12.75" hidden="false" customHeight="true" outlineLevel="0" collapsed="false"/>
    <row r="1045914" customFormat="false" ht="12.75" hidden="false" customHeight="true" outlineLevel="0" collapsed="false"/>
    <row r="1045915" customFormat="false" ht="12.75" hidden="false" customHeight="true" outlineLevel="0" collapsed="false"/>
    <row r="1045916" customFormat="false" ht="12.75" hidden="false" customHeight="true" outlineLevel="0" collapsed="false"/>
    <row r="1045917" customFormat="false" ht="12.75" hidden="false" customHeight="true" outlineLevel="0" collapsed="false"/>
    <row r="1045918" customFormat="false" ht="12.75" hidden="false" customHeight="true" outlineLevel="0" collapsed="false"/>
    <row r="1045919" customFormat="false" ht="12.75" hidden="false" customHeight="true" outlineLevel="0" collapsed="false"/>
    <row r="1045920" customFormat="false" ht="12.75" hidden="false" customHeight="true" outlineLevel="0" collapsed="false"/>
    <row r="1045921" customFormat="false" ht="12.75" hidden="false" customHeight="true" outlineLevel="0" collapsed="false"/>
    <row r="1045922" customFormat="false" ht="12.75" hidden="false" customHeight="true" outlineLevel="0" collapsed="false"/>
    <row r="1045923" customFormat="false" ht="12.75" hidden="false" customHeight="true" outlineLevel="0" collapsed="false"/>
    <row r="1045924" customFormat="false" ht="12.75" hidden="false" customHeight="true" outlineLevel="0" collapsed="false"/>
    <row r="1045925" customFormat="false" ht="12.75" hidden="false" customHeight="true" outlineLevel="0" collapsed="false"/>
    <row r="1045926" customFormat="false" ht="12.75" hidden="false" customHeight="true" outlineLevel="0" collapsed="false"/>
    <row r="1045927" customFormat="false" ht="12.75" hidden="false" customHeight="true" outlineLevel="0" collapsed="false"/>
    <row r="1045928" customFormat="false" ht="12.75" hidden="false" customHeight="true" outlineLevel="0" collapsed="false"/>
    <row r="1045929" customFormat="false" ht="12.75" hidden="false" customHeight="true" outlineLevel="0" collapsed="false"/>
    <row r="1045930" customFormat="false" ht="12.75" hidden="false" customHeight="true" outlineLevel="0" collapsed="false"/>
    <row r="1045931" customFormat="false" ht="12.75" hidden="false" customHeight="true" outlineLevel="0" collapsed="false"/>
    <row r="1045932" customFormat="false" ht="12.75" hidden="false" customHeight="true" outlineLevel="0" collapsed="false"/>
    <row r="1045933" customFormat="false" ht="12.75" hidden="false" customHeight="true" outlineLevel="0" collapsed="false"/>
    <row r="1045934" customFormat="false" ht="12.75" hidden="false" customHeight="true" outlineLevel="0" collapsed="false"/>
    <row r="1045935" customFormat="false" ht="12.75" hidden="false" customHeight="true" outlineLevel="0" collapsed="false"/>
    <row r="1045936" customFormat="false" ht="12.75" hidden="false" customHeight="true" outlineLevel="0" collapsed="false"/>
    <row r="1045937" customFormat="false" ht="12.75" hidden="false" customHeight="true" outlineLevel="0" collapsed="false"/>
    <row r="1045938" customFormat="false" ht="12.75" hidden="false" customHeight="true" outlineLevel="0" collapsed="false"/>
    <row r="1045939" customFormat="false" ht="12.75" hidden="false" customHeight="true" outlineLevel="0" collapsed="false"/>
    <row r="1045940" customFormat="false" ht="12.75" hidden="false" customHeight="true" outlineLevel="0" collapsed="false"/>
    <row r="1045941" customFormat="false" ht="12.75" hidden="false" customHeight="true" outlineLevel="0" collapsed="false"/>
    <row r="1045942" customFormat="false" ht="12.75" hidden="false" customHeight="true" outlineLevel="0" collapsed="false"/>
    <row r="1045943" customFormat="false" ht="12.75" hidden="false" customHeight="true" outlineLevel="0" collapsed="false"/>
    <row r="1045944" customFormat="false" ht="12.75" hidden="false" customHeight="true" outlineLevel="0" collapsed="false"/>
    <row r="1045945" customFormat="false" ht="12.75" hidden="false" customHeight="true" outlineLevel="0" collapsed="false"/>
    <row r="1045946" customFormat="false" ht="12.75" hidden="false" customHeight="true" outlineLevel="0" collapsed="false"/>
    <row r="1045947" customFormat="false" ht="12.75" hidden="false" customHeight="true" outlineLevel="0" collapsed="false"/>
    <row r="1045948" customFormat="false" ht="12.75" hidden="false" customHeight="true" outlineLevel="0" collapsed="false"/>
    <row r="1045949" customFormat="false" ht="12.75" hidden="false" customHeight="true" outlineLevel="0" collapsed="false"/>
    <row r="1045950" customFormat="false" ht="12.75" hidden="false" customHeight="true" outlineLevel="0" collapsed="false"/>
    <row r="1045951" customFormat="false" ht="12.75" hidden="false" customHeight="true" outlineLevel="0" collapsed="false"/>
    <row r="1045952" customFormat="false" ht="12.75" hidden="false" customHeight="true" outlineLevel="0" collapsed="false"/>
    <row r="1045953" customFormat="false" ht="12.75" hidden="false" customHeight="true" outlineLevel="0" collapsed="false"/>
    <row r="1045954" customFormat="false" ht="12.75" hidden="false" customHeight="true" outlineLevel="0" collapsed="false"/>
    <row r="1045955" customFormat="false" ht="12.75" hidden="false" customHeight="true" outlineLevel="0" collapsed="false"/>
    <row r="1045956" customFormat="false" ht="12.75" hidden="false" customHeight="true" outlineLevel="0" collapsed="false"/>
    <row r="1045957" customFormat="false" ht="12.75" hidden="false" customHeight="true" outlineLevel="0" collapsed="false"/>
    <row r="1045958" customFormat="false" ht="12.75" hidden="false" customHeight="true" outlineLevel="0" collapsed="false"/>
    <row r="1045959" customFormat="false" ht="12.75" hidden="false" customHeight="true" outlineLevel="0" collapsed="false"/>
    <row r="1045960" customFormat="false" ht="12.75" hidden="false" customHeight="true" outlineLevel="0" collapsed="false"/>
    <row r="1045961" customFormat="false" ht="12.75" hidden="false" customHeight="true" outlineLevel="0" collapsed="false"/>
    <row r="1045962" customFormat="false" ht="12.75" hidden="false" customHeight="true" outlineLevel="0" collapsed="false"/>
    <row r="1045963" customFormat="false" ht="12.75" hidden="false" customHeight="true" outlineLevel="0" collapsed="false"/>
    <row r="1045964" customFormat="false" ht="12.75" hidden="false" customHeight="true" outlineLevel="0" collapsed="false"/>
    <row r="1045965" customFormat="false" ht="12.75" hidden="false" customHeight="true" outlineLevel="0" collapsed="false"/>
    <row r="1045966" customFormat="false" ht="12.75" hidden="false" customHeight="true" outlineLevel="0" collapsed="false"/>
    <row r="1045967" customFormat="false" ht="12.75" hidden="false" customHeight="true" outlineLevel="0" collapsed="false"/>
    <row r="1045968" customFormat="false" ht="12.75" hidden="false" customHeight="true" outlineLevel="0" collapsed="false"/>
    <row r="1045969" customFormat="false" ht="12.75" hidden="false" customHeight="true" outlineLevel="0" collapsed="false"/>
    <row r="1045970" customFormat="false" ht="12.75" hidden="false" customHeight="true" outlineLevel="0" collapsed="false"/>
    <row r="1045971" customFormat="false" ht="12.75" hidden="false" customHeight="true" outlineLevel="0" collapsed="false"/>
    <row r="1045972" customFormat="false" ht="12.75" hidden="false" customHeight="true" outlineLevel="0" collapsed="false"/>
    <row r="1045973" customFormat="false" ht="12.75" hidden="false" customHeight="true" outlineLevel="0" collapsed="false"/>
    <row r="1045974" customFormat="false" ht="12.75" hidden="false" customHeight="true" outlineLevel="0" collapsed="false"/>
    <row r="1045975" customFormat="false" ht="12.75" hidden="false" customHeight="true" outlineLevel="0" collapsed="false"/>
    <row r="1045976" customFormat="false" ht="12.75" hidden="false" customHeight="true" outlineLevel="0" collapsed="false"/>
    <row r="1045977" customFormat="false" ht="12.75" hidden="false" customHeight="true" outlineLevel="0" collapsed="false"/>
    <row r="1045978" customFormat="false" ht="12.75" hidden="false" customHeight="true" outlineLevel="0" collapsed="false"/>
    <row r="1045979" customFormat="false" ht="12.75" hidden="false" customHeight="true" outlineLevel="0" collapsed="false"/>
    <row r="1045980" customFormat="false" ht="12.75" hidden="false" customHeight="true" outlineLevel="0" collapsed="false"/>
    <row r="1045981" customFormat="false" ht="12.75" hidden="false" customHeight="true" outlineLevel="0" collapsed="false"/>
    <row r="1045982" customFormat="false" ht="12.75" hidden="false" customHeight="true" outlineLevel="0" collapsed="false"/>
    <row r="1045983" customFormat="false" ht="12.75" hidden="false" customHeight="true" outlineLevel="0" collapsed="false"/>
    <row r="1045984" customFormat="false" ht="12.75" hidden="false" customHeight="true" outlineLevel="0" collapsed="false"/>
    <row r="1045985" customFormat="false" ht="12.75" hidden="false" customHeight="true" outlineLevel="0" collapsed="false"/>
    <row r="1045986" customFormat="false" ht="12.75" hidden="false" customHeight="true" outlineLevel="0" collapsed="false"/>
    <row r="1045987" customFormat="false" ht="12.75" hidden="false" customHeight="true" outlineLevel="0" collapsed="false"/>
    <row r="1045988" customFormat="false" ht="12.75" hidden="false" customHeight="true" outlineLevel="0" collapsed="false"/>
    <row r="1045989" customFormat="false" ht="12.75" hidden="false" customHeight="true" outlineLevel="0" collapsed="false"/>
    <row r="1045990" customFormat="false" ht="12.75" hidden="false" customHeight="true" outlineLevel="0" collapsed="false"/>
    <row r="1045991" customFormat="false" ht="12.75" hidden="false" customHeight="true" outlineLevel="0" collapsed="false"/>
    <row r="1045992" customFormat="false" ht="12.75" hidden="false" customHeight="true" outlineLevel="0" collapsed="false"/>
    <row r="1045993" customFormat="false" ht="12.75" hidden="false" customHeight="true" outlineLevel="0" collapsed="false"/>
    <row r="1045994" customFormat="false" ht="12.75" hidden="false" customHeight="true" outlineLevel="0" collapsed="false"/>
    <row r="1045995" customFormat="false" ht="12.75" hidden="false" customHeight="true" outlineLevel="0" collapsed="false"/>
    <row r="1045996" customFormat="false" ht="12.75" hidden="false" customHeight="true" outlineLevel="0" collapsed="false"/>
    <row r="1045997" customFormat="false" ht="12.75" hidden="false" customHeight="true" outlineLevel="0" collapsed="false"/>
    <row r="1045998" customFormat="false" ht="12.75" hidden="false" customHeight="true" outlineLevel="0" collapsed="false"/>
    <row r="1045999" customFormat="false" ht="12.75" hidden="false" customHeight="true" outlineLevel="0" collapsed="false"/>
    <row r="1046000" customFormat="false" ht="12.75" hidden="false" customHeight="true" outlineLevel="0" collapsed="false"/>
    <row r="1046001" customFormat="false" ht="12.75" hidden="false" customHeight="true" outlineLevel="0" collapsed="false"/>
    <row r="1046002" customFormat="false" ht="12.75" hidden="false" customHeight="true" outlineLevel="0" collapsed="false"/>
    <row r="1046003" customFormat="false" ht="12.75" hidden="false" customHeight="true" outlineLevel="0" collapsed="false"/>
    <row r="1046004" customFormat="false" ht="12.75" hidden="false" customHeight="true" outlineLevel="0" collapsed="false"/>
    <row r="1046005" customFormat="false" ht="12.75" hidden="false" customHeight="true" outlineLevel="0" collapsed="false"/>
    <row r="1046006" customFormat="false" ht="12.75" hidden="false" customHeight="true" outlineLevel="0" collapsed="false"/>
    <row r="1046007" customFormat="false" ht="12.75" hidden="false" customHeight="true" outlineLevel="0" collapsed="false"/>
    <row r="1046008" customFormat="false" ht="12.75" hidden="false" customHeight="true" outlineLevel="0" collapsed="false"/>
    <row r="1046009" customFormat="false" ht="12.75" hidden="false" customHeight="true" outlineLevel="0" collapsed="false"/>
    <row r="1046010" customFormat="false" ht="12.75" hidden="false" customHeight="true" outlineLevel="0" collapsed="false"/>
    <row r="1046011" customFormat="false" ht="12.75" hidden="false" customHeight="true" outlineLevel="0" collapsed="false"/>
    <row r="1046012" customFormat="false" ht="12.75" hidden="false" customHeight="true" outlineLevel="0" collapsed="false"/>
    <row r="1046013" customFormat="false" ht="12.75" hidden="false" customHeight="true" outlineLevel="0" collapsed="false"/>
    <row r="1046014" customFormat="false" ht="12.75" hidden="false" customHeight="true" outlineLevel="0" collapsed="false"/>
    <row r="1046015" customFormat="false" ht="12.75" hidden="false" customHeight="true" outlineLevel="0" collapsed="false"/>
    <row r="1046016" customFormat="false" ht="12.75" hidden="false" customHeight="true" outlineLevel="0" collapsed="false"/>
    <row r="1046017" customFormat="false" ht="12.75" hidden="false" customHeight="true" outlineLevel="0" collapsed="false"/>
    <row r="1046018" customFormat="false" ht="12.75" hidden="false" customHeight="true" outlineLevel="0" collapsed="false"/>
    <row r="1046019" customFormat="false" ht="12.75" hidden="false" customHeight="true" outlineLevel="0" collapsed="false"/>
    <row r="1046020" customFormat="false" ht="12.75" hidden="false" customHeight="true" outlineLevel="0" collapsed="false"/>
    <row r="1046021" customFormat="false" ht="12.75" hidden="false" customHeight="true" outlineLevel="0" collapsed="false"/>
    <row r="1046022" customFormat="false" ht="12.75" hidden="false" customHeight="true" outlineLevel="0" collapsed="false"/>
    <row r="1046023" customFormat="false" ht="12.75" hidden="false" customHeight="true" outlineLevel="0" collapsed="false"/>
    <row r="1046024" customFormat="false" ht="12.75" hidden="false" customHeight="true" outlineLevel="0" collapsed="false"/>
    <row r="1046025" customFormat="false" ht="12.75" hidden="false" customHeight="true" outlineLevel="0" collapsed="false"/>
    <row r="1046026" customFormat="false" ht="12.75" hidden="false" customHeight="true" outlineLevel="0" collapsed="false"/>
    <row r="1046027" customFormat="false" ht="12.75" hidden="false" customHeight="true" outlineLevel="0" collapsed="false"/>
    <row r="1046028" customFormat="false" ht="12.75" hidden="false" customHeight="true" outlineLevel="0" collapsed="false"/>
    <row r="1046029" customFormat="false" ht="12.75" hidden="false" customHeight="true" outlineLevel="0" collapsed="false"/>
    <row r="1046030" customFormat="false" ht="12.75" hidden="false" customHeight="true" outlineLevel="0" collapsed="false"/>
    <row r="1046031" customFormat="false" ht="12.75" hidden="false" customHeight="true" outlineLevel="0" collapsed="false"/>
    <row r="1046032" customFormat="false" ht="12.75" hidden="false" customHeight="true" outlineLevel="0" collapsed="false"/>
    <row r="1046033" customFormat="false" ht="12.75" hidden="false" customHeight="true" outlineLevel="0" collapsed="false"/>
    <row r="1046034" customFormat="false" ht="12.75" hidden="false" customHeight="true" outlineLevel="0" collapsed="false"/>
    <row r="1046035" customFormat="false" ht="12.75" hidden="false" customHeight="true" outlineLevel="0" collapsed="false"/>
    <row r="1046036" customFormat="false" ht="12.75" hidden="false" customHeight="true" outlineLevel="0" collapsed="false"/>
    <row r="1046037" customFormat="false" ht="12.75" hidden="false" customHeight="true" outlineLevel="0" collapsed="false"/>
    <row r="1046038" customFormat="false" ht="12.75" hidden="false" customHeight="true" outlineLevel="0" collapsed="false"/>
    <row r="1046039" customFormat="false" ht="12.75" hidden="false" customHeight="true" outlineLevel="0" collapsed="false"/>
    <row r="1046040" customFormat="false" ht="12.75" hidden="false" customHeight="true" outlineLevel="0" collapsed="false"/>
    <row r="1046041" customFormat="false" ht="12.75" hidden="false" customHeight="true" outlineLevel="0" collapsed="false"/>
    <row r="1046042" customFormat="false" ht="12.75" hidden="false" customHeight="true" outlineLevel="0" collapsed="false"/>
    <row r="1046043" customFormat="false" ht="12.75" hidden="false" customHeight="true" outlineLevel="0" collapsed="false"/>
    <row r="1046044" customFormat="false" ht="12.75" hidden="false" customHeight="true" outlineLevel="0" collapsed="false"/>
    <row r="1046045" customFormat="false" ht="12.75" hidden="false" customHeight="true" outlineLevel="0" collapsed="false"/>
    <row r="1046046" customFormat="false" ht="12.75" hidden="false" customHeight="true" outlineLevel="0" collapsed="false"/>
    <row r="1046047" customFormat="false" ht="12.75" hidden="false" customHeight="true" outlineLevel="0" collapsed="false"/>
    <row r="1046048" customFormat="false" ht="12.75" hidden="false" customHeight="true" outlineLevel="0" collapsed="false"/>
    <row r="1046049" customFormat="false" ht="12.75" hidden="false" customHeight="true" outlineLevel="0" collapsed="false"/>
    <row r="1046050" customFormat="false" ht="12.75" hidden="false" customHeight="true" outlineLevel="0" collapsed="false"/>
    <row r="1046051" customFormat="false" ht="12.75" hidden="false" customHeight="true" outlineLevel="0" collapsed="false"/>
    <row r="1046052" customFormat="false" ht="12.75" hidden="false" customHeight="true" outlineLevel="0" collapsed="false"/>
    <row r="1046053" customFormat="false" ht="12.75" hidden="false" customHeight="true" outlineLevel="0" collapsed="false"/>
    <row r="1046054" customFormat="false" ht="12.75" hidden="false" customHeight="true" outlineLevel="0" collapsed="false"/>
    <row r="1046055" customFormat="false" ht="12.75" hidden="false" customHeight="true" outlineLevel="0" collapsed="false"/>
    <row r="1046056" customFormat="false" ht="12.75" hidden="false" customHeight="true" outlineLevel="0" collapsed="false"/>
    <row r="1046057" customFormat="false" ht="12.75" hidden="false" customHeight="true" outlineLevel="0" collapsed="false"/>
    <row r="1046058" customFormat="false" ht="12.75" hidden="false" customHeight="true" outlineLevel="0" collapsed="false"/>
    <row r="1046059" customFormat="false" ht="12.75" hidden="false" customHeight="true" outlineLevel="0" collapsed="false"/>
    <row r="1046060" customFormat="false" ht="12.75" hidden="false" customHeight="true" outlineLevel="0" collapsed="false"/>
    <row r="1046061" customFormat="false" ht="12.75" hidden="false" customHeight="true" outlineLevel="0" collapsed="false"/>
    <row r="1046062" customFormat="false" ht="12.75" hidden="false" customHeight="true" outlineLevel="0" collapsed="false"/>
    <row r="1046063" customFormat="false" ht="12.75" hidden="false" customHeight="true" outlineLevel="0" collapsed="false"/>
    <row r="1046064" customFormat="false" ht="12.75" hidden="false" customHeight="true" outlineLevel="0" collapsed="false"/>
    <row r="1046065" customFormat="false" ht="12.75" hidden="false" customHeight="true" outlineLevel="0" collapsed="false"/>
    <row r="1046066" customFormat="false" ht="12.75" hidden="false" customHeight="true" outlineLevel="0" collapsed="false"/>
    <row r="1046067" customFormat="false" ht="12.75" hidden="false" customHeight="true" outlineLevel="0" collapsed="false"/>
    <row r="1046068" customFormat="false" ht="12.75" hidden="false" customHeight="true" outlineLevel="0" collapsed="false"/>
    <row r="1046069" customFormat="false" ht="12.75" hidden="false" customHeight="true" outlineLevel="0" collapsed="false"/>
    <row r="1046070" customFormat="false" ht="12.75" hidden="false" customHeight="true" outlineLevel="0" collapsed="false"/>
    <row r="1046071" customFormat="false" ht="12.75" hidden="false" customHeight="true" outlineLevel="0" collapsed="false"/>
    <row r="1046072" customFormat="false" ht="12.75" hidden="false" customHeight="true" outlineLevel="0" collapsed="false"/>
    <row r="1046073" customFormat="false" ht="12.75" hidden="false" customHeight="true" outlineLevel="0" collapsed="false"/>
    <row r="1046074" customFormat="false" ht="12.75" hidden="false" customHeight="true" outlineLevel="0" collapsed="false"/>
    <row r="1046075" customFormat="false" ht="12.75" hidden="false" customHeight="true" outlineLevel="0" collapsed="false"/>
    <row r="1046076" customFormat="false" ht="12.75" hidden="false" customHeight="true" outlineLevel="0" collapsed="false"/>
    <row r="1046077" customFormat="false" ht="12.75" hidden="false" customHeight="true" outlineLevel="0" collapsed="false"/>
    <row r="1046078" customFormat="false" ht="12.75" hidden="false" customHeight="true" outlineLevel="0" collapsed="false"/>
    <row r="1046079" customFormat="false" ht="12.75" hidden="false" customHeight="true" outlineLevel="0" collapsed="false"/>
    <row r="1046080" customFormat="false" ht="12.75" hidden="false" customHeight="true" outlineLevel="0" collapsed="false"/>
    <row r="1046081" customFormat="false" ht="12.75" hidden="false" customHeight="true" outlineLevel="0" collapsed="false"/>
    <row r="1046082" customFormat="false" ht="12.75" hidden="false" customHeight="true" outlineLevel="0" collapsed="false"/>
    <row r="1046083" customFormat="false" ht="12.75" hidden="false" customHeight="true" outlineLevel="0" collapsed="false"/>
    <row r="1046084" customFormat="false" ht="12.75" hidden="false" customHeight="true" outlineLevel="0" collapsed="false"/>
    <row r="1046085" customFormat="false" ht="12.75" hidden="false" customHeight="true" outlineLevel="0" collapsed="false"/>
    <row r="1046086" customFormat="false" ht="12.75" hidden="false" customHeight="true" outlineLevel="0" collapsed="false"/>
    <row r="1046087" customFormat="false" ht="12.75" hidden="false" customHeight="true" outlineLevel="0" collapsed="false"/>
    <row r="1046088" customFormat="false" ht="12.75" hidden="false" customHeight="true" outlineLevel="0" collapsed="false"/>
    <row r="1046089" customFormat="false" ht="12.75" hidden="false" customHeight="true" outlineLevel="0" collapsed="false"/>
    <row r="1046090" customFormat="false" ht="12.75" hidden="false" customHeight="true" outlineLevel="0" collapsed="false"/>
    <row r="1046091" customFormat="false" ht="12.75" hidden="false" customHeight="true" outlineLevel="0" collapsed="false"/>
    <row r="1046092" customFormat="false" ht="12.75" hidden="false" customHeight="true" outlineLevel="0" collapsed="false"/>
    <row r="1046093" customFormat="false" ht="12.75" hidden="false" customHeight="true" outlineLevel="0" collapsed="false"/>
    <row r="1046094" customFormat="false" ht="12.75" hidden="false" customHeight="true" outlineLevel="0" collapsed="false"/>
    <row r="1046095" customFormat="false" ht="12.75" hidden="false" customHeight="true" outlineLevel="0" collapsed="false"/>
    <row r="1046096" customFormat="false" ht="12.75" hidden="false" customHeight="true" outlineLevel="0" collapsed="false"/>
    <row r="1046097" customFormat="false" ht="12.75" hidden="false" customHeight="true" outlineLevel="0" collapsed="false"/>
    <row r="1046098" customFormat="false" ht="12.75" hidden="false" customHeight="true" outlineLevel="0" collapsed="false"/>
    <row r="1046099" customFormat="false" ht="12.75" hidden="false" customHeight="true" outlineLevel="0" collapsed="false"/>
    <row r="1046100" customFormat="false" ht="12.75" hidden="false" customHeight="true" outlineLevel="0" collapsed="false"/>
    <row r="1046101" customFormat="false" ht="12.75" hidden="false" customHeight="true" outlineLevel="0" collapsed="false"/>
    <row r="1046102" customFormat="false" ht="12.75" hidden="false" customHeight="true" outlineLevel="0" collapsed="false"/>
    <row r="1046103" customFormat="false" ht="12.75" hidden="false" customHeight="true" outlineLevel="0" collapsed="false"/>
    <row r="1046104" customFormat="false" ht="12.75" hidden="false" customHeight="true" outlineLevel="0" collapsed="false"/>
    <row r="1046105" customFormat="false" ht="12.75" hidden="false" customHeight="true" outlineLevel="0" collapsed="false"/>
    <row r="1046106" customFormat="false" ht="12.75" hidden="false" customHeight="true" outlineLevel="0" collapsed="false"/>
    <row r="1046107" customFormat="false" ht="12.75" hidden="false" customHeight="true" outlineLevel="0" collapsed="false"/>
    <row r="1046108" customFormat="false" ht="12.75" hidden="false" customHeight="true" outlineLevel="0" collapsed="false"/>
    <row r="1046109" customFormat="false" ht="12.75" hidden="false" customHeight="true" outlineLevel="0" collapsed="false"/>
    <row r="1046110" customFormat="false" ht="12.75" hidden="false" customHeight="true" outlineLevel="0" collapsed="false"/>
    <row r="1046111" customFormat="false" ht="12.75" hidden="false" customHeight="true" outlineLevel="0" collapsed="false"/>
    <row r="1046112" customFormat="false" ht="12.75" hidden="false" customHeight="true" outlineLevel="0" collapsed="false"/>
    <row r="1046113" customFormat="false" ht="12.75" hidden="false" customHeight="true" outlineLevel="0" collapsed="false"/>
    <row r="1046114" customFormat="false" ht="12.75" hidden="false" customHeight="true" outlineLevel="0" collapsed="false"/>
    <row r="1046115" customFormat="false" ht="12.75" hidden="false" customHeight="true" outlineLevel="0" collapsed="false"/>
    <row r="1046116" customFormat="false" ht="12.75" hidden="false" customHeight="true" outlineLevel="0" collapsed="false"/>
    <row r="1046117" customFormat="false" ht="12.75" hidden="false" customHeight="true" outlineLevel="0" collapsed="false"/>
    <row r="1046118" customFormat="false" ht="12.75" hidden="false" customHeight="true" outlineLevel="0" collapsed="false"/>
    <row r="1046119" customFormat="false" ht="12.75" hidden="false" customHeight="true" outlineLevel="0" collapsed="false"/>
    <row r="1046120" customFormat="false" ht="12.75" hidden="false" customHeight="true" outlineLevel="0" collapsed="false"/>
    <row r="1046121" customFormat="false" ht="12.75" hidden="false" customHeight="true" outlineLevel="0" collapsed="false"/>
    <row r="1046122" customFormat="false" ht="12.75" hidden="false" customHeight="true" outlineLevel="0" collapsed="false"/>
    <row r="1046123" customFormat="false" ht="12.75" hidden="false" customHeight="true" outlineLevel="0" collapsed="false"/>
    <row r="1046124" customFormat="false" ht="12.75" hidden="false" customHeight="true" outlineLevel="0" collapsed="false"/>
    <row r="1046125" customFormat="false" ht="12.75" hidden="false" customHeight="true" outlineLevel="0" collapsed="false"/>
    <row r="1046126" customFormat="false" ht="12.75" hidden="false" customHeight="true" outlineLevel="0" collapsed="false"/>
    <row r="1046127" customFormat="false" ht="12.75" hidden="false" customHeight="true" outlineLevel="0" collapsed="false"/>
    <row r="1046128" customFormat="false" ht="12.75" hidden="false" customHeight="true" outlineLevel="0" collapsed="false"/>
    <row r="1046129" customFormat="false" ht="12.75" hidden="false" customHeight="true" outlineLevel="0" collapsed="false"/>
    <row r="1046130" customFormat="false" ht="12.75" hidden="false" customHeight="true" outlineLevel="0" collapsed="false"/>
    <row r="1046131" customFormat="false" ht="12.75" hidden="false" customHeight="true" outlineLevel="0" collapsed="false"/>
    <row r="1046132" customFormat="false" ht="12.75" hidden="false" customHeight="true" outlineLevel="0" collapsed="false"/>
    <row r="1046133" customFormat="false" ht="12.75" hidden="false" customHeight="true" outlineLevel="0" collapsed="false"/>
    <row r="1046134" customFormat="false" ht="12.75" hidden="false" customHeight="true" outlineLevel="0" collapsed="false"/>
    <row r="1046135" customFormat="false" ht="12.75" hidden="false" customHeight="true" outlineLevel="0" collapsed="false"/>
    <row r="1046136" customFormat="false" ht="12.75" hidden="false" customHeight="true" outlineLevel="0" collapsed="false"/>
    <row r="1046137" customFormat="false" ht="12.75" hidden="false" customHeight="true" outlineLevel="0" collapsed="false"/>
    <row r="1046138" customFormat="false" ht="12.75" hidden="false" customHeight="true" outlineLevel="0" collapsed="false"/>
    <row r="1046139" customFormat="false" ht="12.75" hidden="false" customHeight="true" outlineLevel="0" collapsed="false"/>
    <row r="1046140" customFormat="false" ht="12.75" hidden="false" customHeight="true" outlineLevel="0" collapsed="false"/>
    <row r="1046141" customFormat="false" ht="12.75" hidden="false" customHeight="true" outlineLevel="0" collapsed="false"/>
    <row r="1046142" customFormat="false" ht="12.75" hidden="false" customHeight="true" outlineLevel="0" collapsed="false"/>
    <row r="1046143" customFormat="false" ht="12.75" hidden="false" customHeight="true" outlineLevel="0" collapsed="false"/>
    <row r="1046144" customFormat="false" ht="12.75" hidden="false" customHeight="true" outlineLevel="0" collapsed="false"/>
    <row r="1046145" customFormat="false" ht="12.75" hidden="false" customHeight="true" outlineLevel="0" collapsed="false"/>
    <row r="1046146" customFormat="false" ht="12.75" hidden="false" customHeight="true" outlineLevel="0" collapsed="false"/>
    <row r="1046147" customFormat="false" ht="12.75" hidden="false" customHeight="true" outlineLevel="0" collapsed="false"/>
    <row r="1046148" customFormat="false" ht="12.75" hidden="false" customHeight="true" outlineLevel="0" collapsed="false"/>
    <row r="1046149" customFormat="false" ht="12.75" hidden="false" customHeight="true" outlineLevel="0" collapsed="false"/>
    <row r="1046150" customFormat="false" ht="12.75" hidden="false" customHeight="true" outlineLevel="0" collapsed="false"/>
    <row r="1046151" customFormat="false" ht="12.75" hidden="false" customHeight="true" outlineLevel="0" collapsed="false"/>
    <row r="1046152" customFormat="false" ht="12.75" hidden="false" customHeight="true" outlineLevel="0" collapsed="false"/>
    <row r="1046153" customFormat="false" ht="12.75" hidden="false" customHeight="true" outlineLevel="0" collapsed="false"/>
    <row r="1046154" customFormat="false" ht="12.75" hidden="false" customHeight="true" outlineLevel="0" collapsed="false"/>
    <row r="1046155" customFormat="false" ht="12.75" hidden="false" customHeight="true" outlineLevel="0" collapsed="false"/>
    <row r="1046156" customFormat="false" ht="12.75" hidden="false" customHeight="true" outlineLevel="0" collapsed="false"/>
    <row r="1046157" customFormat="false" ht="12.75" hidden="false" customHeight="true" outlineLevel="0" collapsed="false"/>
    <row r="1046158" customFormat="false" ht="12.75" hidden="false" customHeight="true" outlineLevel="0" collapsed="false"/>
    <row r="1046159" customFormat="false" ht="12.75" hidden="false" customHeight="true" outlineLevel="0" collapsed="false"/>
    <row r="1046160" customFormat="false" ht="12.75" hidden="false" customHeight="true" outlineLevel="0" collapsed="false"/>
    <row r="1046161" customFormat="false" ht="12.75" hidden="false" customHeight="true" outlineLevel="0" collapsed="false"/>
    <row r="1046162" customFormat="false" ht="12.75" hidden="false" customHeight="true" outlineLevel="0" collapsed="false"/>
    <row r="1046163" customFormat="false" ht="12.75" hidden="false" customHeight="true" outlineLevel="0" collapsed="false"/>
    <row r="1046164" customFormat="false" ht="12.75" hidden="false" customHeight="true" outlineLevel="0" collapsed="false"/>
    <row r="1046165" customFormat="false" ht="12.75" hidden="false" customHeight="true" outlineLevel="0" collapsed="false"/>
    <row r="1046166" customFormat="false" ht="12.75" hidden="false" customHeight="true" outlineLevel="0" collapsed="false"/>
    <row r="1046167" customFormat="false" ht="12.75" hidden="false" customHeight="true" outlineLevel="0" collapsed="false"/>
    <row r="1046168" customFormat="false" ht="12.75" hidden="false" customHeight="true" outlineLevel="0" collapsed="false"/>
    <row r="1046169" customFormat="false" ht="12.75" hidden="false" customHeight="true" outlineLevel="0" collapsed="false"/>
    <row r="1046170" customFormat="false" ht="12.75" hidden="false" customHeight="true" outlineLevel="0" collapsed="false"/>
    <row r="1046171" customFormat="false" ht="12.75" hidden="false" customHeight="true" outlineLevel="0" collapsed="false"/>
    <row r="1046172" customFormat="false" ht="12.75" hidden="false" customHeight="true" outlineLevel="0" collapsed="false"/>
    <row r="1046173" customFormat="false" ht="12.75" hidden="false" customHeight="true" outlineLevel="0" collapsed="false"/>
    <row r="1046174" customFormat="false" ht="12.75" hidden="false" customHeight="true" outlineLevel="0" collapsed="false"/>
    <row r="1046175" customFormat="false" ht="12.75" hidden="false" customHeight="true" outlineLevel="0" collapsed="false"/>
    <row r="1046176" customFormat="false" ht="12.75" hidden="false" customHeight="true" outlineLevel="0" collapsed="false"/>
    <row r="1046177" customFormat="false" ht="12.75" hidden="false" customHeight="true" outlineLevel="0" collapsed="false"/>
    <row r="1046178" customFormat="false" ht="12.75" hidden="false" customHeight="true" outlineLevel="0" collapsed="false"/>
    <row r="1046179" customFormat="false" ht="12.75" hidden="false" customHeight="true" outlineLevel="0" collapsed="false"/>
    <row r="1046180" customFormat="false" ht="12.75" hidden="false" customHeight="true" outlineLevel="0" collapsed="false"/>
    <row r="1046181" customFormat="false" ht="12.75" hidden="false" customHeight="true" outlineLevel="0" collapsed="false"/>
    <row r="1046182" customFormat="false" ht="12.75" hidden="false" customHeight="true" outlineLevel="0" collapsed="false"/>
    <row r="1046183" customFormat="false" ht="12.75" hidden="false" customHeight="true" outlineLevel="0" collapsed="false"/>
    <row r="1046184" customFormat="false" ht="12.75" hidden="false" customHeight="true" outlineLevel="0" collapsed="false"/>
    <row r="1046185" customFormat="false" ht="12.75" hidden="false" customHeight="true" outlineLevel="0" collapsed="false"/>
    <row r="1046186" customFormat="false" ht="12.75" hidden="false" customHeight="true" outlineLevel="0" collapsed="false"/>
    <row r="1046187" customFormat="false" ht="12.75" hidden="false" customHeight="true" outlineLevel="0" collapsed="false"/>
    <row r="1046188" customFormat="false" ht="12.75" hidden="false" customHeight="true" outlineLevel="0" collapsed="false"/>
    <row r="1046189" customFormat="false" ht="12.75" hidden="false" customHeight="true" outlineLevel="0" collapsed="false"/>
    <row r="1046190" customFormat="false" ht="12.75" hidden="false" customHeight="true" outlineLevel="0" collapsed="false"/>
    <row r="1046191" customFormat="false" ht="12.75" hidden="false" customHeight="true" outlineLevel="0" collapsed="false"/>
    <row r="1046192" customFormat="false" ht="12.75" hidden="false" customHeight="true" outlineLevel="0" collapsed="false"/>
    <row r="1046193" customFormat="false" ht="12.75" hidden="false" customHeight="true" outlineLevel="0" collapsed="false"/>
    <row r="1046194" customFormat="false" ht="12.75" hidden="false" customHeight="true" outlineLevel="0" collapsed="false"/>
    <row r="1046195" customFormat="false" ht="12.75" hidden="false" customHeight="true" outlineLevel="0" collapsed="false"/>
    <row r="1046196" customFormat="false" ht="12.75" hidden="false" customHeight="true" outlineLevel="0" collapsed="false"/>
    <row r="1046197" customFormat="false" ht="12.75" hidden="false" customHeight="true" outlineLevel="0" collapsed="false"/>
    <row r="1046198" customFormat="false" ht="12.75" hidden="false" customHeight="true" outlineLevel="0" collapsed="false"/>
    <row r="1046199" customFormat="false" ht="12.75" hidden="false" customHeight="true" outlineLevel="0" collapsed="false"/>
    <row r="1046200" customFormat="false" ht="12.75" hidden="false" customHeight="true" outlineLevel="0" collapsed="false"/>
    <row r="1046201" customFormat="false" ht="12.75" hidden="false" customHeight="true" outlineLevel="0" collapsed="false"/>
    <row r="1046202" customFormat="false" ht="12.75" hidden="false" customHeight="true" outlineLevel="0" collapsed="false"/>
    <row r="1046203" customFormat="false" ht="12.75" hidden="false" customHeight="true" outlineLevel="0" collapsed="false"/>
    <row r="1046204" customFormat="false" ht="12.75" hidden="false" customHeight="true" outlineLevel="0" collapsed="false"/>
    <row r="1046205" customFormat="false" ht="12.75" hidden="false" customHeight="true" outlineLevel="0" collapsed="false"/>
    <row r="1046206" customFormat="false" ht="12.75" hidden="false" customHeight="true" outlineLevel="0" collapsed="false"/>
    <row r="1046207" customFormat="false" ht="12.75" hidden="false" customHeight="true" outlineLevel="0" collapsed="false"/>
    <row r="1046208" customFormat="false" ht="12.75" hidden="false" customHeight="true" outlineLevel="0" collapsed="false"/>
    <row r="1046209" customFormat="false" ht="12.75" hidden="false" customHeight="true" outlineLevel="0" collapsed="false"/>
    <row r="1046210" customFormat="false" ht="12.75" hidden="false" customHeight="true" outlineLevel="0" collapsed="false"/>
    <row r="1046211" customFormat="false" ht="12.75" hidden="false" customHeight="true" outlineLevel="0" collapsed="false"/>
    <row r="1046212" customFormat="false" ht="12.75" hidden="false" customHeight="true" outlineLevel="0" collapsed="false"/>
    <row r="1046213" customFormat="false" ht="12.75" hidden="false" customHeight="true" outlineLevel="0" collapsed="false"/>
    <row r="1046214" customFormat="false" ht="12.75" hidden="false" customHeight="true" outlineLevel="0" collapsed="false"/>
    <row r="1046215" customFormat="false" ht="12.75" hidden="false" customHeight="true" outlineLevel="0" collapsed="false"/>
    <row r="1046216" customFormat="false" ht="12.75" hidden="false" customHeight="true" outlineLevel="0" collapsed="false"/>
    <row r="1046217" customFormat="false" ht="12.75" hidden="false" customHeight="true" outlineLevel="0" collapsed="false"/>
    <row r="1046218" customFormat="false" ht="12.75" hidden="false" customHeight="true" outlineLevel="0" collapsed="false"/>
    <row r="1046219" customFormat="false" ht="12.75" hidden="false" customHeight="true" outlineLevel="0" collapsed="false"/>
    <row r="1046220" customFormat="false" ht="12.75" hidden="false" customHeight="true" outlineLevel="0" collapsed="false"/>
    <row r="1046221" customFormat="false" ht="12.75" hidden="false" customHeight="true" outlineLevel="0" collapsed="false"/>
    <row r="1046222" customFormat="false" ht="12.75" hidden="false" customHeight="true" outlineLevel="0" collapsed="false"/>
    <row r="1046223" customFormat="false" ht="12.75" hidden="false" customHeight="true" outlineLevel="0" collapsed="false"/>
    <row r="1046224" customFormat="false" ht="12.75" hidden="false" customHeight="true" outlineLevel="0" collapsed="false"/>
    <row r="1046225" customFormat="false" ht="12.75" hidden="false" customHeight="true" outlineLevel="0" collapsed="false"/>
    <row r="1046226" customFormat="false" ht="12.75" hidden="false" customHeight="true" outlineLevel="0" collapsed="false"/>
    <row r="1046227" customFormat="false" ht="12.75" hidden="false" customHeight="true" outlineLevel="0" collapsed="false"/>
    <row r="1046228" customFormat="false" ht="12.75" hidden="false" customHeight="true" outlineLevel="0" collapsed="false"/>
    <row r="1046229" customFormat="false" ht="12.75" hidden="false" customHeight="true" outlineLevel="0" collapsed="false"/>
    <row r="1046230" customFormat="false" ht="12.75" hidden="false" customHeight="true" outlineLevel="0" collapsed="false"/>
    <row r="1046231" customFormat="false" ht="12.75" hidden="false" customHeight="true" outlineLevel="0" collapsed="false"/>
    <row r="1046232" customFormat="false" ht="12.75" hidden="false" customHeight="true" outlineLevel="0" collapsed="false"/>
    <row r="1046233" customFormat="false" ht="12.75" hidden="false" customHeight="true" outlineLevel="0" collapsed="false"/>
    <row r="1046234" customFormat="false" ht="12.75" hidden="false" customHeight="true" outlineLevel="0" collapsed="false"/>
    <row r="1046235" customFormat="false" ht="12.75" hidden="false" customHeight="true" outlineLevel="0" collapsed="false"/>
    <row r="1046236" customFormat="false" ht="12.75" hidden="false" customHeight="true" outlineLevel="0" collapsed="false"/>
    <row r="1046237" customFormat="false" ht="12.75" hidden="false" customHeight="true" outlineLevel="0" collapsed="false"/>
    <row r="1046238" customFormat="false" ht="12.75" hidden="false" customHeight="true" outlineLevel="0" collapsed="false"/>
    <row r="1046239" customFormat="false" ht="12.75" hidden="false" customHeight="true" outlineLevel="0" collapsed="false"/>
    <row r="1046240" customFormat="false" ht="12.75" hidden="false" customHeight="true" outlineLevel="0" collapsed="false"/>
    <row r="1046241" customFormat="false" ht="12.75" hidden="false" customHeight="true" outlineLevel="0" collapsed="false"/>
    <row r="1046242" customFormat="false" ht="12.75" hidden="false" customHeight="true" outlineLevel="0" collapsed="false"/>
    <row r="1046243" customFormat="false" ht="12.75" hidden="false" customHeight="true" outlineLevel="0" collapsed="false"/>
    <row r="1046244" customFormat="false" ht="12.75" hidden="false" customHeight="true" outlineLevel="0" collapsed="false"/>
    <row r="1046245" customFormat="false" ht="12.75" hidden="false" customHeight="true" outlineLevel="0" collapsed="false"/>
    <row r="1046246" customFormat="false" ht="12.75" hidden="false" customHeight="true" outlineLevel="0" collapsed="false"/>
    <row r="1046247" customFormat="false" ht="12.75" hidden="false" customHeight="true" outlineLevel="0" collapsed="false"/>
    <row r="1046248" customFormat="false" ht="12.75" hidden="false" customHeight="true" outlineLevel="0" collapsed="false"/>
    <row r="1046249" customFormat="false" ht="12.75" hidden="false" customHeight="true" outlineLevel="0" collapsed="false"/>
    <row r="1046250" customFormat="false" ht="12.75" hidden="false" customHeight="true" outlineLevel="0" collapsed="false"/>
    <row r="1046251" customFormat="false" ht="12.75" hidden="false" customHeight="true" outlineLevel="0" collapsed="false"/>
    <row r="1046252" customFormat="false" ht="12.75" hidden="false" customHeight="true" outlineLevel="0" collapsed="false"/>
    <row r="1046253" customFormat="false" ht="12.75" hidden="false" customHeight="true" outlineLevel="0" collapsed="false"/>
    <row r="1046254" customFormat="false" ht="12.75" hidden="false" customHeight="true" outlineLevel="0" collapsed="false"/>
    <row r="1046255" customFormat="false" ht="12.75" hidden="false" customHeight="true" outlineLevel="0" collapsed="false"/>
    <row r="1046256" customFormat="false" ht="12.75" hidden="false" customHeight="true" outlineLevel="0" collapsed="false"/>
    <row r="1046257" customFormat="false" ht="12.75" hidden="false" customHeight="true" outlineLevel="0" collapsed="false"/>
    <row r="1046258" customFormat="false" ht="12.75" hidden="false" customHeight="true" outlineLevel="0" collapsed="false"/>
    <row r="1046259" customFormat="false" ht="12.75" hidden="false" customHeight="true" outlineLevel="0" collapsed="false"/>
    <row r="1046260" customFormat="false" ht="12.75" hidden="false" customHeight="true" outlineLevel="0" collapsed="false"/>
    <row r="1046261" customFormat="false" ht="12.75" hidden="false" customHeight="true" outlineLevel="0" collapsed="false"/>
    <row r="1046262" customFormat="false" ht="12.75" hidden="false" customHeight="true" outlineLevel="0" collapsed="false"/>
    <row r="1046263" customFormat="false" ht="12.75" hidden="false" customHeight="true" outlineLevel="0" collapsed="false"/>
    <row r="1046264" customFormat="false" ht="12.75" hidden="false" customHeight="true" outlineLevel="0" collapsed="false"/>
    <row r="1046265" customFormat="false" ht="12.75" hidden="false" customHeight="true" outlineLevel="0" collapsed="false"/>
    <row r="1046266" customFormat="false" ht="12.75" hidden="false" customHeight="true" outlineLevel="0" collapsed="false"/>
    <row r="1046267" customFormat="false" ht="12.75" hidden="false" customHeight="true" outlineLevel="0" collapsed="false"/>
    <row r="1046268" customFormat="false" ht="12.75" hidden="false" customHeight="true" outlineLevel="0" collapsed="false"/>
    <row r="1046269" customFormat="false" ht="12.75" hidden="false" customHeight="true" outlineLevel="0" collapsed="false"/>
    <row r="1046270" customFormat="false" ht="12.75" hidden="false" customHeight="true" outlineLevel="0" collapsed="false"/>
    <row r="1046271" customFormat="false" ht="12.75" hidden="false" customHeight="true" outlineLevel="0" collapsed="false"/>
    <row r="1046272" customFormat="false" ht="12.75" hidden="false" customHeight="true" outlineLevel="0" collapsed="false"/>
    <row r="1046273" customFormat="false" ht="12.75" hidden="false" customHeight="true" outlineLevel="0" collapsed="false"/>
    <row r="1046274" customFormat="false" ht="12.75" hidden="false" customHeight="true" outlineLevel="0" collapsed="false"/>
    <row r="1046275" customFormat="false" ht="12.75" hidden="false" customHeight="true" outlineLevel="0" collapsed="false"/>
    <row r="1046276" customFormat="false" ht="12.75" hidden="false" customHeight="true" outlineLevel="0" collapsed="false"/>
    <row r="1046277" customFormat="false" ht="12.75" hidden="false" customHeight="true" outlineLevel="0" collapsed="false"/>
    <row r="1046278" customFormat="false" ht="12.75" hidden="false" customHeight="true" outlineLevel="0" collapsed="false"/>
    <row r="1046279" customFormat="false" ht="12.75" hidden="false" customHeight="true" outlineLevel="0" collapsed="false"/>
    <row r="1046280" customFormat="false" ht="12.75" hidden="false" customHeight="true" outlineLevel="0" collapsed="false"/>
    <row r="1046281" customFormat="false" ht="12.75" hidden="false" customHeight="true" outlineLevel="0" collapsed="false"/>
    <row r="1046282" customFormat="false" ht="12.75" hidden="false" customHeight="true" outlineLevel="0" collapsed="false"/>
    <row r="1046283" customFormat="false" ht="12.75" hidden="false" customHeight="true" outlineLevel="0" collapsed="false"/>
    <row r="1046284" customFormat="false" ht="12.75" hidden="false" customHeight="true" outlineLevel="0" collapsed="false"/>
    <row r="1046285" customFormat="false" ht="12.75" hidden="false" customHeight="true" outlineLevel="0" collapsed="false"/>
    <row r="1046286" customFormat="false" ht="12.75" hidden="false" customHeight="true" outlineLevel="0" collapsed="false"/>
    <row r="1046287" customFormat="false" ht="12.75" hidden="false" customHeight="true" outlineLevel="0" collapsed="false"/>
    <row r="1046288" customFormat="false" ht="12.75" hidden="false" customHeight="true" outlineLevel="0" collapsed="false"/>
    <row r="1046289" customFormat="false" ht="12.75" hidden="false" customHeight="true" outlineLevel="0" collapsed="false"/>
    <row r="1046290" customFormat="false" ht="12.75" hidden="false" customHeight="true" outlineLevel="0" collapsed="false"/>
    <row r="1046291" customFormat="false" ht="12.75" hidden="false" customHeight="true" outlineLevel="0" collapsed="false"/>
    <row r="1046292" customFormat="false" ht="12.75" hidden="false" customHeight="true" outlineLevel="0" collapsed="false"/>
    <row r="1046293" customFormat="false" ht="12.75" hidden="false" customHeight="true" outlineLevel="0" collapsed="false"/>
    <row r="1046294" customFormat="false" ht="12.75" hidden="false" customHeight="true" outlineLevel="0" collapsed="false"/>
    <row r="1046295" customFormat="false" ht="12.75" hidden="false" customHeight="true" outlineLevel="0" collapsed="false"/>
    <row r="1046296" customFormat="false" ht="12.75" hidden="false" customHeight="true" outlineLevel="0" collapsed="false"/>
    <row r="1046297" customFormat="false" ht="12.75" hidden="false" customHeight="true" outlineLevel="0" collapsed="false"/>
    <row r="1046298" customFormat="false" ht="12.75" hidden="false" customHeight="true" outlineLevel="0" collapsed="false"/>
    <row r="1046299" customFormat="false" ht="12.75" hidden="false" customHeight="true" outlineLevel="0" collapsed="false"/>
    <row r="1046300" customFormat="false" ht="12.75" hidden="false" customHeight="true" outlineLevel="0" collapsed="false"/>
    <row r="1046301" customFormat="false" ht="12.75" hidden="false" customHeight="true" outlineLevel="0" collapsed="false"/>
    <row r="1046302" customFormat="false" ht="12.75" hidden="false" customHeight="true" outlineLevel="0" collapsed="false"/>
    <row r="1046303" customFormat="false" ht="12.75" hidden="false" customHeight="true" outlineLevel="0" collapsed="false"/>
    <row r="1046304" customFormat="false" ht="12.75" hidden="false" customHeight="true" outlineLevel="0" collapsed="false"/>
    <row r="1046305" customFormat="false" ht="12.75" hidden="false" customHeight="true" outlineLevel="0" collapsed="false"/>
    <row r="1046306" customFormat="false" ht="12.75" hidden="false" customHeight="true" outlineLevel="0" collapsed="false"/>
    <row r="1046307" customFormat="false" ht="12.75" hidden="false" customHeight="true" outlineLevel="0" collapsed="false"/>
    <row r="1046308" customFormat="false" ht="12.75" hidden="false" customHeight="true" outlineLevel="0" collapsed="false"/>
    <row r="1046309" customFormat="false" ht="12.75" hidden="false" customHeight="true" outlineLevel="0" collapsed="false"/>
    <row r="1046310" customFormat="false" ht="12.75" hidden="false" customHeight="true" outlineLevel="0" collapsed="false"/>
    <row r="1046311" customFormat="false" ht="12.75" hidden="false" customHeight="true" outlineLevel="0" collapsed="false"/>
    <row r="1046312" customFormat="false" ht="12.75" hidden="false" customHeight="true" outlineLevel="0" collapsed="false"/>
    <row r="1046313" customFormat="false" ht="12.75" hidden="false" customHeight="true" outlineLevel="0" collapsed="false"/>
    <row r="1046314" customFormat="false" ht="12.75" hidden="false" customHeight="true" outlineLevel="0" collapsed="false"/>
    <row r="1046315" customFormat="false" ht="12.75" hidden="false" customHeight="true" outlineLevel="0" collapsed="false"/>
    <row r="1046316" customFormat="false" ht="12.75" hidden="false" customHeight="true" outlineLevel="0" collapsed="false"/>
    <row r="1046317" customFormat="false" ht="12.75" hidden="false" customHeight="true" outlineLevel="0" collapsed="false"/>
    <row r="1046318" customFormat="false" ht="12.75" hidden="false" customHeight="true" outlineLevel="0" collapsed="false"/>
    <row r="1046319" customFormat="false" ht="12.75" hidden="false" customHeight="true" outlineLevel="0" collapsed="false"/>
    <row r="1046320" customFormat="false" ht="12.75" hidden="false" customHeight="true" outlineLevel="0" collapsed="false"/>
    <row r="1046321" customFormat="false" ht="12.75" hidden="false" customHeight="true" outlineLevel="0" collapsed="false"/>
    <row r="1046322" customFormat="false" ht="12.75" hidden="false" customHeight="true" outlineLevel="0" collapsed="false"/>
    <row r="1046323" customFormat="false" ht="12.75" hidden="false" customHeight="true" outlineLevel="0" collapsed="false"/>
    <row r="1046324" customFormat="false" ht="12.75" hidden="false" customHeight="true" outlineLevel="0" collapsed="false"/>
    <row r="1046325" customFormat="false" ht="12.75" hidden="false" customHeight="true" outlineLevel="0" collapsed="false"/>
    <row r="1046326" customFormat="false" ht="12.75" hidden="false" customHeight="true" outlineLevel="0" collapsed="false"/>
    <row r="1046327" customFormat="false" ht="12.75" hidden="false" customHeight="true" outlineLevel="0" collapsed="false"/>
    <row r="1046328" customFormat="false" ht="12.75" hidden="false" customHeight="true" outlineLevel="0" collapsed="false"/>
    <row r="1046329" customFormat="false" ht="12.75" hidden="false" customHeight="true" outlineLevel="0" collapsed="false"/>
    <row r="1046330" customFormat="false" ht="12.75" hidden="false" customHeight="true" outlineLevel="0" collapsed="false"/>
    <row r="1046331" customFormat="false" ht="12.75" hidden="false" customHeight="true" outlineLevel="0" collapsed="false"/>
    <row r="1046332" customFormat="false" ht="12.75" hidden="false" customHeight="true" outlineLevel="0" collapsed="false"/>
    <row r="1046333" customFormat="false" ht="12.75" hidden="false" customHeight="true" outlineLevel="0" collapsed="false"/>
    <row r="1046334" customFormat="false" ht="12.75" hidden="false" customHeight="true" outlineLevel="0" collapsed="false"/>
    <row r="1046335" customFormat="false" ht="12.75" hidden="false" customHeight="true" outlineLevel="0" collapsed="false"/>
    <row r="1046336" customFormat="false" ht="12.75" hidden="false" customHeight="true" outlineLevel="0" collapsed="false"/>
    <row r="1046337" customFormat="false" ht="12.75" hidden="false" customHeight="true" outlineLevel="0" collapsed="false"/>
    <row r="1046338" customFormat="false" ht="12.75" hidden="false" customHeight="true" outlineLevel="0" collapsed="false"/>
    <row r="1046339" customFormat="false" ht="12.75" hidden="false" customHeight="true" outlineLevel="0" collapsed="false"/>
    <row r="1046340" customFormat="false" ht="12.75" hidden="false" customHeight="true" outlineLevel="0" collapsed="false"/>
    <row r="1046341" customFormat="false" ht="12.75" hidden="false" customHeight="true" outlineLevel="0" collapsed="false"/>
    <row r="1046342" customFormat="false" ht="12.75" hidden="false" customHeight="true" outlineLevel="0" collapsed="false"/>
    <row r="1046343" customFormat="false" ht="12.75" hidden="false" customHeight="true" outlineLevel="0" collapsed="false"/>
    <row r="1046344" customFormat="false" ht="12.75" hidden="false" customHeight="true" outlineLevel="0" collapsed="false"/>
    <row r="1046345" customFormat="false" ht="12.75" hidden="false" customHeight="true" outlineLevel="0" collapsed="false"/>
    <row r="1046346" customFormat="false" ht="12.75" hidden="false" customHeight="true" outlineLevel="0" collapsed="false"/>
    <row r="1046347" customFormat="false" ht="12.75" hidden="false" customHeight="true" outlineLevel="0" collapsed="false"/>
    <row r="1046348" customFormat="false" ht="12.75" hidden="false" customHeight="true" outlineLevel="0" collapsed="false"/>
    <row r="1046349" customFormat="false" ht="12.75" hidden="false" customHeight="true" outlineLevel="0" collapsed="false"/>
    <row r="1046350" customFormat="false" ht="12.75" hidden="false" customHeight="true" outlineLevel="0" collapsed="false"/>
    <row r="1046351" customFormat="false" ht="12.75" hidden="false" customHeight="true" outlineLevel="0" collapsed="false"/>
    <row r="1046352" customFormat="false" ht="12.75" hidden="false" customHeight="true" outlineLevel="0" collapsed="false"/>
    <row r="1046353" customFormat="false" ht="12.75" hidden="false" customHeight="true" outlineLevel="0" collapsed="false"/>
    <row r="1046354" customFormat="false" ht="12.75" hidden="false" customHeight="true" outlineLevel="0" collapsed="false"/>
    <row r="1046355" customFormat="false" ht="12.75" hidden="false" customHeight="true" outlineLevel="0" collapsed="false"/>
    <row r="1046356" customFormat="false" ht="12.75" hidden="false" customHeight="true" outlineLevel="0" collapsed="false"/>
    <row r="1046357" customFormat="false" ht="12.75" hidden="false" customHeight="true" outlineLevel="0" collapsed="false"/>
    <row r="1046358" customFormat="false" ht="12.75" hidden="false" customHeight="true" outlineLevel="0" collapsed="false"/>
    <row r="1046359" customFormat="false" ht="12.75" hidden="false" customHeight="true" outlineLevel="0" collapsed="false"/>
    <row r="1046360" customFormat="false" ht="12.75" hidden="false" customHeight="true" outlineLevel="0" collapsed="false"/>
    <row r="1046361" customFormat="false" ht="12.75" hidden="false" customHeight="true" outlineLevel="0" collapsed="false"/>
    <row r="1046362" customFormat="false" ht="12.75" hidden="false" customHeight="true" outlineLevel="0" collapsed="false"/>
    <row r="1046363" customFormat="false" ht="12.75" hidden="false" customHeight="true" outlineLevel="0" collapsed="false"/>
    <row r="1046364" customFormat="false" ht="12.75" hidden="false" customHeight="true" outlineLevel="0" collapsed="false"/>
    <row r="1046365" customFormat="false" ht="12.75" hidden="false" customHeight="true" outlineLevel="0" collapsed="false"/>
    <row r="1046366" customFormat="false" ht="12.75" hidden="false" customHeight="true" outlineLevel="0" collapsed="false"/>
    <row r="1046367" customFormat="false" ht="12.75" hidden="false" customHeight="true" outlineLevel="0" collapsed="false"/>
    <row r="1046368" customFormat="false" ht="12.75" hidden="false" customHeight="true" outlineLevel="0" collapsed="false"/>
    <row r="1046369" customFormat="false" ht="12.75" hidden="false" customHeight="true" outlineLevel="0" collapsed="false"/>
    <row r="1046370" customFormat="false" ht="12.75" hidden="false" customHeight="true" outlineLevel="0" collapsed="false"/>
    <row r="1046371" customFormat="false" ht="12.75" hidden="false" customHeight="true" outlineLevel="0" collapsed="false"/>
    <row r="1046372" customFormat="false" ht="12.75" hidden="false" customHeight="true" outlineLevel="0" collapsed="false"/>
    <row r="1046373" customFormat="false" ht="12.75" hidden="false" customHeight="true" outlineLevel="0" collapsed="false"/>
    <row r="1046374" customFormat="false" ht="12.75" hidden="false" customHeight="true" outlineLevel="0" collapsed="false"/>
    <row r="1046375" customFormat="false" ht="12.75" hidden="false" customHeight="true" outlineLevel="0" collapsed="false"/>
    <row r="1046376" customFormat="false" ht="12.75" hidden="false" customHeight="true" outlineLevel="0" collapsed="false"/>
    <row r="1046377" customFormat="false" ht="12.75" hidden="false" customHeight="true" outlineLevel="0" collapsed="false"/>
    <row r="1046378" customFormat="false" ht="12.75" hidden="false" customHeight="true" outlineLevel="0" collapsed="false"/>
    <row r="1046379" customFormat="false" ht="12.75" hidden="false" customHeight="true" outlineLevel="0" collapsed="false"/>
    <row r="1046380" customFormat="false" ht="12.75" hidden="false" customHeight="true" outlineLevel="0" collapsed="false"/>
    <row r="1046381" customFormat="false" ht="12.75" hidden="false" customHeight="true" outlineLevel="0" collapsed="false"/>
    <row r="1046382" customFormat="false" ht="12.75" hidden="false" customHeight="true" outlineLevel="0" collapsed="false"/>
    <row r="1046383" customFormat="false" ht="12.75" hidden="false" customHeight="true" outlineLevel="0" collapsed="false"/>
    <row r="1046384" customFormat="false" ht="12.75" hidden="false" customHeight="true" outlineLevel="0" collapsed="false"/>
    <row r="1046385" customFormat="false" ht="12.75" hidden="false" customHeight="true" outlineLevel="0" collapsed="false"/>
    <row r="1046386" customFormat="false" ht="12.75" hidden="false" customHeight="true" outlineLevel="0" collapsed="false"/>
    <row r="1046387" customFormat="false" ht="12.75" hidden="false" customHeight="true" outlineLevel="0" collapsed="false"/>
    <row r="1046388" customFormat="false" ht="12.75" hidden="false" customHeight="true" outlineLevel="0" collapsed="false"/>
    <row r="1046389" customFormat="false" ht="12.75" hidden="false" customHeight="true" outlineLevel="0" collapsed="false"/>
    <row r="1046390" customFormat="false" ht="12.75" hidden="false" customHeight="true" outlineLevel="0" collapsed="false"/>
    <row r="1046391" customFormat="false" ht="12.75" hidden="false" customHeight="true" outlineLevel="0" collapsed="false"/>
    <row r="1046392" customFormat="false" ht="12.75" hidden="false" customHeight="true" outlineLevel="0" collapsed="false"/>
    <row r="1046393" customFormat="false" ht="12.75" hidden="false" customHeight="true" outlineLevel="0" collapsed="false"/>
    <row r="1046394" customFormat="false" ht="12.75" hidden="false" customHeight="true" outlineLevel="0" collapsed="false"/>
    <row r="1046395" customFormat="false" ht="12.75" hidden="false" customHeight="true" outlineLevel="0" collapsed="false"/>
    <row r="1046396" customFormat="false" ht="12.75" hidden="false" customHeight="true" outlineLevel="0" collapsed="false"/>
    <row r="1046397" customFormat="false" ht="12.75" hidden="false" customHeight="true" outlineLevel="0" collapsed="false"/>
    <row r="1046398" customFormat="false" ht="12.75" hidden="false" customHeight="true" outlineLevel="0" collapsed="false"/>
    <row r="1046399" customFormat="false" ht="12.75" hidden="false" customHeight="true" outlineLevel="0" collapsed="false"/>
    <row r="1046400" customFormat="false" ht="12.75" hidden="false" customHeight="true" outlineLevel="0" collapsed="false"/>
    <row r="1046401" customFormat="false" ht="12.75" hidden="false" customHeight="true" outlineLevel="0" collapsed="false"/>
    <row r="1046402" customFormat="false" ht="12.75" hidden="false" customHeight="true" outlineLevel="0" collapsed="false"/>
    <row r="1046403" customFormat="false" ht="12.75" hidden="false" customHeight="true" outlineLevel="0" collapsed="false"/>
    <row r="1046404" customFormat="false" ht="12.75" hidden="false" customHeight="true" outlineLevel="0" collapsed="false"/>
    <row r="1046405" customFormat="false" ht="12.75" hidden="false" customHeight="true" outlineLevel="0" collapsed="false"/>
    <row r="1046406" customFormat="false" ht="12.75" hidden="false" customHeight="true" outlineLevel="0" collapsed="false"/>
    <row r="1046407" customFormat="false" ht="12.75" hidden="false" customHeight="true" outlineLevel="0" collapsed="false"/>
    <row r="1046408" customFormat="false" ht="12.75" hidden="false" customHeight="true" outlineLevel="0" collapsed="false"/>
    <row r="1046409" customFormat="false" ht="12.75" hidden="false" customHeight="true" outlineLevel="0" collapsed="false"/>
    <row r="1046410" customFormat="false" ht="12.75" hidden="false" customHeight="true" outlineLevel="0" collapsed="false"/>
    <row r="1046411" customFormat="false" ht="12.75" hidden="false" customHeight="true" outlineLevel="0" collapsed="false"/>
    <row r="1046412" customFormat="false" ht="12.75" hidden="false" customHeight="true" outlineLevel="0" collapsed="false"/>
    <row r="1046413" customFormat="false" ht="12.75" hidden="false" customHeight="true" outlineLevel="0" collapsed="false"/>
    <row r="1046414" customFormat="false" ht="12.75" hidden="false" customHeight="true" outlineLevel="0" collapsed="false"/>
    <row r="1046415" customFormat="false" ht="12.75" hidden="false" customHeight="true" outlineLevel="0" collapsed="false"/>
    <row r="1046416" customFormat="false" ht="12.75" hidden="false" customHeight="true" outlineLevel="0" collapsed="false"/>
    <row r="1046417" customFormat="false" ht="12.75" hidden="false" customHeight="true" outlineLevel="0" collapsed="false"/>
    <row r="1046418" customFormat="false" ht="12.75" hidden="false" customHeight="true" outlineLevel="0" collapsed="false"/>
    <row r="1046419" customFormat="false" ht="12.75" hidden="false" customHeight="true" outlineLevel="0" collapsed="false"/>
    <row r="1046420" customFormat="false" ht="12.75" hidden="false" customHeight="true" outlineLevel="0" collapsed="false"/>
    <row r="1046421" customFormat="false" ht="12.75" hidden="false" customHeight="true" outlineLevel="0" collapsed="false"/>
    <row r="1046422" customFormat="false" ht="12.75" hidden="false" customHeight="true" outlineLevel="0" collapsed="false"/>
    <row r="1046423" customFormat="false" ht="12.75" hidden="false" customHeight="true" outlineLevel="0" collapsed="false"/>
    <row r="1046424" customFormat="false" ht="12.75" hidden="false" customHeight="true" outlineLevel="0" collapsed="false"/>
    <row r="1046425" customFormat="false" ht="12.75" hidden="false" customHeight="true" outlineLevel="0" collapsed="false"/>
    <row r="1046426" customFormat="false" ht="12.75" hidden="false" customHeight="true" outlineLevel="0" collapsed="false"/>
    <row r="1046427" customFormat="false" ht="12.75" hidden="false" customHeight="true" outlineLevel="0" collapsed="false"/>
    <row r="1046428" customFormat="false" ht="12.75" hidden="false" customHeight="true" outlineLevel="0" collapsed="false"/>
    <row r="1046429" customFormat="false" ht="12.75" hidden="false" customHeight="true" outlineLevel="0" collapsed="false"/>
    <row r="1046430" customFormat="false" ht="12.75" hidden="false" customHeight="true" outlineLevel="0" collapsed="false"/>
    <row r="1046431" customFormat="false" ht="12.75" hidden="false" customHeight="true" outlineLevel="0" collapsed="false"/>
    <row r="1046432" customFormat="false" ht="12.75" hidden="false" customHeight="true" outlineLevel="0" collapsed="false"/>
    <row r="1046433" customFormat="false" ht="12.75" hidden="false" customHeight="true" outlineLevel="0" collapsed="false"/>
    <row r="1046434" customFormat="false" ht="12.75" hidden="false" customHeight="true" outlineLevel="0" collapsed="false"/>
    <row r="1046435" customFormat="false" ht="12.75" hidden="false" customHeight="true" outlineLevel="0" collapsed="false"/>
    <row r="1046436" customFormat="false" ht="12.75" hidden="false" customHeight="true" outlineLevel="0" collapsed="false"/>
    <row r="1046437" customFormat="false" ht="12.75" hidden="false" customHeight="true" outlineLevel="0" collapsed="false"/>
    <row r="1046438" customFormat="false" ht="12.75" hidden="false" customHeight="true" outlineLevel="0" collapsed="false"/>
    <row r="1046439" customFormat="false" ht="12.75" hidden="false" customHeight="true" outlineLevel="0" collapsed="false"/>
    <row r="1046440" customFormat="false" ht="12.75" hidden="false" customHeight="true" outlineLevel="0" collapsed="false"/>
    <row r="1046441" customFormat="false" ht="12.75" hidden="false" customHeight="true" outlineLevel="0" collapsed="false"/>
    <row r="1046442" customFormat="false" ht="12.75" hidden="false" customHeight="true" outlineLevel="0" collapsed="false"/>
    <row r="1046443" customFormat="false" ht="12.75" hidden="false" customHeight="true" outlineLevel="0" collapsed="false"/>
    <row r="1046444" customFormat="false" ht="12.75" hidden="false" customHeight="true" outlineLevel="0" collapsed="false"/>
    <row r="1046445" customFormat="false" ht="12.75" hidden="false" customHeight="true" outlineLevel="0" collapsed="false"/>
    <row r="1046446" customFormat="false" ht="12.75" hidden="false" customHeight="true" outlineLevel="0" collapsed="false"/>
    <row r="1046447" customFormat="false" ht="12.75" hidden="false" customHeight="true" outlineLevel="0" collapsed="false"/>
    <row r="1046448" customFormat="false" ht="12.75" hidden="false" customHeight="true" outlineLevel="0" collapsed="false"/>
    <row r="1046449" customFormat="false" ht="12.75" hidden="false" customHeight="true" outlineLevel="0" collapsed="false"/>
    <row r="1046450" customFormat="false" ht="12.75" hidden="false" customHeight="true" outlineLevel="0" collapsed="false"/>
    <row r="1046451" customFormat="false" ht="12.75" hidden="false" customHeight="true" outlineLevel="0" collapsed="false"/>
    <row r="1046452" customFormat="false" ht="12.75" hidden="false" customHeight="true" outlineLevel="0" collapsed="false"/>
    <row r="1046453" customFormat="false" ht="12.75" hidden="false" customHeight="true" outlineLevel="0" collapsed="false"/>
    <row r="1046454" customFormat="false" ht="12.75" hidden="false" customHeight="true" outlineLevel="0" collapsed="false"/>
    <row r="1046455" customFormat="false" ht="12.75" hidden="false" customHeight="true" outlineLevel="0" collapsed="false"/>
    <row r="1046456" customFormat="false" ht="12.75" hidden="false" customHeight="true" outlineLevel="0" collapsed="false"/>
    <row r="1046457" customFormat="false" ht="12.75" hidden="false" customHeight="true" outlineLevel="0" collapsed="false"/>
    <row r="1046458" customFormat="false" ht="12.75" hidden="false" customHeight="true" outlineLevel="0" collapsed="false"/>
    <row r="1046459" customFormat="false" ht="12.75" hidden="false" customHeight="true" outlineLevel="0" collapsed="false"/>
    <row r="1046460" customFormat="false" ht="12.75" hidden="false" customHeight="true" outlineLevel="0" collapsed="false"/>
    <row r="1046461" customFormat="false" ht="12.75" hidden="false" customHeight="true" outlineLevel="0" collapsed="false"/>
    <row r="1046462" customFormat="false" ht="12.75" hidden="false" customHeight="true" outlineLevel="0" collapsed="false"/>
    <row r="1046463" customFormat="false" ht="12.75" hidden="false" customHeight="true" outlineLevel="0" collapsed="false"/>
    <row r="1046464" customFormat="false" ht="12.75" hidden="false" customHeight="true" outlineLevel="0" collapsed="false"/>
    <row r="1046465" customFormat="false" ht="12.75" hidden="false" customHeight="true" outlineLevel="0" collapsed="false"/>
    <row r="1046466" customFormat="false" ht="12.75" hidden="false" customHeight="true" outlineLevel="0" collapsed="false"/>
    <row r="1046467" customFormat="false" ht="12.75" hidden="false" customHeight="true" outlineLevel="0" collapsed="false"/>
    <row r="1046468" customFormat="false" ht="12.75" hidden="false" customHeight="true" outlineLevel="0" collapsed="false"/>
    <row r="1046469" customFormat="false" ht="12.75" hidden="false" customHeight="true" outlineLevel="0" collapsed="false"/>
    <row r="1046470" customFormat="false" ht="12.75" hidden="false" customHeight="true" outlineLevel="0" collapsed="false"/>
    <row r="1046471" customFormat="false" ht="12.75" hidden="false" customHeight="true" outlineLevel="0" collapsed="false"/>
    <row r="1046472" customFormat="false" ht="12.75" hidden="false" customHeight="true" outlineLevel="0" collapsed="false"/>
    <row r="1046473" customFormat="false" ht="12.75" hidden="false" customHeight="true" outlineLevel="0" collapsed="false"/>
    <row r="1046474" customFormat="false" ht="12.75" hidden="false" customHeight="true" outlineLevel="0" collapsed="false"/>
    <row r="1046475" customFormat="false" ht="12.75" hidden="false" customHeight="true" outlineLevel="0" collapsed="false"/>
    <row r="1046476" customFormat="false" ht="12.75" hidden="false" customHeight="true" outlineLevel="0" collapsed="false"/>
    <row r="1046477" customFormat="false" ht="12.75" hidden="false" customHeight="true" outlineLevel="0" collapsed="false"/>
    <row r="1046478" customFormat="false" ht="12.75" hidden="false" customHeight="true" outlineLevel="0" collapsed="false"/>
    <row r="1046479" customFormat="false" ht="12.75" hidden="false" customHeight="true" outlineLevel="0" collapsed="false"/>
    <row r="1046480" customFormat="false" ht="12.75" hidden="false" customHeight="true" outlineLevel="0" collapsed="false"/>
    <row r="1046481" customFormat="false" ht="12.75" hidden="false" customHeight="true" outlineLevel="0" collapsed="false"/>
    <row r="1046482" customFormat="false" ht="12.75" hidden="false" customHeight="true" outlineLevel="0" collapsed="false"/>
    <row r="1046483" customFormat="false" ht="12.75" hidden="false" customHeight="true" outlineLevel="0" collapsed="false"/>
    <row r="1046484" customFormat="false" ht="12.75" hidden="false" customHeight="true" outlineLevel="0" collapsed="false"/>
    <row r="1046485" customFormat="false" ht="12.75" hidden="false" customHeight="true" outlineLevel="0" collapsed="false"/>
    <row r="1046486" customFormat="false" ht="12.75" hidden="false" customHeight="true" outlineLevel="0" collapsed="false"/>
    <row r="1046487" customFormat="false" ht="12.75" hidden="false" customHeight="true" outlineLevel="0" collapsed="false"/>
    <row r="1046488" customFormat="false" ht="12.75" hidden="false" customHeight="true" outlineLevel="0" collapsed="false"/>
    <row r="1046489" customFormat="false" ht="12.75" hidden="false" customHeight="true" outlineLevel="0" collapsed="false"/>
    <row r="1046490" customFormat="false" ht="12.75" hidden="false" customHeight="true" outlineLevel="0" collapsed="false"/>
    <row r="1046491" customFormat="false" ht="12.75" hidden="false" customHeight="true" outlineLevel="0" collapsed="false"/>
    <row r="1046492" customFormat="false" ht="12.75" hidden="false" customHeight="true" outlineLevel="0" collapsed="false"/>
    <row r="1046493" customFormat="false" ht="12.75" hidden="false" customHeight="true" outlineLevel="0" collapsed="false"/>
    <row r="1046494" customFormat="false" ht="12.75" hidden="false" customHeight="true" outlineLevel="0" collapsed="false"/>
    <row r="1046495" customFormat="false" ht="12.75" hidden="false" customHeight="true" outlineLevel="0" collapsed="false"/>
    <row r="1046496" customFormat="false" ht="12.75" hidden="false" customHeight="true" outlineLevel="0" collapsed="false"/>
    <row r="1046497" customFormat="false" ht="12.75" hidden="false" customHeight="true" outlineLevel="0" collapsed="false"/>
    <row r="1046498" customFormat="false" ht="12.75" hidden="false" customHeight="true" outlineLevel="0" collapsed="false"/>
    <row r="1046499" customFormat="false" ht="12.75" hidden="false" customHeight="true" outlineLevel="0" collapsed="false"/>
    <row r="1046500" customFormat="false" ht="12.75" hidden="false" customHeight="true" outlineLevel="0" collapsed="false"/>
    <row r="1046501" customFormat="false" ht="12.75" hidden="false" customHeight="true" outlineLevel="0" collapsed="false"/>
    <row r="1046502" customFormat="false" ht="12.75" hidden="false" customHeight="true" outlineLevel="0" collapsed="false"/>
    <row r="1046503" customFormat="false" ht="12.75" hidden="false" customHeight="true" outlineLevel="0" collapsed="false"/>
    <row r="1046504" customFormat="false" ht="12.75" hidden="false" customHeight="true" outlineLevel="0" collapsed="false"/>
    <row r="1046505" customFormat="false" ht="12.75" hidden="false" customHeight="true" outlineLevel="0" collapsed="false"/>
    <row r="1046506" customFormat="false" ht="12.75" hidden="false" customHeight="true" outlineLevel="0" collapsed="false"/>
    <row r="1046507" customFormat="false" ht="12.75" hidden="false" customHeight="true" outlineLevel="0" collapsed="false"/>
    <row r="1046508" customFormat="false" ht="12.75" hidden="false" customHeight="true" outlineLevel="0" collapsed="false"/>
    <row r="1046509" customFormat="false" ht="12.75" hidden="false" customHeight="true" outlineLevel="0" collapsed="false"/>
    <row r="1046510" customFormat="false" ht="12.75" hidden="false" customHeight="true" outlineLevel="0" collapsed="false"/>
    <row r="1046511" customFormat="false" ht="12.75" hidden="false" customHeight="true" outlineLevel="0" collapsed="false"/>
    <row r="1046512" customFormat="false" ht="12.75" hidden="false" customHeight="true" outlineLevel="0" collapsed="false"/>
    <row r="1046513" customFormat="false" ht="12.75" hidden="false" customHeight="true" outlineLevel="0" collapsed="false"/>
    <row r="1046514" customFormat="false" ht="12.75" hidden="false" customHeight="true" outlineLevel="0" collapsed="false"/>
    <row r="1046515" customFormat="false" ht="12.75" hidden="false" customHeight="true" outlineLevel="0" collapsed="false"/>
    <row r="1046516" customFormat="false" ht="12.75" hidden="false" customHeight="true" outlineLevel="0" collapsed="false"/>
    <row r="1046517" customFormat="false" ht="12.75" hidden="false" customHeight="true" outlineLevel="0" collapsed="false"/>
    <row r="1046518" customFormat="false" ht="12.75" hidden="false" customHeight="true" outlineLevel="0" collapsed="false"/>
    <row r="1046519" customFormat="false" ht="12.75" hidden="false" customHeight="true" outlineLevel="0" collapsed="false"/>
    <row r="1046520" customFormat="false" ht="12.75" hidden="false" customHeight="true" outlineLevel="0" collapsed="false"/>
    <row r="1046521" customFormat="false" ht="12.75" hidden="false" customHeight="true" outlineLevel="0" collapsed="false"/>
    <row r="1046522" customFormat="false" ht="12.75" hidden="false" customHeight="true" outlineLevel="0" collapsed="false"/>
    <row r="1046523" customFormat="false" ht="12.75" hidden="false" customHeight="true" outlineLevel="0" collapsed="false"/>
    <row r="1046524" customFormat="false" ht="12.75" hidden="false" customHeight="true" outlineLevel="0" collapsed="false"/>
    <row r="1046525" customFormat="false" ht="12.75" hidden="false" customHeight="true" outlineLevel="0" collapsed="false"/>
    <row r="1046526" customFormat="false" ht="12.75" hidden="false" customHeight="true" outlineLevel="0" collapsed="false"/>
    <row r="1046527" customFormat="false" ht="12.75" hidden="false" customHeight="true" outlineLevel="0" collapsed="false"/>
    <row r="1046528" customFormat="false" ht="12.75" hidden="false" customHeight="true" outlineLevel="0" collapsed="false"/>
    <row r="1046529" customFormat="false" ht="12.75" hidden="false" customHeight="true" outlineLevel="0" collapsed="false"/>
    <row r="1046530" customFormat="false" ht="12.75" hidden="false" customHeight="true" outlineLevel="0" collapsed="false"/>
    <row r="1046531" customFormat="false" ht="12.75" hidden="false" customHeight="true" outlineLevel="0" collapsed="false"/>
    <row r="1046532" customFormat="false" ht="12.75" hidden="false" customHeight="true" outlineLevel="0" collapsed="false"/>
    <row r="1046533" customFormat="false" ht="12.75" hidden="false" customHeight="true" outlineLevel="0" collapsed="false"/>
    <row r="1046534" customFormat="false" ht="12.75" hidden="false" customHeight="true" outlineLevel="0" collapsed="false"/>
    <row r="1046535" customFormat="false" ht="12.75" hidden="false" customHeight="true" outlineLevel="0" collapsed="false"/>
    <row r="1046536" customFormat="false" ht="12.75" hidden="false" customHeight="true" outlineLevel="0" collapsed="false"/>
    <row r="1046537" customFormat="false" ht="12.75" hidden="false" customHeight="true" outlineLevel="0" collapsed="false"/>
    <row r="1046538" customFormat="false" ht="12.75" hidden="false" customHeight="true" outlineLevel="0" collapsed="false"/>
    <row r="1046539" customFormat="false" ht="12.75" hidden="false" customHeight="true" outlineLevel="0" collapsed="false"/>
    <row r="1046540" customFormat="false" ht="12.75" hidden="false" customHeight="true" outlineLevel="0" collapsed="false"/>
    <row r="1046541" customFormat="false" ht="12.75" hidden="false" customHeight="true" outlineLevel="0" collapsed="false"/>
    <row r="1046542" customFormat="false" ht="12.75" hidden="false" customHeight="true" outlineLevel="0" collapsed="false"/>
    <row r="1046543" customFormat="false" ht="12.75" hidden="false" customHeight="true" outlineLevel="0" collapsed="false"/>
    <row r="1046544" customFormat="false" ht="12.75" hidden="false" customHeight="true" outlineLevel="0" collapsed="false"/>
    <row r="1046545" customFormat="false" ht="12.75" hidden="false" customHeight="true" outlineLevel="0" collapsed="false"/>
    <row r="1046546" customFormat="false" ht="12.75" hidden="false" customHeight="true" outlineLevel="0" collapsed="false"/>
    <row r="1046547" customFormat="false" ht="12.75" hidden="false" customHeight="true" outlineLevel="0" collapsed="false"/>
    <row r="1046548" customFormat="false" ht="12.75" hidden="false" customHeight="true" outlineLevel="0" collapsed="false"/>
    <row r="1046549" customFormat="false" ht="12.75" hidden="false" customHeight="true" outlineLevel="0" collapsed="false"/>
    <row r="1046550" customFormat="false" ht="12.75" hidden="false" customHeight="true" outlineLevel="0" collapsed="false"/>
    <row r="1046551" customFormat="false" ht="12.75" hidden="false" customHeight="true" outlineLevel="0" collapsed="false"/>
    <row r="1046552" customFormat="false" ht="12.75" hidden="false" customHeight="true" outlineLevel="0" collapsed="false"/>
    <row r="1046553" customFormat="false" ht="12.75" hidden="false" customHeight="true" outlineLevel="0" collapsed="false"/>
    <row r="1046554" customFormat="false" ht="12.75" hidden="false" customHeight="true" outlineLevel="0" collapsed="false"/>
    <row r="1046555" customFormat="false" ht="12.75" hidden="false" customHeight="true" outlineLevel="0" collapsed="false"/>
    <row r="1046556" customFormat="false" ht="12.75" hidden="false" customHeight="true" outlineLevel="0" collapsed="false"/>
    <row r="1046557" customFormat="false" ht="12.75" hidden="false" customHeight="true" outlineLevel="0" collapsed="false"/>
    <row r="1046558" customFormat="false" ht="12.75" hidden="false" customHeight="true" outlineLevel="0" collapsed="false"/>
    <row r="1046559" customFormat="false" ht="12.75" hidden="false" customHeight="true" outlineLevel="0" collapsed="false"/>
    <row r="1046560" customFormat="false" ht="12.75" hidden="false" customHeight="true" outlineLevel="0" collapsed="false"/>
    <row r="1046561" customFormat="false" ht="12.75" hidden="false" customHeight="true" outlineLevel="0" collapsed="false"/>
    <row r="1046562" customFormat="false" ht="12.75" hidden="false" customHeight="true" outlineLevel="0" collapsed="false"/>
    <row r="1046563" customFormat="false" ht="12.75" hidden="false" customHeight="true" outlineLevel="0" collapsed="false"/>
    <row r="1046564" customFormat="false" ht="12.75" hidden="false" customHeight="true" outlineLevel="0" collapsed="false"/>
    <row r="1046565" customFormat="false" ht="12.75" hidden="false" customHeight="true" outlineLevel="0" collapsed="false"/>
    <row r="1046566" customFormat="false" ht="12.75" hidden="false" customHeight="true" outlineLevel="0" collapsed="false"/>
    <row r="1046567" customFormat="false" ht="12.75" hidden="false" customHeight="true" outlineLevel="0" collapsed="false"/>
    <row r="1046568" customFormat="false" ht="12.75" hidden="false" customHeight="true" outlineLevel="0" collapsed="false"/>
    <row r="1046569" customFormat="false" ht="12.75" hidden="false" customHeight="true" outlineLevel="0" collapsed="false"/>
    <row r="1046570" customFormat="false" ht="12.75" hidden="false" customHeight="true" outlineLevel="0" collapsed="false"/>
    <row r="1046571" customFormat="false" ht="12.75" hidden="false" customHeight="true" outlineLevel="0" collapsed="false"/>
    <row r="1046572" customFormat="false" ht="12.75" hidden="false" customHeight="true" outlineLevel="0" collapsed="false"/>
    <row r="1046573" customFormat="false" ht="12.75" hidden="false" customHeight="true" outlineLevel="0" collapsed="false"/>
    <row r="1046574" customFormat="false" ht="12.75" hidden="false" customHeight="true" outlineLevel="0" collapsed="false"/>
    <row r="1046575" customFormat="false" ht="12.75" hidden="false" customHeight="true" outlineLevel="0" collapsed="false"/>
    <row r="1046576" customFormat="false" ht="12.75" hidden="false" customHeight="true" outlineLevel="0" collapsed="false"/>
    <row r="1046577" customFormat="false" ht="12.75" hidden="false" customHeight="true" outlineLevel="0" collapsed="false"/>
    <row r="1046578" customFormat="false" ht="12.75" hidden="false" customHeight="true" outlineLevel="0" collapsed="false"/>
    <row r="1046579" customFormat="false" ht="12.75" hidden="false" customHeight="true" outlineLevel="0" collapsed="false"/>
    <row r="1046580" customFormat="false" ht="12.75" hidden="false" customHeight="true" outlineLevel="0" collapsed="false"/>
    <row r="1046581" customFormat="false" ht="12.75" hidden="false" customHeight="true" outlineLevel="0" collapsed="false"/>
    <row r="1046582" customFormat="false" ht="12.75" hidden="false" customHeight="true" outlineLevel="0" collapsed="false"/>
    <row r="1046583" customFormat="false" ht="12.75" hidden="false" customHeight="true" outlineLevel="0" collapsed="false"/>
    <row r="1046584" customFormat="false" ht="12.75" hidden="false" customHeight="true" outlineLevel="0" collapsed="false"/>
    <row r="1046585" customFormat="false" ht="12.75" hidden="false" customHeight="true" outlineLevel="0" collapsed="false"/>
    <row r="1046586" customFormat="false" ht="12.75" hidden="false" customHeight="true" outlineLevel="0" collapsed="false"/>
    <row r="1046587" customFormat="false" ht="12.75" hidden="false" customHeight="true" outlineLevel="0" collapsed="false"/>
    <row r="1046588" customFormat="false" ht="12.75" hidden="false" customHeight="true" outlineLevel="0" collapsed="false"/>
    <row r="1046589" customFormat="false" ht="12.75" hidden="false" customHeight="true" outlineLevel="0" collapsed="false"/>
    <row r="1046590" customFormat="false" ht="12.75" hidden="false" customHeight="true" outlineLevel="0" collapsed="false"/>
    <row r="1046591" customFormat="false" ht="12.75" hidden="false" customHeight="true" outlineLevel="0" collapsed="false"/>
    <row r="1046592" customFormat="false" ht="12.75" hidden="false" customHeight="true" outlineLevel="0" collapsed="false"/>
    <row r="1046593" customFormat="false" ht="12.75" hidden="false" customHeight="true" outlineLevel="0" collapsed="false"/>
    <row r="1046594" customFormat="false" ht="12.75" hidden="false" customHeight="true" outlineLevel="0" collapsed="false"/>
    <row r="1046595" customFormat="false" ht="12.75" hidden="false" customHeight="true" outlineLevel="0" collapsed="false"/>
    <row r="1046596" customFormat="false" ht="12.75" hidden="false" customHeight="true" outlineLevel="0" collapsed="false"/>
    <row r="1046597" customFormat="false" ht="12.75" hidden="false" customHeight="true" outlineLevel="0" collapsed="false"/>
    <row r="1046598" customFormat="false" ht="12.75" hidden="false" customHeight="true" outlineLevel="0" collapsed="false"/>
    <row r="1046599" customFormat="false" ht="12.75" hidden="false" customHeight="true" outlineLevel="0" collapsed="false"/>
    <row r="1046600" customFormat="false" ht="12.75" hidden="false" customHeight="true" outlineLevel="0" collapsed="false"/>
    <row r="1046601" customFormat="false" ht="12.75" hidden="false" customHeight="true" outlineLevel="0" collapsed="false"/>
    <row r="1046602" customFormat="false" ht="12.75" hidden="false" customHeight="true" outlineLevel="0" collapsed="false"/>
    <row r="1046603" customFormat="false" ht="12.75" hidden="false" customHeight="true" outlineLevel="0" collapsed="false"/>
    <row r="1046604" customFormat="false" ht="12.75" hidden="false" customHeight="true" outlineLevel="0" collapsed="false"/>
    <row r="1046605" customFormat="false" ht="12.75" hidden="false" customHeight="true" outlineLevel="0" collapsed="false"/>
    <row r="1046606" customFormat="false" ht="12.75" hidden="false" customHeight="true" outlineLevel="0" collapsed="false"/>
    <row r="1046607" customFormat="false" ht="12.75" hidden="false" customHeight="true" outlineLevel="0" collapsed="false"/>
    <row r="1046608" customFormat="false" ht="12.75" hidden="false" customHeight="true" outlineLevel="0" collapsed="false"/>
    <row r="1046609" customFormat="false" ht="12.75" hidden="false" customHeight="true" outlineLevel="0" collapsed="false"/>
    <row r="1046610" customFormat="false" ht="12.75" hidden="false" customHeight="true" outlineLevel="0" collapsed="false"/>
    <row r="1046611" customFormat="false" ht="12.75" hidden="false" customHeight="true" outlineLevel="0" collapsed="false"/>
    <row r="1046612" customFormat="false" ht="12.75" hidden="false" customHeight="true" outlineLevel="0" collapsed="false"/>
    <row r="1046613" customFormat="false" ht="12.75" hidden="false" customHeight="true" outlineLevel="0" collapsed="false"/>
    <row r="1046614" customFormat="false" ht="12.75" hidden="false" customHeight="true" outlineLevel="0" collapsed="false"/>
    <row r="1046615" customFormat="false" ht="12.75" hidden="false" customHeight="true" outlineLevel="0" collapsed="false"/>
    <row r="1046616" customFormat="false" ht="12.75" hidden="false" customHeight="true" outlineLevel="0" collapsed="false"/>
    <row r="1046617" customFormat="false" ht="12.75" hidden="false" customHeight="true" outlineLevel="0" collapsed="false"/>
    <row r="1046618" customFormat="false" ht="12.75" hidden="false" customHeight="true" outlineLevel="0" collapsed="false"/>
    <row r="1046619" customFormat="false" ht="12.75" hidden="false" customHeight="true" outlineLevel="0" collapsed="false"/>
    <row r="1046620" customFormat="false" ht="12.75" hidden="false" customHeight="true" outlineLevel="0" collapsed="false"/>
    <row r="1046621" customFormat="false" ht="12.75" hidden="false" customHeight="true" outlineLevel="0" collapsed="false"/>
    <row r="1046622" customFormat="false" ht="12.75" hidden="false" customHeight="true" outlineLevel="0" collapsed="false"/>
    <row r="1046623" customFormat="false" ht="12.75" hidden="false" customHeight="true" outlineLevel="0" collapsed="false"/>
    <row r="1046624" customFormat="false" ht="12.75" hidden="false" customHeight="true" outlineLevel="0" collapsed="false"/>
    <row r="1046625" customFormat="false" ht="12.75" hidden="false" customHeight="true" outlineLevel="0" collapsed="false"/>
    <row r="1046626" customFormat="false" ht="12.75" hidden="false" customHeight="true" outlineLevel="0" collapsed="false"/>
    <row r="1046627" customFormat="false" ht="12.75" hidden="false" customHeight="true" outlineLevel="0" collapsed="false"/>
    <row r="1046628" customFormat="false" ht="12.75" hidden="false" customHeight="true" outlineLevel="0" collapsed="false"/>
    <row r="1046629" customFormat="false" ht="12.75" hidden="false" customHeight="true" outlineLevel="0" collapsed="false"/>
    <row r="1046630" customFormat="false" ht="12.75" hidden="false" customHeight="true" outlineLevel="0" collapsed="false"/>
    <row r="1046631" customFormat="false" ht="12.75" hidden="false" customHeight="true" outlineLevel="0" collapsed="false"/>
    <row r="1046632" customFormat="false" ht="12.75" hidden="false" customHeight="true" outlineLevel="0" collapsed="false"/>
    <row r="1046633" customFormat="false" ht="12.75" hidden="false" customHeight="true" outlineLevel="0" collapsed="false"/>
    <row r="1046634" customFormat="false" ht="12.75" hidden="false" customHeight="true" outlineLevel="0" collapsed="false"/>
    <row r="1046635" customFormat="false" ht="12.75" hidden="false" customHeight="true" outlineLevel="0" collapsed="false"/>
    <row r="1046636" customFormat="false" ht="12.75" hidden="false" customHeight="true" outlineLevel="0" collapsed="false"/>
    <row r="1046637" customFormat="false" ht="12.75" hidden="false" customHeight="true" outlineLevel="0" collapsed="false"/>
    <row r="1046638" customFormat="false" ht="12.75" hidden="false" customHeight="true" outlineLevel="0" collapsed="false"/>
    <row r="1046639" customFormat="false" ht="12.75" hidden="false" customHeight="true" outlineLevel="0" collapsed="false"/>
    <row r="1046640" customFormat="false" ht="12.75" hidden="false" customHeight="true" outlineLevel="0" collapsed="false"/>
    <row r="1046641" customFormat="false" ht="12.75" hidden="false" customHeight="true" outlineLevel="0" collapsed="false"/>
    <row r="1046642" customFormat="false" ht="12.75" hidden="false" customHeight="true" outlineLevel="0" collapsed="false"/>
    <row r="1046643" customFormat="false" ht="12.75" hidden="false" customHeight="true" outlineLevel="0" collapsed="false"/>
    <row r="1046644" customFormat="false" ht="12.75" hidden="false" customHeight="true" outlineLevel="0" collapsed="false"/>
    <row r="1046645" customFormat="false" ht="12.75" hidden="false" customHeight="true" outlineLevel="0" collapsed="false"/>
    <row r="1046646" customFormat="false" ht="12.75" hidden="false" customHeight="true" outlineLevel="0" collapsed="false"/>
    <row r="1046647" customFormat="false" ht="12.75" hidden="false" customHeight="true" outlineLevel="0" collapsed="false"/>
    <row r="1046648" customFormat="false" ht="12.75" hidden="false" customHeight="true" outlineLevel="0" collapsed="false"/>
    <row r="1046649" customFormat="false" ht="12.75" hidden="false" customHeight="true" outlineLevel="0" collapsed="false"/>
    <row r="1046650" customFormat="false" ht="12.75" hidden="false" customHeight="true" outlineLevel="0" collapsed="false"/>
    <row r="1046651" customFormat="false" ht="12.75" hidden="false" customHeight="true" outlineLevel="0" collapsed="false"/>
    <row r="1046652" customFormat="false" ht="12.75" hidden="false" customHeight="true" outlineLevel="0" collapsed="false"/>
    <row r="1046653" customFormat="false" ht="12.75" hidden="false" customHeight="true" outlineLevel="0" collapsed="false"/>
    <row r="1046654" customFormat="false" ht="12.75" hidden="false" customHeight="true" outlineLevel="0" collapsed="false"/>
    <row r="1046655" customFormat="false" ht="12.75" hidden="false" customHeight="true" outlineLevel="0" collapsed="false"/>
    <row r="1046656" customFormat="false" ht="12.75" hidden="false" customHeight="true" outlineLevel="0" collapsed="false"/>
    <row r="1046657" customFormat="false" ht="12.75" hidden="false" customHeight="true" outlineLevel="0" collapsed="false"/>
    <row r="1046658" customFormat="false" ht="12.75" hidden="false" customHeight="true" outlineLevel="0" collapsed="false"/>
    <row r="1046659" customFormat="false" ht="12.75" hidden="false" customHeight="true" outlineLevel="0" collapsed="false"/>
    <row r="1046660" customFormat="false" ht="12.75" hidden="false" customHeight="true" outlineLevel="0" collapsed="false"/>
    <row r="1046661" customFormat="false" ht="12.75" hidden="false" customHeight="true" outlineLevel="0" collapsed="false"/>
    <row r="1046662" customFormat="false" ht="12.75" hidden="false" customHeight="true" outlineLevel="0" collapsed="false"/>
    <row r="1046663" customFormat="false" ht="12.75" hidden="false" customHeight="true" outlineLevel="0" collapsed="false"/>
    <row r="1046664" customFormat="false" ht="12.75" hidden="false" customHeight="true" outlineLevel="0" collapsed="false"/>
    <row r="1046665" customFormat="false" ht="12.75" hidden="false" customHeight="true" outlineLevel="0" collapsed="false"/>
    <row r="1046666" customFormat="false" ht="12.75" hidden="false" customHeight="true" outlineLevel="0" collapsed="false"/>
    <row r="1046667" customFormat="false" ht="12.75" hidden="false" customHeight="true" outlineLevel="0" collapsed="false"/>
    <row r="1046668" customFormat="false" ht="12.75" hidden="false" customHeight="true" outlineLevel="0" collapsed="false"/>
    <row r="1046669" customFormat="false" ht="12.75" hidden="false" customHeight="true" outlineLevel="0" collapsed="false"/>
    <row r="1046670" customFormat="false" ht="12.75" hidden="false" customHeight="true" outlineLevel="0" collapsed="false"/>
    <row r="1046671" customFormat="false" ht="12.75" hidden="false" customHeight="true" outlineLevel="0" collapsed="false"/>
    <row r="1046672" customFormat="false" ht="12.75" hidden="false" customHeight="true" outlineLevel="0" collapsed="false"/>
    <row r="1046673" customFormat="false" ht="12.75" hidden="false" customHeight="true" outlineLevel="0" collapsed="false"/>
    <row r="1046674" customFormat="false" ht="12.75" hidden="false" customHeight="true" outlineLevel="0" collapsed="false"/>
    <row r="1046675" customFormat="false" ht="12.75" hidden="false" customHeight="true" outlineLevel="0" collapsed="false"/>
    <row r="1046676" customFormat="false" ht="12.75" hidden="false" customHeight="true" outlineLevel="0" collapsed="false"/>
    <row r="1046677" customFormat="false" ht="12.75" hidden="false" customHeight="true" outlineLevel="0" collapsed="false"/>
    <row r="1046678" customFormat="false" ht="12.75" hidden="false" customHeight="true" outlineLevel="0" collapsed="false"/>
    <row r="1046679" customFormat="false" ht="12.75" hidden="false" customHeight="true" outlineLevel="0" collapsed="false"/>
    <row r="1046680" customFormat="false" ht="12.75" hidden="false" customHeight="true" outlineLevel="0" collapsed="false"/>
    <row r="1046681" customFormat="false" ht="12.75" hidden="false" customHeight="true" outlineLevel="0" collapsed="false"/>
    <row r="1046682" customFormat="false" ht="12.75" hidden="false" customHeight="true" outlineLevel="0" collapsed="false"/>
    <row r="1046683" customFormat="false" ht="12.75" hidden="false" customHeight="true" outlineLevel="0" collapsed="false"/>
    <row r="1046684" customFormat="false" ht="12.75" hidden="false" customHeight="true" outlineLevel="0" collapsed="false"/>
    <row r="1046685" customFormat="false" ht="12.75" hidden="false" customHeight="true" outlineLevel="0" collapsed="false"/>
    <row r="1046686" customFormat="false" ht="12.75" hidden="false" customHeight="true" outlineLevel="0" collapsed="false"/>
    <row r="1046687" customFormat="false" ht="12.75" hidden="false" customHeight="true" outlineLevel="0" collapsed="false"/>
    <row r="1046688" customFormat="false" ht="12.75" hidden="false" customHeight="true" outlineLevel="0" collapsed="false"/>
    <row r="1046689" customFormat="false" ht="12.75" hidden="false" customHeight="true" outlineLevel="0" collapsed="false"/>
    <row r="1046690" customFormat="false" ht="12.75" hidden="false" customHeight="true" outlineLevel="0" collapsed="false"/>
    <row r="1046691" customFormat="false" ht="12.75" hidden="false" customHeight="true" outlineLevel="0" collapsed="false"/>
    <row r="1046692" customFormat="false" ht="12.75" hidden="false" customHeight="true" outlineLevel="0" collapsed="false"/>
    <row r="1046693" customFormat="false" ht="12.75" hidden="false" customHeight="true" outlineLevel="0" collapsed="false"/>
    <row r="1046694" customFormat="false" ht="12.75" hidden="false" customHeight="true" outlineLevel="0" collapsed="false"/>
    <row r="1046695" customFormat="false" ht="12.75" hidden="false" customHeight="true" outlineLevel="0" collapsed="false"/>
    <row r="1046696" customFormat="false" ht="12.75" hidden="false" customHeight="true" outlineLevel="0" collapsed="false"/>
    <row r="1046697" customFormat="false" ht="12.75" hidden="false" customHeight="true" outlineLevel="0" collapsed="false"/>
    <row r="1046698" customFormat="false" ht="12.75" hidden="false" customHeight="true" outlineLevel="0" collapsed="false"/>
    <row r="1046699" customFormat="false" ht="12.75" hidden="false" customHeight="true" outlineLevel="0" collapsed="false"/>
    <row r="1046700" customFormat="false" ht="12.75" hidden="false" customHeight="true" outlineLevel="0" collapsed="false"/>
    <row r="1046701" customFormat="false" ht="12.75" hidden="false" customHeight="true" outlineLevel="0" collapsed="false"/>
    <row r="1046702" customFormat="false" ht="12.75" hidden="false" customHeight="true" outlineLevel="0" collapsed="false"/>
    <row r="1046703" customFormat="false" ht="12.75" hidden="false" customHeight="true" outlineLevel="0" collapsed="false"/>
    <row r="1046704" customFormat="false" ht="12.75" hidden="false" customHeight="true" outlineLevel="0" collapsed="false"/>
    <row r="1046705" customFormat="false" ht="12.75" hidden="false" customHeight="true" outlineLevel="0" collapsed="false"/>
    <row r="1046706" customFormat="false" ht="12.75" hidden="false" customHeight="true" outlineLevel="0" collapsed="false"/>
    <row r="1046707" customFormat="false" ht="12.75" hidden="false" customHeight="true" outlineLevel="0" collapsed="false"/>
    <row r="1046708" customFormat="false" ht="12.75" hidden="false" customHeight="true" outlineLevel="0" collapsed="false"/>
    <row r="1046709" customFormat="false" ht="12.75" hidden="false" customHeight="true" outlineLevel="0" collapsed="false"/>
    <row r="1046710" customFormat="false" ht="12.75" hidden="false" customHeight="true" outlineLevel="0" collapsed="false"/>
    <row r="1046711" customFormat="false" ht="12.75" hidden="false" customHeight="true" outlineLevel="0" collapsed="false"/>
    <row r="1046712" customFormat="false" ht="12.75" hidden="false" customHeight="true" outlineLevel="0" collapsed="false"/>
    <row r="1046713" customFormat="false" ht="12.75" hidden="false" customHeight="true" outlineLevel="0" collapsed="false"/>
    <row r="1046714" customFormat="false" ht="12.75" hidden="false" customHeight="true" outlineLevel="0" collapsed="false"/>
    <row r="1046715" customFormat="false" ht="12.75" hidden="false" customHeight="true" outlineLevel="0" collapsed="false"/>
    <row r="1046716" customFormat="false" ht="12.75" hidden="false" customHeight="true" outlineLevel="0" collapsed="false"/>
    <row r="1046717" customFormat="false" ht="12.75" hidden="false" customHeight="true" outlineLevel="0" collapsed="false"/>
    <row r="1046718" customFormat="false" ht="12.75" hidden="false" customHeight="true" outlineLevel="0" collapsed="false"/>
    <row r="1046719" customFormat="false" ht="12.75" hidden="false" customHeight="true" outlineLevel="0" collapsed="false"/>
    <row r="1046720" customFormat="false" ht="12.75" hidden="false" customHeight="true" outlineLevel="0" collapsed="false"/>
    <row r="1046721" customFormat="false" ht="12.75" hidden="false" customHeight="true" outlineLevel="0" collapsed="false"/>
    <row r="1046722" customFormat="false" ht="12.75" hidden="false" customHeight="true" outlineLevel="0" collapsed="false"/>
    <row r="1046723" customFormat="false" ht="12.75" hidden="false" customHeight="true" outlineLevel="0" collapsed="false"/>
    <row r="1046724" customFormat="false" ht="12.75" hidden="false" customHeight="true" outlineLevel="0" collapsed="false"/>
    <row r="1046725" customFormat="false" ht="12.75" hidden="false" customHeight="true" outlineLevel="0" collapsed="false"/>
    <row r="1046726" customFormat="false" ht="12.75" hidden="false" customHeight="true" outlineLevel="0" collapsed="false"/>
    <row r="1046727" customFormat="false" ht="12.75" hidden="false" customHeight="true" outlineLevel="0" collapsed="false"/>
    <row r="1046728" customFormat="false" ht="12.75" hidden="false" customHeight="true" outlineLevel="0" collapsed="false"/>
    <row r="1046729" customFormat="false" ht="12.75" hidden="false" customHeight="true" outlineLevel="0" collapsed="false"/>
    <row r="1046730" customFormat="false" ht="12.75" hidden="false" customHeight="true" outlineLevel="0" collapsed="false"/>
    <row r="1046731" customFormat="false" ht="12.75" hidden="false" customHeight="true" outlineLevel="0" collapsed="false"/>
    <row r="1046732" customFormat="false" ht="12.75" hidden="false" customHeight="true" outlineLevel="0" collapsed="false"/>
    <row r="1046733" customFormat="false" ht="12.75" hidden="false" customHeight="true" outlineLevel="0" collapsed="false"/>
    <row r="1046734" customFormat="false" ht="12.75" hidden="false" customHeight="true" outlineLevel="0" collapsed="false"/>
    <row r="1046735" customFormat="false" ht="12.75" hidden="false" customHeight="true" outlineLevel="0" collapsed="false"/>
    <row r="1046736" customFormat="false" ht="12.75" hidden="false" customHeight="true" outlineLevel="0" collapsed="false"/>
    <row r="1046737" customFormat="false" ht="12.75" hidden="false" customHeight="true" outlineLevel="0" collapsed="false"/>
    <row r="1046738" customFormat="false" ht="12.75" hidden="false" customHeight="true" outlineLevel="0" collapsed="false"/>
    <row r="1046739" customFormat="false" ht="12.75" hidden="false" customHeight="true" outlineLevel="0" collapsed="false"/>
    <row r="1046740" customFormat="false" ht="12.75" hidden="false" customHeight="true" outlineLevel="0" collapsed="false"/>
    <row r="1046741" customFormat="false" ht="12.75" hidden="false" customHeight="true" outlineLevel="0" collapsed="false"/>
    <row r="1046742" customFormat="false" ht="12.75" hidden="false" customHeight="true" outlineLevel="0" collapsed="false"/>
    <row r="1046743" customFormat="false" ht="12.75" hidden="false" customHeight="true" outlineLevel="0" collapsed="false"/>
    <row r="1046744" customFormat="false" ht="12.75" hidden="false" customHeight="true" outlineLevel="0" collapsed="false"/>
    <row r="1046745" customFormat="false" ht="12.75" hidden="false" customHeight="true" outlineLevel="0" collapsed="false"/>
    <row r="1046746" customFormat="false" ht="12.75" hidden="false" customHeight="true" outlineLevel="0" collapsed="false"/>
    <row r="1046747" customFormat="false" ht="12.75" hidden="false" customHeight="true" outlineLevel="0" collapsed="false"/>
    <row r="1046748" customFormat="false" ht="12.75" hidden="false" customHeight="true" outlineLevel="0" collapsed="false"/>
    <row r="1046749" customFormat="false" ht="12.75" hidden="false" customHeight="true" outlineLevel="0" collapsed="false"/>
    <row r="1046750" customFormat="false" ht="12.75" hidden="false" customHeight="true" outlineLevel="0" collapsed="false"/>
    <row r="1046751" customFormat="false" ht="12.75" hidden="false" customHeight="true" outlineLevel="0" collapsed="false"/>
    <row r="1046752" customFormat="false" ht="12.75" hidden="false" customHeight="true" outlineLevel="0" collapsed="false"/>
    <row r="1046753" customFormat="false" ht="12.75" hidden="false" customHeight="true" outlineLevel="0" collapsed="false"/>
    <row r="1046754" customFormat="false" ht="12.75" hidden="false" customHeight="true" outlineLevel="0" collapsed="false"/>
    <row r="1046755" customFormat="false" ht="12.75" hidden="false" customHeight="true" outlineLevel="0" collapsed="false"/>
    <row r="1046756" customFormat="false" ht="12.75" hidden="false" customHeight="true" outlineLevel="0" collapsed="false"/>
    <row r="1046757" customFormat="false" ht="12.75" hidden="false" customHeight="true" outlineLevel="0" collapsed="false"/>
    <row r="1046758" customFormat="false" ht="12.75" hidden="false" customHeight="true" outlineLevel="0" collapsed="false"/>
    <row r="1046759" customFormat="false" ht="12.75" hidden="false" customHeight="true" outlineLevel="0" collapsed="false"/>
    <row r="1046760" customFormat="false" ht="12.75" hidden="false" customHeight="true" outlineLevel="0" collapsed="false"/>
    <row r="1046761" customFormat="false" ht="12.75" hidden="false" customHeight="true" outlineLevel="0" collapsed="false"/>
    <row r="1046762" customFormat="false" ht="12.75" hidden="false" customHeight="true" outlineLevel="0" collapsed="false"/>
    <row r="1046763" customFormat="false" ht="12.75" hidden="false" customHeight="true" outlineLevel="0" collapsed="false"/>
    <row r="1046764" customFormat="false" ht="12.75" hidden="false" customHeight="true" outlineLevel="0" collapsed="false"/>
    <row r="1046765" customFormat="false" ht="12.75" hidden="false" customHeight="true" outlineLevel="0" collapsed="false"/>
    <row r="1046766" customFormat="false" ht="12.75" hidden="false" customHeight="true" outlineLevel="0" collapsed="false"/>
    <row r="1046767" customFormat="false" ht="12.75" hidden="false" customHeight="true" outlineLevel="0" collapsed="false"/>
    <row r="1046768" customFormat="false" ht="12.75" hidden="false" customHeight="true" outlineLevel="0" collapsed="false"/>
    <row r="1046769" customFormat="false" ht="12.75" hidden="false" customHeight="true" outlineLevel="0" collapsed="false"/>
    <row r="1046770" customFormat="false" ht="12.75" hidden="false" customHeight="true" outlineLevel="0" collapsed="false"/>
    <row r="1046771" customFormat="false" ht="12.75" hidden="false" customHeight="true" outlineLevel="0" collapsed="false"/>
    <row r="1046772" customFormat="false" ht="12.75" hidden="false" customHeight="true" outlineLevel="0" collapsed="false"/>
    <row r="1046773" customFormat="false" ht="12.75" hidden="false" customHeight="true" outlineLevel="0" collapsed="false"/>
    <row r="1046774" customFormat="false" ht="12.75" hidden="false" customHeight="true" outlineLevel="0" collapsed="false"/>
    <row r="1046775" customFormat="false" ht="12.75" hidden="false" customHeight="true" outlineLevel="0" collapsed="false"/>
    <row r="1046776" customFormat="false" ht="12.75" hidden="false" customHeight="true" outlineLevel="0" collapsed="false"/>
    <row r="1046777" customFormat="false" ht="12.75" hidden="false" customHeight="true" outlineLevel="0" collapsed="false"/>
    <row r="1046778" customFormat="false" ht="12.75" hidden="false" customHeight="true" outlineLevel="0" collapsed="false"/>
    <row r="1046779" customFormat="false" ht="12.75" hidden="false" customHeight="true" outlineLevel="0" collapsed="false"/>
    <row r="1046780" customFormat="false" ht="12.75" hidden="false" customHeight="true" outlineLevel="0" collapsed="false"/>
    <row r="1046781" customFormat="false" ht="12.75" hidden="false" customHeight="true" outlineLevel="0" collapsed="false"/>
    <row r="1046782" customFormat="false" ht="12.75" hidden="false" customHeight="true" outlineLevel="0" collapsed="false"/>
    <row r="1046783" customFormat="false" ht="12.75" hidden="false" customHeight="true" outlineLevel="0" collapsed="false"/>
    <row r="1046784" customFormat="false" ht="12.75" hidden="false" customHeight="true" outlineLevel="0" collapsed="false"/>
    <row r="1046785" customFormat="false" ht="12.75" hidden="false" customHeight="true" outlineLevel="0" collapsed="false"/>
    <row r="1046786" customFormat="false" ht="12.75" hidden="false" customHeight="true" outlineLevel="0" collapsed="false"/>
    <row r="1046787" customFormat="false" ht="12.75" hidden="false" customHeight="true" outlineLevel="0" collapsed="false"/>
    <row r="1046788" customFormat="false" ht="12.75" hidden="false" customHeight="true" outlineLevel="0" collapsed="false"/>
    <row r="1046789" customFormat="false" ht="12.75" hidden="false" customHeight="true" outlineLevel="0" collapsed="false"/>
    <row r="1046790" customFormat="false" ht="12.75" hidden="false" customHeight="true" outlineLevel="0" collapsed="false"/>
    <row r="1046791" customFormat="false" ht="12.75" hidden="false" customHeight="true" outlineLevel="0" collapsed="false"/>
    <row r="1046792" customFormat="false" ht="12.75" hidden="false" customHeight="true" outlineLevel="0" collapsed="false"/>
    <row r="1046793" customFormat="false" ht="12.75" hidden="false" customHeight="true" outlineLevel="0" collapsed="false"/>
    <row r="1046794" customFormat="false" ht="12.75" hidden="false" customHeight="true" outlineLevel="0" collapsed="false"/>
    <row r="1046795" customFormat="false" ht="12.75" hidden="false" customHeight="true" outlineLevel="0" collapsed="false"/>
    <row r="1046796" customFormat="false" ht="12.75" hidden="false" customHeight="true" outlineLevel="0" collapsed="false"/>
    <row r="1046797" customFormat="false" ht="12.75" hidden="false" customHeight="true" outlineLevel="0" collapsed="false"/>
    <row r="1046798" customFormat="false" ht="12.75" hidden="false" customHeight="true" outlineLevel="0" collapsed="false"/>
    <row r="1046799" customFormat="false" ht="12.75" hidden="false" customHeight="true" outlineLevel="0" collapsed="false"/>
    <row r="1046800" customFormat="false" ht="12.75" hidden="false" customHeight="true" outlineLevel="0" collapsed="false"/>
    <row r="1046801" customFormat="false" ht="12.75" hidden="false" customHeight="true" outlineLevel="0" collapsed="false"/>
    <row r="1046802" customFormat="false" ht="12.75" hidden="false" customHeight="true" outlineLevel="0" collapsed="false"/>
    <row r="1046803" customFormat="false" ht="12.75" hidden="false" customHeight="true" outlineLevel="0" collapsed="false"/>
    <row r="1046804" customFormat="false" ht="12.75" hidden="false" customHeight="true" outlineLevel="0" collapsed="false"/>
    <row r="1046805" customFormat="false" ht="12.75" hidden="false" customHeight="true" outlineLevel="0" collapsed="false"/>
    <row r="1046806" customFormat="false" ht="12.75" hidden="false" customHeight="true" outlineLevel="0" collapsed="false"/>
    <row r="1046807" customFormat="false" ht="12.75" hidden="false" customHeight="true" outlineLevel="0" collapsed="false"/>
    <row r="1046808" customFormat="false" ht="12.75" hidden="false" customHeight="true" outlineLevel="0" collapsed="false"/>
    <row r="1046809" customFormat="false" ht="12.75" hidden="false" customHeight="true" outlineLevel="0" collapsed="false"/>
    <row r="1046810" customFormat="false" ht="12.75" hidden="false" customHeight="true" outlineLevel="0" collapsed="false"/>
    <row r="1046811" customFormat="false" ht="12.75" hidden="false" customHeight="true" outlineLevel="0" collapsed="false"/>
    <row r="1046812" customFormat="false" ht="12.75" hidden="false" customHeight="true" outlineLevel="0" collapsed="false"/>
    <row r="1046813" customFormat="false" ht="12.75" hidden="false" customHeight="true" outlineLevel="0" collapsed="false"/>
    <row r="1046814" customFormat="false" ht="12.75" hidden="false" customHeight="true" outlineLevel="0" collapsed="false"/>
    <row r="1046815" customFormat="false" ht="12.75" hidden="false" customHeight="true" outlineLevel="0" collapsed="false"/>
    <row r="1046816" customFormat="false" ht="12.75" hidden="false" customHeight="true" outlineLevel="0" collapsed="false"/>
    <row r="1046817" customFormat="false" ht="12.75" hidden="false" customHeight="true" outlineLevel="0" collapsed="false"/>
    <row r="1046818" customFormat="false" ht="12.75" hidden="false" customHeight="true" outlineLevel="0" collapsed="false"/>
    <row r="1046819" customFormat="false" ht="12.75" hidden="false" customHeight="true" outlineLevel="0" collapsed="false"/>
    <row r="1046820" customFormat="false" ht="12.75" hidden="false" customHeight="true" outlineLevel="0" collapsed="false"/>
    <row r="1046821" customFormat="false" ht="12.75" hidden="false" customHeight="true" outlineLevel="0" collapsed="false"/>
    <row r="1046822" customFormat="false" ht="12.75" hidden="false" customHeight="true" outlineLevel="0" collapsed="false"/>
    <row r="1046823" customFormat="false" ht="12.75" hidden="false" customHeight="true" outlineLevel="0" collapsed="false"/>
    <row r="1046824" customFormat="false" ht="12.75" hidden="false" customHeight="true" outlineLevel="0" collapsed="false"/>
    <row r="1046825" customFormat="false" ht="12.75" hidden="false" customHeight="true" outlineLevel="0" collapsed="false"/>
    <row r="1046826" customFormat="false" ht="12.75" hidden="false" customHeight="true" outlineLevel="0" collapsed="false"/>
    <row r="1046827" customFormat="false" ht="12.75" hidden="false" customHeight="true" outlineLevel="0" collapsed="false"/>
    <row r="1046828" customFormat="false" ht="12.75" hidden="false" customHeight="true" outlineLevel="0" collapsed="false"/>
    <row r="1046829" customFormat="false" ht="12.75" hidden="false" customHeight="true" outlineLevel="0" collapsed="false"/>
    <row r="1046830" customFormat="false" ht="12.75" hidden="false" customHeight="true" outlineLevel="0" collapsed="false"/>
    <row r="1046831" customFormat="false" ht="12.75" hidden="false" customHeight="true" outlineLevel="0" collapsed="false"/>
    <row r="1046832" customFormat="false" ht="12.75" hidden="false" customHeight="true" outlineLevel="0" collapsed="false"/>
    <row r="1046833" customFormat="false" ht="12.75" hidden="false" customHeight="true" outlineLevel="0" collapsed="false"/>
    <row r="1046834" customFormat="false" ht="12.75" hidden="false" customHeight="true" outlineLevel="0" collapsed="false"/>
    <row r="1046835" customFormat="false" ht="12.75" hidden="false" customHeight="true" outlineLevel="0" collapsed="false"/>
    <row r="1046836" customFormat="false" ht="12.75" hidden="false" customHeight="true" outlineLevel="0" collapsed="false"/>
    <row r="1046837" customFormat="false" ht="12.75" hidden="false" customHeight="true" outlineLevel="0" collapsed="false"/>
    <row r="1046838" customFormat="false" ht="12.75" hidden="false" customHeight="true" outlineLevel="0" collapsed="false"/>
    <row r="1046839" customFormat="false" ht="12.75" hidden="false" customHeight="true" outlineLevel="0" collapsed="false"/>
    <row r="1046840" customFormat="false" ht="12.75" hidden="false" customHeight="true" outlineLevel="0" collapsed="false"/>
    <row r="1046841" customFormat="false" ht="12.75" hidden="false" customHeight="true" outlineLevel="0" collapsed="false"/>
    <row r="1046842" customFormat="false" ht="12.75" hidden="false" customHeight="true" outlineLevel="0" collapsed="false"/>
    <row r="1046843" customFormat="false" ht="12.75" hidden="false" customHeight="true" outlineLevel="0" collapsed="false"/>
    <row r="1046844" customFormat="false" ht="12.75" hidden="false" customHeight="true" outlineLevel="0" collapsed="false"/>
    <row r="1046845" customFormat="false" ht="12.75" hidden="false" customHeight="true" outlineLevel="0" collapsed="false"/>
    <row r="1046846" customFormat="false" ht="12.75" hidden="false" customHeight="true" outlineLevel="0" collapsed="false"/>
    <row r="1046847" customFormat="false" ht="12.75" hidden="false" customHeight="true" outlineLevel="0" collapsed="false"/>
    <row r="1046848" customFormat="false" ht="12.75" hidden="false" customHeight="true" outlineLevel="0" collapsed="false"/>
    <row r="1046849" customFormat="false" ht="12.75" hidden="false" customHeight="true" outlineLevel="0" collapsed="false"/>
    <row r="1046850" customFormat="false" ht="12.75" hidden="false" customHeight="true" outlineLevel="0" collapsed="false"/>
    <row r="1046851" customFormat="false" ht="12.75" hidden="false" customHeight="true" outlineLevel="0" collapsed="false"/>
    <row r="1046852" customFormat="false" ht="12.75" hidden="false" customHeight="true" outlineLevel="0" collapsed="false"/>
    <row r="1046853" customFormat="false" ht="12.75" hidden="false" customHeight="true" outlineLevel="0" collapsed="false"/>
    <row r="1046854" customFormat="false" ht="12.75" hidden="false" customHeight="true" outlineLevel="0" collapsed="false"/>
    <row r="1046855" customFormat="false" ht="12.75" hidden="false" customHeight="true" outlineLevel="0" collapsed="false"/>
    <row r="1046856" customFormat="false" ht="12.75" hidden="false" customHeight="true" outlineLevel="0" collapsed="false"/>
    <row r="1046857" customFormat="false" ht="12.75" hidden="false" customHeight="true" outlineLevel="0" collapsed="false"/>
    <row r="1046858" customFormat="false" ht="12.75" hidden="false" customHeight="true" outlineLevel="0" collapsed="false"/>
    <row r="1046859" customFormat="false" ht="12.75" hidden="false" customHeight="true" outlineLevel="0" collapsed="false"/>
    <row r="1046860" customFormat="false" ht="12.75" hidden="false" customHeight="true" outlineLevel="0" collapsed="false"/>
    <row r="1046861" customFormat="false" ht="12.75" hidden="false" customHeight="true" outlineLevel="0" collapsed="false"/>
    <row r="1046862" customFormat="false" ht="12.75" hidden="false" customHeight="true" outlineLevel="0" collapsed="false"/>
    <row r="1046863" customFormat="false" ht="12.75" hidden="false" customHeight="true" outlineLevel="0" collapsed="false"/>
    <row r="1046864" customFormat="false" ht="12.75" hidden="false" customHeight="true" outlineLevel="0" collapsed="false"/>
    <row r="1046865" customFormat="false" ht="12.75" hidden="false" customHeight="true" outlineLevel="0" collapsed="false"/>
    <row r="1046866" customFormat="false" ht="12.75" hidden="false" customHeight="true" outlineLevel="0" collapsed="false"/>
    <row r="1046867" customFormat="false" ht="12.75" hidden="false" customHeight="true" outlineLevel="0" collapsed="false"/>
    <row r="1046868" customFormat="false" ht="12.75" hidden="false" customHeight="true" outlineLevel="0" collapsed="false"/>
    <row r="1046869" customFormat="false" ht="12.75" hidden="false" customHeight="true" outlineLevel="0" collapsed="false"/>
    <row r="1046870" customFormat="false" ht="12.75" hidden="false" customHeight="true" outlineLevel="0" collapsed="false"/>
    <row r="1046871" customFormat="false" ht="12.75" hidden="false" customHeight="true" outlineLevel="0" collapsed="false"/>
    <row r="1046872" customFormat="false" ht="12.75" hidden="false" customHeight="true" outlineLevel="0" collapsed="false"/>
    <row r="1046873" customFormat="false" ht="12.75" hidden="false" customHeight="true" outlineLevel="0" collapsed="false"/>
    <row r="1046874" customFormat="false" ht="12.75" hidden="false" customHeight="true" outlineLevel="0" collapsed="false"/>
    <row r="1046875" customFormat="false" ht="12.75" hidden="false" customHeight="true" outlineLevel="0" collapsed="false"/>
    <row r="1046876" customFormat="false" ht="12.75" hidden="false" customHeight="true" outlineLevel="0" collapsed="false"/>
    <row r="1046877" customFormat="false" ht="12.75" hidden="false" customHeight="true" outlineLevel="0" collapsed="false"/>
    <row r="1046878" customFormat="false" ht="12.75" hidden="false" customHeight="true" outlineLevel="0" collapsed="false"/>
    <row r="1046879" customFormat="false" ht="12.75" hidden="false" customHeight="true" outlineLevel="0" collapsed="false"/>
    <row r="1046880" customFormat="false" ht="12.75" hidden="false" customHeight="true" outlineLevel="0" collapsed="false"/>
    <row r="1046881" customFormat="false" ht="12.75" hidden="false" customHeight="true" outlineLevel="0" collapsed="false"/>
    <row r="1046882" customFormat="false" ht="12.75" hidden="false" customHeight="true" outlineLevel="0" collapsed="false"/>
    <row r="1046883" customFormat="false" ht="12.75" hidden="false" customHeight="true" outlineLevel="0" collapsed="false"/>
    <row r="1046884" customFormat="false" ht="12.75" hidden="false" customHeight="true" outlineLevel="0" collapsed="false"/>
    <row r="1046885" customFormat="false" ht="12.75" hidden="false" customHeight="true" outlineLevel="0" collapsed="false"/>
    <row r="1046886" customFormat="false" ht="12.75" hidden="false" customHeight="true" outlineLevel="0" collapsed="false"/>
    <row r="1046887" customFormat="false" ht="12.75" hidden="false" customHeight="true" outlineLevel="0" collapsed="false"/>
    <row r="1046888" customFormat="false" ht="12.75" hidden="false" customHeight="true" outlineLevel="0" collapsed="false"/>
    <row r="1046889" customFormat="false" ht="12.75" hidden="false" customHeight="true" outlineLevel="0" collapsed="false"/>
    <row r="1046890" customFormat="false" ht="12.75" hidden="false" customHeight="true" outlineLevel="0" collapsed="false"/>
    <row r="1046891" customFormat="false" ht="12.75" hidden="false" customHeight="true" outlineLevel="0" collapsed="false"/>
    <row r="1046892" customFormat="false" ht="12.75" hidden="false" customHeight="true" outlineLevel="0" collapsed="false"/>
    <row r="1046893" customFormat="false" ht="12.75" hidden="false" customHeight="true" outlineLevel="0" collapsed="false"/>
    <row r="1046894" customFormat="false" ht="12.75" hidden="false" customHeight="true" outlineLevel="0" collapsed="false"/>
    <row r="1046895" customFormat="false" ht="12.75" hidden="false" customHeight="true" outlineLevel="0" collapsed="false"/>
    <row r="1046896" customFormat="false" ht="12.75" hidden="false" customHeight="true" outlineLevel="0" collapsed="false"/>
    <row r="1046897" customFormat="false" ht="12.75" hidden="false" customHeight="true" outlineLevel="0" collapsed="false"/>
    <row r="1046898" customFormat="false" ht="12.75" hidden="false" customHeight="true" outlineLevel="0" collapsed="false"/>
    <row r="1046899" customFormat="false" ht="12.75" hidden="false" customHeight="true" outlineLevel="0" collapsed="false"/>
    <row r="1046900" customFormat="false" ht="12.75" hidden="false" customHeight="true" outlineLevel="0" collapsed="false"/>
    <row r="1046901" customFormat="false" ht="12.75" hidden="false" customHeight="true" outlineLevel="0" collapsed="false"/>
    <row r="1046902" customFormat="false" ht="12.75" hidden="false" customHeight="true" outlineLevel="0" collapsed="false"/>
    <row r="1046903" customFormat="false" ht="12.75" hidden="false" customHeight="true" outlineLevel="0" collapsed="false"/>
    <row r="1046904" customFormat="false" ht="12.75" hidden="false" customHeight="true" outlineLevel="0" collapsed="false"/>
    <row r="1046905" customFormat="false" ht="12.75" hidden="false" customHeight="true" outlineLevel="0" collapsed="false"/>
    <row r="1046906" customFormat="false" ht="12.75" hidden="false" customHeight="true" outlineLevel="0" collapsed="false"/>
    <row r="1046907" customFormat="false" ht="12.75" hidden="false" customHeight="true" outlineLevel="0" collapsed="false"/>
    <row r="1046908" customFormat="false" ht="12.75" hidden="false" customHeight="true" outlineLevel="0" collapsed="false"/>
    <row r="1046909" customFormat="false" ht="12.75" hidden="false" customHeight="true" outlineLevel="0" collapsed="false"/>
    <row r="1046910" customFormat="false" ht="12.75" hidden="false" customHeight="true" outlineLevel="0" collapsed="false"/>
    <row r="1046911" customFormat="false" ht="12.75" hidden="false" customHeight="true" outlineLevel="0" collapsed="false"/>
    <row r="1046912" customFormat="false" ht="12.75" hidden="false" customHeight="true" outlineLevel="0" collapsed="false"/>
    <row r="1046913" customFormat="false" ht="12.75" hidden="false" customHeight="true" outlineLevel="0" collapsed="false"/>
    <row r="1046914" customFormat="false" ht="12.75" hidden="false" customHeight="true" outlineLevel="0" collapsed="false"/>
    <row r="1046915" customFormat="false" ht="12.75" hidden="false" customHeight="true" outlineLevel="0" collapsed="false"/>
    <row r="1046916" customFormat="false" ht="12.75" hidden="false" customHeight="true" outlineLevel="0" collapsed="false"/>
    <row r="1046917" customFormat="false" ht="12.75" hidden="false" customHeight="true" outlineLevel="0" collapsed="false"/>
    <row r="1046918" customFormat="false" ht="12.75" hidden="false" customHeight="true" outlineLevel="0" collapsed="false"/>
    <row r="1046919" customFormat="false" ht="12.75" hidden="false" customHeight="true" outlineLevel="0" collapsed="false"/>
    <row r="1046920" customFormat="false" ht="12.75" hidden="false" customHeight="true" outlineLevel="0" collapsed="false"/>
    <row r="1046921" customFormat="false" ht="12.75" hidden="false" customHeight="true" outlineLevel="0" collapsed="false"/>
    <row r="1046922" customFormat="false" ht="12.75" hidden="false" customHeight="true" outlineLevel="0" collapsed="false"/>
    <row r="1046923" customFormat="false" ht="12.75" hidden="false" customHeight="true" outlineLevel="0" collapsed="false"/>
    <row r="1046924" customFormat="false" ht="12.75" hidden="false" customHeight="true" outlineLevel="0" collapsed="false"/>
    <row r="1046925" customFormat="false" ht="12.75" hidden="false" customHeight="true" outlineLevel="0" collapsed="false"/>
    <row r="1046926" customFormat="false" ht="12.75" hidden="false" customHeight="true" outlineLevel="0" collapsed="false"/>
    <row r="1046927" customFormat="false" ht="12.75" hidden="false" customHeight="true" outlineLevel="0" collapsed="false"/>
    <row r="1046928" customFormat="false" ht="12.75" hidden="false" customHeight="true" outlineLevel="0" collapsed="false"/>
    <row r="1046929" customFormat="false" ht="12.75" hidden="false" customHeight="true" outlineLevel="0" collapsed="false"/>
    <row r="1046930" customFormat="false" ht="12.75" hidden="false" customHeight="true" outlineLevel="0" collapsed="false"/>
    <row r="1046931" customFormat="false" ht="12.75" hidden="false" customHeight="true" outlineLevel="0" collapsed="false"/>
    <row r="1046932" customFormat="false" ht="12.75" hidden="false" customHeight="true" outlineLevel="0" collapsed="false"/>
    <row r="1046933" customFormat="false" ht="12.75" hidden="false" customHeight="true" outlineLevel="0" collapsed="false"/>
    <row r="1046934" customFormat="false" ht="12.75" hidden="false" customHeight="true" outlineLevel="0" collapsed="false"/>
    <row r="1046935" customFormat="false" ht="12.75" hidden="false" customHeight="true" outlineLevel="0" collapsed="false"/>
    <row r="1046936" customFormat="false" ht="12.75" hidden="false" customHeight="true" outlineLevel="0" collapsed="false"/>
    <row r="1046937" customFormat="false" ht="12.75" hidden="false" customHeight="true" outlineLevel="0" collapsed="false"/>
    <row r="1046938" customFormat="false" ht="12.75" hidden="false" customHeight="true" outlineLevel="0" collapsed="false"/>
    <row r="1046939" customFormat="false" ht="12.75" hidden="false" customHeight="true" outlineLevel="0" collapsed="false"/>
    <row r="1046940" customFormat="false" ht="12.75" hidden="false" customHeight="true" outlineLevel="0" collapsed="false"/>
    <row r="1046941" customFormat="false" ht="12.75" hidden="false" customHeight="true" outlineLevel="0" collapsed="false"/>
    <row r="1046942" customFormat="false" ht="12.75" hidden="false" customHeight="true" outlineLevel="0" collapsed="false"/>
    <row r="1046943" customFormat="false" ht="12.75" hidden="false" customHeight="true" outlineLevel="0" collapsed="false"/>
    <row r="1046944" customFormat="false" ht="12.75" hidden="false" customHeight="true" outlineLevel="0" collapsed="false"/>
    <row r="1046945" customFormat="false" ht="12.75" hidden="false" customHeight="true" outlineLevel="0" collapsed="false"/>
    <row r="1046946" customFormat="false" ht="12.75" hidden="false" customHeight="true" outlineLevel="0" collapsed="false"/>
    <row r="1046947" customFormat="false" ht="12.75" hidden="false" customHeight="true" outlineLevel="0" collapsed="false"/>
    <row r="1046948" customFormat="false" ht="12.75" hidden="false" customHeight="true" outlineLevel="0" collapsed="false"/>
    <row r="1046949" customFormat="false" ht="12.75" hidden="false" customHeight="true" outlineLevel="0" collapsed="false"/>
    <row r="1046950" customFormat="false" ht="12.75" hidden="false" customHeight="true" outlineLevel="0" collapsed="false"/>
    <row r="1046951" customFormat="false" ht="12.75" hidden="false" customHeight="true" outlineLevel="0" collapsed="false"/>
    <row r="1046952" customFormat="false" ht="12.75" hidden="false" customHeight="true" outlineLevel="0" collapsed="false"/>
    <row r="1046953" customFormat="false" ht="12.75" hidden="false" customHeight="true" outlineLevel="0" collapsed="false"/>
    <row r="1046954" customFormat="false" ht="12.75" hidden="false" customHeight="true" outlineLevel="0" collapsed="false"/>
    <row r="1046955" customFormat="false" ht="12.75" hidden="false" customHeight="true" outlineLevel="0" collapsed="false"/>
    <row r="1046956" customFormat="false" ht="12.75" hidden="false" customHeight="true" outlineLevel="0" collapsed="false"/>
    <row r="1046957" customFormat="false" ht="12.75" hidden="false" customHeight="true" outlineLevel="0" collapsed="false"/>
    <row r="1046958" customFormat="false" ht="12.75" hidden="false" customHeight="true" outlineLevel="0" collapsed="false"/>
    <row r="1046959" customFormat="false" ht="12.75" hidden="false" customHeight="true" outlineLevel="0" collapsed="false"/>
    <row r="1046960" customFormat="false" ht="12.75" hidden="false" customHeight="true" outlineLevel="0" collapsed="false"/>
    <row r="1046961" customFormat="false" ht="12.75" hidden="false" customHeight="true" outlineLevel="0" collapsed="false"/>
    <row r="1046962" customFormat="false" ht="12.75" hidden="false" customHeight="true" outlineLevel="0" collapsed="false"/>
    <row r="1046963" customFormat="false" ht="12.75" hidden="false" customHeight="true" outlineLevel="0" collapsed="false"/>
    <row r="1046964" customFormat="false" ht="12.75" hidden="false" customHeight="true" outlineLevel="0" collapsed="false"/>
    <row r="1046965" customFormat="false" ht="12.75" hidden="false" customHeight="true" outlineLevel="0" collapsed="false"/>
    <row r="1046966" customFormat="false" ht="12.75" hidden="false" customHeight="true" outlineLevel="0" collapsed="false"/>
    <row r="1046967" customFormat="false" ht="12.75" hidden="false" customHeight="true" outlineLevel="0" collapsed="false"/>
    <row r="1046968" customFormat="false" ht="12.75" hidden="false" customHeight="true" outlineLevel="0" collapsed="false"/>
    <row r="1046969" customFormat="false" ht="12.75" hidden="false" customHeight="true" outlineLevel="0" collapsed="false"/>
    <row r="1046970" customFormat="false" ht="12.75" hidden="false" customHeight="true" outlineLevel="0" collapsed="false"/>
    <row r="1046971" customFormat="false" ht="12.75" hidden="false" customHeight="true" outlineLevel="0" collapsed="false"/>
    <row r="1046972" customFormat="false" ht="12.75" hidden="false" customHeight="true" outlineLevel="0" collapsed="false"/>
    <row r="1046973" customFormat="false" ht="12.75" hidden="false" customHeight="true" outlineLevel="0" collapsed="false"/>
    <row r="1046974" customFormat="false" ht="12.75" hidden="false" customHeight="true" outlineLevel="0" collapsed="false"/>
    <row r="1046975" customFormat="false" ht="12.75" hidden="false" customHeight="true" outlineLevel="0" collapsed="false"/>
    <row r="1046976" customFormat="false" ht="12.75" hidden="false" customHeight="true" outlineLevel="0" collapsed="false"/>
    <row r="1046977" customFormat="false" ht="12.75" hidden="false" customHeight="true" outlineLevel="0" collapsed="false"/>
    <row r="1046978" customFormat="false" ht="12.75" hidden="false" customHeight="true" outlineLevel="0" collapsed="false"/>
    <row r="1046979" customFormat="false" ht="12.75" hidden="false" customHeight="true" outlineLevel="0" collapsed="false"/>
    <row r="1046980" customFormat="false" ht="12.75" hidden="false" customHeight="true" outlineLevel="0" collapsed="false"/>
    <row r="1046981" customFormat="false" ht="12.75" hidden="false" customHeight="true" outlineLevel="0" collapsed="false"/>
    <row r="1046982" customFormat="false" ht="12.75" hidden="false" customHeight="true" outlineLevel="0" collapsed="false"/>
    <row r="1046983" customFormat="false" ht="12.75" hidden="false" customHeight="true" outlineLevel="0" collapsed="false"/>
    <row r="1046984" customFormat="false" ht="12.75" hidden="false" customHeight="true" outlineLevel="0" collapsed="false"/>
    <row r="1046985" customFormat="false" ht="12.75" hidden="false" customHeight="true" outlineLevel="0" collapsed="false"/>
    <row r="1046986" customFormat="false" ht="12.75" hidden="false" customHeight="true" outlineLevel="0" collapsed="false"/>
    <row r="1046987" customFormat="false" ht="12.75" hidden="false" customHeight="true" outlineLevel="0" collapsed="false"/>
    <row r="1046988" customFormat="false" ht="12.75" hidden="false" customHeight="true" outlineLevel="0" collapsed="false"/>
    <row r="1046989" customFormat="false" ht="12.75" hidden="false" customHeight="true" outlineLevel="0" collapsed="false"/>
    <row r="1046990" customFormat="false" ht="12.75" hidden="false" customHeight="true" outlineLevel="0" collapsed="false"/>
    <row r="1046991" customFormat="false" ht="12.75" hidden="false" customHeight="true" outlineLevel="0" collapsed="false"/>
    <row r="1046992" customFormat="false" ht="12.75" hidden="false" customHeight="true" outlineLevel="0" collapsed="false"/>
    <row r="1046993" customFormat="false" ht="12.75" hidden="false" customHeight="true" outlineLevel="0" collapsed="false"/>
    <row r="1046994" customFormat="false" ht="12.75" hidden="false" customHeight="true" outlineLevel="0" collapsed="false"/>
    <row r="1046995" customFormat="false" ht="12.75" hidden="false" customHeight="true" outlineLevel="0" collapsed="false"/>
    <row r="1046996" customFormat="false" ht="12.75" hidden="false" customHeight="true" outlineLevel="0" collapsed="false"/>
    <row r="1046997" customFormat="false" ht="12.75" hidden="false" customHeight="true" outlineLevel="0" collapsed="false"/>
    <row r="1046998" customFormat="false" ht="12.75" hidden="false" customHeight="true" outlineLevel="0" collapsed="false"/>
    <row r="1046999" customFormat="false" ht="12.75" hidden="false" customHeight="true" outlineLevel="0" collapsed="false"/>
    <row r="1047000" customFormat="false" ht="12.75" hidden="false" customHeight="true" outlineLevel="0" collapsed="false"/>
    <row r="1047001" customFormat="false" ht="12.75" hidden="false" customHeight="true" outlineLevel="0" collapsed="false"/>
    <row r="1047002" customFormat="false" ht="12.75" hidden="false" customHeight="true" outlineLevel="0" collapsed="false"/>
    <row r="1047003" customFormat="false" ht="12.75" hidden="false" customHeight="true" outlineLevel="0" collapsed="false"/>
    <row r="1047004" customFormat="false" ht="12.75" hidden="false" customHeight="true" outlineLevel="0" collapsed="false"/>
    <row r="1047005" customFormat="false" ht="12.75" hidden="false" customHeight="true" outlineLevel="0" collapsed="false"/>
    <row r="1047006" customFormat="false" ht="12.75" hidden="false" customHeight="true" outlineLevel="0" collapsed="false"/>
    <row r="1047007" customFormat="false" ht="12.75" hidden="false" customHeight="true" outlineLevel="0" collapsed="false"/>
    <row r="1047008" customFormat="false" ht="12.75" hidden="false" customHeight="true" outlineLevel="0" collapsed="false"/>
    <row r="1047009" customFormat="false" ht="12.75" hidden="false" customHeight="true" outlineLevel="0" collapsed="false"/>
    <row r="1047010" customFormat="false" ht="12.75" hidden="false" customHeight="true" outlineLevel="0" collapsed="false"/>
    <row r="1047011" customFormat="false" ht="12.75" hidden="false" customHeight="true" outlineLevel="0" collapsed="false"/>
    <row r="1047012" customFormat="false" ht="12.75" hidden="false" customHeight="true" outlineLevel="0" collapsed="false"/>
    <row r="1047013" customFormat="false" ht="12.75" hidden="false" customHeight="true" outlineLevel="0" collapsed="false"/>
    <row r="1047014" customFormat="false" ht="12.75" hidden="false" customHeight="true" outlineLevel="0" collapsed="false"/>
    <row r="1047015" customFormat="false" ht="12.75" hidden="false" customHeight="true" outlineLevel="0" collapsed="false"/>
    <row r="1047016" customFormat="false" ht="12.75" hidden="false" customHeight="true" outlineLevel="0" collapsed="false"/>
    <row r="1047017" customFormat="false" ht="12.75" hidden="false" customHeight="true" outlineLevel="0" collapsed="false"/>
    <row r="1047018" customFormat="false" ht="12.75" hidden="false" customHeight="true" outlineLevel="0" collapsed="false"/>
    <row r="1047019" customFormat="false" ht="12.75" hidden="false" customHeight="true" outlineLevel="0" collapsed="false"/>
    <row r="1047020" customFormat="false" ht="12.75" hidden="false" customHeight="true" outlineLevel="0" collapsed="false"/>
    <row r="1047021" customFormat="false" ht="12.75" hidden="false" customHeight="true" outlineLevel="0" collapsed="false"/>
    <row r="1047022" customFormat="false" ht="12.75" hidden="false" customHeight="true" outlineLevel="0" collapsed="false"/>
    <row r="1047023" customFormat="false" ht="12.75" hidden="false" customHeight="true" outlineLevel="0" collapsed="false"/>
    <row r="1047024" customFormat="false" ht="12.75" hidden="false" customHeight="true" outlineLevel="0" collapsed="false"/>
    <row r="1047025" customFormat="false" ht="12.75" hidden="false" customHeight="true" outlineLevel="0" collapsed="false"/>
    <row r="1047026" customFormat="false" ht="12.75" hidden="false" customHeight="true" outlineLevel="0" collapsed="false"/>
    <row r="1047027" customFormat="false" ht="12.75" hidden="false" customHeight="true" outlineLevel="0" collapsed="false"/>
    <row r="1047028" customFormat="false" ht="12.75" hidden="false" customHeight="true" outlineLevel="0" collapsed="false"/>
    <row r="1047029" customFormat="false" ht="12.75" hidden="false" customHeight="true" outlineLevel="0" collapsed="false"/>
    <row r="1047030" customFormat="false" ht="12.75" hidden="false" customHeight="true" outlineLevel="0" collapsed="false"/>
    <row r="1047031" customFormat="false" ht="12.75" hidden="false" customHeight="true" outlineLevel="0" collapsed="false"/>
    <row r="1047032" customFormat="false" ht="12.75" hidden="false" customHeight="true" outlineLevel="0" collapsed="false"/>
    <row r="1047033" customFormat="false" ht="12.75" hidden="false" customHeight="true" outlineLevel="0" collapsed="false"/>
    <row r="1047034" customFormat="false" ht="12.75" hidden="false" customHeight="true" outlineLevel="0" collapsed="false"/>
    <row r="1047035" customFormat="false" ht="12.75" hidden="false" customHeight="true" outlineLevel="0" collapsed="false"/>
    <row r="1047036" customFormat="false" ht="12.75" hidden="false" customHeight="true" outlineLevel="0" collapsed="false"/>
    <row r="1047037" customFormat="false" ht="12.75" hidden="false" customHeight="true" outlineLevel="0" collapsed="false"/>
    <row r="1047038" customFormat="false" ht="12.75" hidden="false" customHeight="true" outlineLevel="0" collapsed="false"/>
    <row r="1047039" customFormat="false" ht="12.75" hidden="false" customHeight="true" outlineLevel="0" collapsed="false"/>
    <row r="1047040" customFormat="false" ht="12.75" hidden="false" customHeight="true" outlineLevel="0" collapsed="false"/>
    <row r="1047041" customFormat="false" ht="12.75" hidden="false" customHeight="true" outlineLevel="0" collapsed="false"/>
    <row r="1047042" customFormat="false" ht="12.75" hidden="false" customHeight="true" outlineLevel="0" collapsed="false"/>
    <row r="1047043" customFormat="false" ht="12.75" hidden="false" customHeight="true" outlineLevel="0" collapsed="false"/>
    <row r="1047044" customFormat="false" ht="12.75" hidden="false" customHeight="true" outlineLevel="0" collapsed="false"/>
    <row r="1047045" customFormat="false" ht="12.75" hidden="false" customHeight="true" outlineLevel="0" collapsed="false"/>
    <row r="1047046" customFormat="false" ht="12.75" hidden="false" customHeight="true" outlineLevel="0" collapsed="false"/>
    <row r="1047047" customFormat="false" ht="12.75" hidden="false" customHeight="true" outlineLevel="0" collapsed="false"/>
    <row r="1047048" customFormat="false" ht="12.75" hidden="false" customHeight="true" outlineLevel="0" collapsed="false"/>
    <row r="1047049" customFormat="false" ht="12.75" hidden="false" customHeight="true" outlineLevel="0" collapsed="false"/>
    <row r="1047050" customFormat="false" ht="12.75" hidden="false" customHeight="true" outlineLevel="0" collapsed="false"/>
    <row r="1047051" customFormat="false" ht="12.75" hidden="false" customHeight="true" outlineLevel="0" collapsed="false"/>
    <row r="1047052" customFormat="false" ht="12.75" hidden="false" customHeight="true" outlineLevel="0" collapsed="false"/>
    <row r="1047053" customFormat="false" ht="12.75" hidden="false" customHeight="true" outlineLevel="0" collapsed="false"/>
    <row r="1047054" customFormat="false" ht="12.75" hidden="false" customHeight="true" outlineLevel="0" collapsed="false"/>
    <row r="1047055" customFormat="false" ht="12.75" hidden="false" customHeight="true" outlineLevel="0" collapsed="false"/>
    <row r="1047056" customFormat="false" ht="12.75" hidden="false" customHeight="true" outlineLevel="0" collapsed="false"/>
    <row r="1047057" customFormat="false" ht="12.75" hidden="false" customHeight="true" outlineLevel="0" collapsed="false"/>
    <row r="1047058" customFormat="false" ht="12.75" hidden="false" customHeight="true" outlineLevel="0" collapsed="false"/>
    <row r="1047059" customFormat="false" ht="12.75" hidden="false" customHeight="true" outlineLevel="0" collapsed="false"/>
    <row r="1047060" customFormat="false" ht="12.75" hidden="false" customHeight="true" outlineLevel="0" collapsed="false"/>
    <row r="1047061" customFormat="false" ht="12.75" hidden="false" customHeight="true" outlineLevel="0" collapsed="false"/>
    <row r="1047062" customFormat="false" ht="12.75" hidden="false" customHeight="true" outlineLevel="0" collapsed="false"/>
    <row r="1047063" customFormat="false" ht="12.75" hidden="false" customHeight="true" outlineLevel="0" collapsed="false"/>
    <row r="1047064" customFormat="false" ht="12.75" hidden="false" customHeight="true" outlineLevel="0" collapsed="false"/>
    <row r="1047065" customFormat="false" ht="12.75" hidden="false" customHeight="true" outlineLevel="0" collapsed="false"/>
    <row r="1047066" customFormat="false" ht="12.75" hidden="false" customHeight="true" outlineLevel="0" collapsed="false"/>
    <row r="1047067" customFormat="false" ht="12.75" hidden="false" customHeight="true" outlineLevel="0" collapsed="false"/>
    <row r="1047068" customFormat="false" ht="12.75" hidden="false" customHeight="true" outlineLevel="0" collapsed="false"/>
    <row r="1047069" customFormat="false" ht="12.75" hidden="false" customHeight="true" outlineLevel="0" collapsed="false"/>
    <row r="1047070" customFormat="false" ht="12.75" hidden="false" customHeight="true" outlineLevel="0" collapsed="false"/>
    <row r="1047071" customFormat="false" ht="12.75" hidden="false" customHeight="true" outlineLevel="0" collapsed="false"/>
    <row r="1047072" customFormat="false" ht="12.75" hidden="false" customHeight="true" outlineLevel="0" collapsed="false"/>
    <row r="1047073" customFormat="false" ht="12.75" hidden="false" customHeight="true" outlineLevel="0" collapsed="false"/>
    <row r="1047074" customFormat="false" ht="12.75" hidden="false" customHeight="true" outlineLevel="0" collapsed="false"/>
    <row r="1047075" customFormat="false" ht="12.75" hidden="false" customHeight="true" outlineLevel="0" collapsed="false"/>
    <row r="1047076" customFormat="false" ht="12.75" hidden="false" customHeight="true" outlineLevel="0" collapsed="false"/>
    <row r="1047077" customFormat="false" ht="12.75" hidden="false" customHeight="true" outlineLevel="0" collapsed="false"/>
    <row r="1047078" customFormat="false" ht="12.75" hidden="false" customHeight="true" outlineLevel="0" collapsed="false"/>
    <row r="1047079" customFormat="false" ht="12.75" hidden="false" customHeight="true" outlineLevel="0" collapsed="false"/>
    <row r="1047080" customFormat="false" ht="12.75" hidden="false" customHeight="true" outlineLevel="0" collapsed="false"/>
    <row r="1047081" customFormat="false" ht="12.75" hidden="false" customHeight="true" outlineLevel="0" collapsed="false"/>
    <row r="1047082" customFormat="false" ht="12.75" hidden="false" customHeight="true" outlineLevel="0" collapsed="false"/>
    <row r="1047083" customFormat="false" ht="12.75" hidden="false" customHeight="true" outlineLevel="0" collapsed="false"/>
    <row r="1047084" customFormat="false" ht="12.75" hidden="false" customHeight="true" outlineLevel="0" collapsed="false"/>
    <row r="1047085" customFormat="false" ht="12.75" hidden="false" customHeight="true" outlineLevel="0" collapsed="false"/>
    <row r="1047086" customFormat="false" ht="12.75" hidden="false" customHeight="true" outlineLevel="0" collapsed="false"/>
    <row r="1047087" customFormat="false" ht="12.75" hidden="false" customHeight="true" outlineLevel="0" collapsed="false"/>
    <row r="1047088" customFormat="false" ht="12.75" hidden="false" customHeight="true" outlineLevel="0" collapsed="false"/>
    <row r="1047089" customFormat="false" ht="12.75" hidden="false" customHeight="true" outlineLevel="0" collapsed="false"/>
    <row r="1047090" customFormat="false" ht="12.75" hidden="false" customHeight="true" outlineLevel="0" collapsed="false"/>
    <row r="1047091" customFormat="false" ht="12.75" hidden="false" customHeight="true" outlineLevel="0" collapsed="false"/>
    <row r="1047092" customFormat="false" ht="12.75" hidden="false" customHeight="true" outlineLevel="0" collapsed="false"/>
    <row r="1047093" customFormat="false" ht="12.75" hidden="false" customHeight="true" outlineLevel="0" collapsed="false"/>
    <row r="1047094" customFormat="false" ht="12.75" hidden="false" customHeight="true" outlineLevel="0" collapsed="false"/>
    <row r="1047095" customFormat="false" ht="12.75" hidden="false" customHeight="true" outlineLevel="0" collapsed="false"/>
    <row r="1047096" customFormat="false" ht="12.75" hidden="false" customHeight="true" outlineLevel="0" collapsed="false"/>
    <row r="1047097" customFormat="false" ht="12.75" hidden="false" customHeight="true" outlineLevel="0" collapsed="false"/>
    <row r="1047098" customFormat="false" ht="12.75" hidden="false" customHeight="true" outlineLevel="0" collapsed="false"/>
    <row r="1047099" customFormat="false" ht="12.75" hidden="false" customHeight="true" outlineLevel="0" collapsed="false"/>
    <row r="1047100" customFormat="false" ht="12.75" hidden="false" customHeight="true" outlineLevel="0" collapsed="false"/>
    <row r="1047101" customFormat="false" ht="12.75" hidden="false" customHeight="true" outlineLevel="0" collapsed="false"/>
    <row r="1047102" customFormat="false" ht="12.75" hidden="false" customHeight="true" outlineLevel="0" collapsed="false"/>
    <row r="1047103" customFormat="false" ht="12.75" hidden="false" customHeight="true" outlineLevel="0" collapsed="false"/>
    <row r="1047104" customFormat="false" ht="12.75" hidden="false" customHeight="true" outlineLevel="0" collapsed="false"/>
    <row r="1047105" customFormat="false" ht="12.75" hidden="false" customHeight="true" outlineLevel="0" collapsed="false"/>
    <row r="1047106" customFormat="false" ht="12.75" hidden="false" customHeight="true" outlineLevel="0" collapsed="false"/>
    <row r="1047107" customFormat="false" ht="12.75" hidden="false" customHeight="true" outlineLevel="0" collapsed="false"/>
    <row r="1047108" customFormat="false" ht="12.75" hidden="false" customHeight="true" outlineLevel="0" collapsed="false"/>
    <row r="1047109" customFormat="false" ht="12.75" hidden="false" customHeight="true" outlineLevel="0" collapsed="false"/>
    <row r="1047110" customFormat="false" ht="12.75" hidden="false" customHeight="true" outlineLevel="0" collapsed="false"/>
    <row r="1047111" customFormat="false" ht="12.75" hidden="false" customHeight="true" outlineLevel="0" collapsed="false"/>
    <row r="1047112" customFormat="false" ht="12.75" hidden="false" customHeight="true" outlineLevel="0" collapsed="false"/>
    <row r="1047113" customFormat="false" ht="12.75" hidden="false" customHeight="true" outlineLevel="0" collapsed="false"/>
    <row r="1047114" customFormat="false" ht="12.75" hidden="false" customHeight="true" outlineLevel="0" collapsed="false"/>
    <row r="1047115" customFormat="false" ht="12.75" hidden="false" customHeight="true" outlineLevel="0" collapsed="false"/>
    <row r="1047116" customFormat="false" ht="12.75" hidden="false" customHeight="true" outlineLevel="0" collapsed="false"/>
    <row r="1047117" customFormat="false" ht="12.75" hidden="false" customHeight="true" outlineLevel="0" collapsed="false"/>
    <row r="1047118" customFormat="false" ht="12.75" hidden="false" customHeight="true" outlineLevel="0" collapsed="false"/>
    <row r="1047119" customFormat="false" ht="12.75" hidden="false" customHeight="true" outlineLevel="0" collapsed="false"/>
    <row r="1047120" customFormat="false" ht="12.75" hidden="false" customHeight="true" outlineLevel="0" collapsed="false"/>
    <row r="1047121" customFormat="false" ht="12.75" hidden="false" customHeight="true" outlineLevel="0" collapsed="false"/>
    <row r="1047122" customFormat="false" ht="12.75" hidden="false" customHeight="true" outlineLevel="0" collapsed="false"/>
    <row r="1047123" customFormat="false" ht="12.75" hidden="false" customHeight="true" outlineLevel="0" collapsed="false"/>
    <row r="1047124" customFormat="false" ht="12.75" hidden="false" customHeight="true" outlineLevel="0" collapsed="false"/>
    <row r="1047125" customFormat="false" ht="12.75" hidden="false" customHeight="true" outlineLevel="0" collapsed="false"/>
    <row r="1047126" customFormat="false" ht="12.75" hidden="false" customHeight="true" outlineLevel="0" collapsed="false"/>
    <row r="1047127" customFormat="false" ht="12.75" hidden="false" customHeight="true" outlineLevel="0" collapsed="false"/>
    <row r="1047128" customFormat="false" ht="12.75" hidden="false" customHeight="true" outlineLevel="0" collapsed="false"/>
    <row r="1047129" customFormat="false" ht="12.75" hidden="false" customHeight="true" outlineLevel="0" collapsed="false"/>
    <row r="1047130" customFormat="false" ht="12.75" hidden="false" customHeight="true" outlineLevel="0" collapsed="false"/>
    <row r="1047131" customFormat="false" ht="12.75" hidden="false" customHeight="true" outlineLevel="0" collapsed="false"/>
    <row r="1047132" customFormat="false" ht="12.75" hidden="false" customHeight="true" outlineLevel="0" collapsed="false"/>
    <row r="1047133" customFormat="false" ht="12.75" hidden="false" customHeight="true" outlineLevel="0" collapsed="false"/>
    <row r="1047134" customFormat="false" ht="12.75" hidden="false" customHeight="true" outlineLevel="0" collapsed="false"/>
    <row r="1047135" customFormat="false" ht="12.75" hidden="false" customHeight="true" outlineLevel="0" collapsed="false"/>
    <row r="1047136" customFormat="false" ht="12.75" hidden="false" customHeight="true" outlineLevel="0" collapsed="false"/>
    <row r="1047137" customFormat="false" ht="12.75" hidden="false" customHeight="true" outlineLevel="0" collapsed="false"/>
    <row r="1047138" customFormat="false" ht="12.75" hidden="false" customHeight="true" outlineLevel="0" collapsed="false"/>
    <row r="1047139" customFormat="false" ht="12.75" hidden="false" customHeight="true" outlineLevel="0" collapsed="false"/>
    <row r="1047140" customFormat="false" ht="12.75" hidden="false" customHeight="true" outlineLevel="0" collapsed="false"/>
    <row r="1047141" customFormat="false" ht="12.75" hidden="false" customHeight="true" outlineLevel="0" collapsed="false"/>
    <row r="1047142" customFormat="false" ht="12.75" hidden="false" customHeight="true" outlineLevel="0" collapsed="false"/>
    <row r="1047143" customFormat="false" ht="12.75" hidden="false" customHeight="true" outlineLevel="0" collapsed="false"/>
    <row r="1047144" customFormat="false" ht="12.75" hidden="false" customHeight="true" outlineLevel="0" collapsed="false"/>
    <row r="1047145" customFormat="false" ht="12.75" hidden="false" customHeight="true" outlineLevel="0" collapsed="false"/>
    <row r="1047146" customFormat="false" ht="12.75" hidden="false" customHeight="true" outlineLevel="0" collapsed="false"/>
    <row r="1047147" customFormat="false" ht="12.75" hidden="false" customHeight="true" outlineLevel="0" collapsed="false"/>
    <row r="1047148" customFormat="false" ht="12.75" hidden="false" customHeight="true" outlineLevel="0" collapsed="false"/>
    <row r="1047149" customFormat="false" ht="12.75" hidden="false" customHeight="true" outlineLevel="0" collapsed="false"/>
    <row r="1047150" customFormat="false" ht="12.75" hidden="false" customHeight="true" outlineLevel="0" collapsed="false"/>
    <row r="1047151" customFormat="false" ht="12.75" hidden="false" customHeight="true" outlineLevel="0" collapsed="false"/>
    <row r="1047152" customFormat="false" ht="12.75" hidden="false" customHeight="true" outlineLevel="0" collapsed="false"/>
    <row r="1047153" customFormat="false" ht="12.75" hidden="false" customHeight="true" outlineLevel="0" collapsed="false"/>
    <row r="1047154" customFormat="false" ht="12.75" hidden="false" customHeight="true" outlineLevel="0" collapsed="false"/>
    <row r="1047155" customFormat="false" ht="12.75" hidden="false" customHeight="true" outlineLevel="0" collapsed="false"/>
    <row r="1047156" customFormat="false" ht="12.75" hidden="false" customHeight="true" outlineLevel="0" collapsed="false"/>
    <row r="1047157" customFormat="false" ht="12.75" hidden="false" customHeight="true" outlineLevel="0" collapsed="false"/>
    <row r="1047158" customFormat="false" ht="12.75" hidden="false" customHeight="true" outlineLevel="0" collapsed="false"/>
    <row r="1047159" customFormat="false" ht="12.75" hidden="false" customHeight="true" outlineLevel="0" collapsed="false"/>
    <row r="1047160" customFormat="false" ht="12.75" hidden="false" customHeight="true" outlineLevel="0" collapsed="false"/>
    <row r="1047161" customFormat="false" ht="12.75" hidden="false" customHeight="true" outlineLevel="0" collapsed="false"/>
    <row r="1047162" customFormat="false" ht="12.75" hidden="false" customHeight="true" outlineLevel="0" collapsed="false"/>
    <row r="1047163" customFormat="false" ht="12.75" hidden="false" customHeight="true" outlineLevel="0" collapsed="false"/>
    <row r="1047164" customFormat="false" ht="12.75" hidden="false" customHeight="true" outlineLevel="0" collapsed="false"/>
    <row r="1047165" customFormat="false" ht="12.75" hidden="false" customHeight="true" outlineLevel="0" collapsed="false"/>
    <row r="1047166" customFormat="false" ht="12.75" hidden="false" customHeight="true" outlineLevel="0" collapsed="false"/>
    <row r="1047167" customFormat="false" ht="12.75" hidden="false" customHeight="true" outlineLevel="0" collapsed="false"/>
    <row r="1047168" customFormat="false" ht="12.75" hidden="false" customHeight="true" outlineLevel="0" collapsed="false"/>
    <row r="1047169" customFormat="false" ht="12.75" hidden="false" customHeight="true" outlineLevel="0" collapsed="false"/>
    <row r="1047170" customFormat="false" ht="12.75" hidden="false" customHeight="true" outlineLevel="0" collapsed="false"/>
    <row r="1047171" customFormat="false" ht="12.75" hidden="false" customHeight="true" outlineLevel="0" collapsed="false"/>
    <row r="1047172" customFormat="false" ht="12.75" hidden="false" customHeight="true" outlineLevel="0" collapsed="false"/>
    <row r="1047173" customFormat="false" ht="12.75" hidden="false" customHeight="true" outlineLevel="0" collapsed="false"/>
    <row r="1047174" customFormat="false" ht="12.75" hidden="false" customHeight="true" outlineLevel="0" collapsed="false"/>
    <row r="1047175" customFormat="false" ht="12.75" hidden="false" customHeight="true" outlineLevel="0" collapsed="false"/>
    <row r="1047176" customFormat="false" ht="12.75" hidden="false" customHeight="true" outlineLevel="0" collapsed="false"/>
    <row r="1047177" customFormat="false" ht="12.75" hidden="false" customHeight="true" outlineLevel="0" collapsed="false"/>
    <row r="1047178" customFormat="false" ht="12.75" hidden="false" customHeight="true" outlineLevel="0" collapsed="false"/>
    <row r="1047179" customFormat="false" ht="12.75" hidden="false" customHeight="true" outlineLevel="0" collapsed="false"/>
    <row r="1047180" customFormat="false" ht="12.75" hidden="false" customHeight="true" outlineLevel="0" collapsed="false"/>
    <row r="1047181" customFormat="false" ht="12.75" hidden="false" customHeight="true" outlineLevel="0" collapsed="false"/>
    <row r="1047182" customFormat="false" ht="12.75" hidden="false" customHeight="true" outlineLevel="0" collapsed="false"/>
    <row r="1047183" customFormat="false" ht="12.75" hidden="false" customHeight="true" outlineLevel="0" collapsed="false"/>
    <row r="1047184" customFormat="false" ht="12.75" hidden="false" customHeight="true" outlineLevel="0" collapsed="false"/>
    <row r="1047185" customFormat="false" ht="12.75" hidden="false" customHeight="true" outlineLevel="0" collapsed="false"/>
    <row r="1047186" customFormat="false" ht="12.75" hidden="false" customHeight="true" outlineLevel="0" collapsed="false"/>
    <row r="1047187" customFormat="false" ht="12.75" hidden="false" customHeight="true" outlineLevel="0" collapsed="false"/>
    <row r="1047188" customFormat="false" ht="12.75" hidden="false" customHeight="true" outlineLevel="0" collapsed="false"/>
    <row r="1047189" customFormat="false" ht="12.75" hidden="false" customHeight="true" outlineLevel="0" collapsed="false"/>
    <row r="1047190" customFormat="false" ht="12.75" hidden="false" customHeight="true" outlineLevel="0" collapsed="false"/>
    <row r="1047191" customFormat="false" ht="12.75" hidden="false" customHeight="true" outlineLevel="0" collapsed="false"/>
    <row r="1047192" customFormat="false" ht="12.75" hidden="false" customHeight="true" outlineLevel="0" collapsed="false"/>
    <row r="1047193" customFormat="false" ht="12.75" hidden="false" customHeight="true" outlineLevel="0" collapsed="false"/>
    <row r="1047194" customFormat="false" ht="12.75" hidden="false" customHeight="true" outlineLevel="0" collapsed="false"/>
    <row r="1047195" customFormat="false" ht="12.75" hidden="false" customHeight="true" outlineLevel="0" collapsed="false"/>
    <row r="1047196" customFormat="false" ht="12.75" hidden="false" customHeight="true" outlineLevel="0" collapsed="false"/>
    <row r="1047197" customFormat="false" ht="12.75" hidden="false" customHeight="true" outlineLevel="0" collapsed="false"/>
    <row r="1047198" customFormat="false" ht="12.75" hidden="false" customHeight="true" outlineLevel="0" collapsed="false"/>
    <row r="1047199" customFormat="false" ht="12.75" hidden="false" customHeight="true" outlineLevel="0" collapsed="false"/>
    <row r="1047200" customFormat="false" ht="12.75" hidden="false" customHeight="true" outlineLevel="0" collapsed="false"/>
    <row r="1047201" customFormat="false" ht="12.75" hidden="false" customHeight="true" outlineLevel="0" collapsed="false"/>
    <row r="1047202" customFormat="false" ht="12.75" hidden="false" customHeight="true" outlineLevel="0" collapsed="false"/>
    <row r="1047203" customFormat="false" ht="12.75" hidden="false" customHeight="true" outlineLevel="0" collapsed="false"/>
    <row r="1047204" customFormat="false" ht="12.75" hidden="false" customHeight="true" outlineLevel="0" collapsed="false"/>
    <row r="1047205" customFormat="false" ht="12.75" hidden="false" customHeight="true" outlineLevel="0" collapsed="false"/>
    <row r="1047206" customFormat="false" ht="12.75" hidden="false" customHeight="true" outlineLevel="0" collapsed="false"/>
    <row r="1047207" customFormat="false" ht="12.75" hidden="false" customHeight="true" outlineLevel="0" collapsed="false"/>
    <row r="1047208" customFormat="false" ht="12.75" hidden="false" customHeight="true" outlineLevel="0" collapsed="false"/>
    <row r="1047209" customFormat="false" ht="12.75" hidden="false" customHeight="true" outlineLevel="0" collapsed="false"/>
    <row r="1047210" customFormat="false" ht="12.75" hidden="false" customHeight="true" outlineLevel="0" collapsed="false"/>
    <row r="1047211" customFormat="false" ht="12.75" hidden="false" customHeight="true" outlineLevel="0" collapsed="false"/>
    <row r="1047212" customFormat="false" ht="12.75" hidden="false" customHeight="true" outlineLevel="0" collapsed="false"/>
    <row r="1047213" customFormat="false" ht="12.75" hidden="false" customHeight="true" outlineLevel="0" collapsed="false"/>
    <row r="1047214" customFormat="false" ht="12.75" hidden="false" customHeight="true" outlineLevel="0" collapsed="false"/>
    <row r="1047215" customFormat="false" ht="12.75" hidden="false" customHeight="true" outlineLevel="0" collapsed="false"/>
    <row r="1047216" customFormat="false" ht="12.75" hidden="false" customHeight="true" outlineLevel="0" collapsed="false"/>
    <row r="1047217" customFormat="false" ht="12.75" hidden="false" customHeight="true" outlineLevel="0" collapsed="false"/>
    <row r="1047218" customFormat="false" ht="12.75" hidden="false" customHeight="true" outlineLevel="0" collapsed="false"/>
    <row r="1047219" customFormat="false" ht="12.75" hidden="false" customHeight="true" outlineLevel="0" collapsed="false"/>
    <row r="1047220" customFormat="false" ht="12.75" hidden="false" customHeight="true" outlineLevel="0" collapsed="false"/>
    <row r="1047221" customFormat="false" ht="12.75" hidden="false" customHeight="true" outlineLevel="0" collapsed="false"/>
    <row r="1047222" customFormat="false" ht="12.75" hidden="false" customHeight="true" outlineLevel="0" collapsed="false"/>
    <row r="1047223" customFormat="false" ht="12.75" hidden="false" customHeight="true" outlineLevel="0" collapsed="false"/>
    <row r="1047224" customFormat="false" ht="12.75" hidden="false" customHeight="true" outlineLevel="0" collapsed="false"/>
    <row r="1047225" customFormat="false" ht="12.75" hidden="false" customHeight="true" outlineLevel="0" collapsed="false"/>
    <row r="1047226" customFormat="false" ht="12.75" hidden="false" customHeight="true" outlineLevel="0" collapsed="false"/>
    <row r="1047227" customFormat="false" ht="12.75" hidden="false" customHeight="true" outlineLevel="0" collapsed="false"/>
    <row r="1047228" customFormat="false" ht="12.75" hidden="false" customHeight="true" outlineLevel="0" collapsed="false"/>
    <row r="1047229" customFormat="false" ht="12.75" hidden="false" customHeight="true" outlineLevel="0" collapsed="false"/>
    <row r="1047230" customFormat="false" ht="12.75" hidden="false" customHeight="true" outlineLevel="0" collapsed="false"/>
    <row r="1047231" customFormat="false" ht="12.75" hidden="false" customHeight="true" outlineLevel="0" collapsed="false"/>
    <row r="1047232" customFormat="false" ht="12.75" hidden="false" customHeight="true" outlineLevel="0" collapsed="false"/>
    <row r="1047233" customFormat="false" ht="12.75" hidden="false" customHeight="true" outlineLevel="0" collapsed="false"/>
    <row r="1047234" customFormat="false" ht="12.75" hidden="false" customHeight="true" outlineLevel="0" collapsed="false"/>
    <row r="1047235" customFormat="false" ht="12.75" hidden="false" customHeight="true" outlineLevel="0" collapsed="false"/>
    <row r="1047236" customFormat="false" ht="12.75" hidden="false" customHeight="true" outlineLevel="0" collapsed="false"/>
    <row r="1047237" customFormat="false" ht="12.75" hidden="false" customHeight="true" outlineLevel="0" collapsed="false"/>
    <row r="1047238" customFormat="false" ht="12.75" hidden="false" customHeight="true" outlineLevel="0" collapsed="false"/>
    <row r="1047239" customFormat="false" ht="12.75" hidden="false" customHeight="true" outlineLevel="0" collapsed="false"/>
    <row r="1047240" customFormat="false" ht="12.75" hidden="false" customHeight="true" outlineLevel="0" collapsed="false"/>
    <row r="1047241" customFormat="false" ht="12.75" hidden="false" customHeight="true" outlineLevel="0" collapsed="false"/>
    <row r="1047242" customFormat="false" ht="12.75" hidden="false" customHeight="true" outlineLevel="0" collapsed="false"/>
    <row r="1047243" customFormat="false" ht="12.75" hidden="false" customHeight="true" outlineLevel="0" collapsed="false"/>
    <row r="1047244" customFormat="false" ht="12.75" hidden="false" customHeight="true" outlineLevel="0" collapsed="false"/>
    <row r="1047245" customFormat="false" ht="12.75" hidden="false" customHeight="true" outlineLevel="0" collapsed="false"/>
    <row r="1047246" customFormat="false" ht="12.75" hidden="false" customHeight="true" outlineLevel="0" collapsed="false"/>
    <row r="1047247" customFormat="false" ht="12.75" hidden="false" customHeight="true" outlineLevel="0" collapsed="false"/>
    <row r="1047248" customFormat="false" ht="12.75" hidden="false" customHeight="true" outlineLevel="0" collapsed="false"/>
    <row r="1047249" customFormat="false" ht="12.75" hidden="false" customHeight="true" outlineLevel="0" collapsed="false"/>
    <row r="1047250" customFormat="false" ht="12.75" hidden="false" customHeight="true" outlineLevel="0" collapsed="false"/>
    <row r="1047251" customFormat="false" ht="12.75" hidden="false" customHeight="true" outlineLevel="0" collapsed="false"/>
    <row r="1047252" customFormat="false" ht="12.75" hidden="false" customHeight="true" outlineLevel="0" collapsed="false"/>
    <row r="1047253" customFormat="false" ht="12.75" hidden="false" customHeight="true" outlineLevel="0" collapsed="false"/>
    <row r="1047254" customFormat="false" ht="12.75" hidden="false" customHeight="true" outlineLevel="0" collapsed="false"/>
    <row r="1047255" customFormat="false" ht="12.75" hidden="false" customHeight="true" outlineLevel="0" collapsed="false"/>
    <row r="1047256" customFormat="false" ht="12.75" hidden="false" customHeight="true" outlineLevel="0" collapsed="false"/>
    <row r="1047257" customFormat="false" ht="12.75" hidden="false" customHeight="true" outlineLevel="0" collapsed="false"/>
    <row r="1047258" customFormat="false" ht="12.75" hidden="false" customHeight="true" outlineLevel="0" collapsed="false"/>
    <row r="1047259" customFormat="false" ht="12.75" hidden="false" customHeight="true" outlineLevel="0" collapsed="false"/>
    <row r="1047260" customFormat="false" ht="12.75" hidden="false" customHeight="true" outlineLevel="0" collapsed="false"/>
    <row r="1047261" customFormat="false" ht="12.75" hidden="false" customHeight="true" outlineLevel="0" collapsed="false"/>
    <row r="1047262" customFormat="false" ht="12.75" hidden="false" customHeight="true" outlineLevel="0" collapsed="false"/>
    <row r="1047263" customFormat="false" ht="12.75" hidden="false" customHeight="true" outlineLevel="0" collapsed="false"/>
    <row r="1047264" customFormat="false" ht="12.75" hidden="false" customHeight="true" outlineLevel="0" collapsed="false"/>
    <row r="1047265" customFormat="false" ht="12.75" hidden="false" customHeight="true" outlineLevel="0" collapsed="false"/>
    <row r="1047266" customFormat="false" ht="12.75" hidden="false" customHeight="true" outlineLevel="0" collapsed="false"/>
    <row r="1047267" customFormat="false" ht="12.75" hidden="false" customHeight="true" outlineLevel="0" collapsed="false"/>
    <row r="1047268" customFormat="false" ht="12.75" hidden="false" customHeight="true" outlineLevel="0" collapsed="false"/>
    <row r="1047269" customFormat="false" ht="12.75" hidden="false" customHeight="true" outlineLevel="0" collapsed="false"/>
    <row r="1047270" customFormat="false" ht="12.75" hidden="false" customHeight="true" outlineLevel="0" collapsed="false"/>
    <row r="1047271" customFormat="false" ht="12.75" hidden="false" customHeight="true" outlineLevel="0" collapsed="false"/>
    <row r="1047272" customFormat="false" ht="12.75" hidden="false" customHeight="true" outlineLevel="0" collapsed="false"/>
    <row r="1047273" customFormat="false" ht="12.75" hidden="false" customHeight="true" outlineLevel="0" collapsed="false"/>
    <row r="1047274" customFormat="false" ht="12.75" hidden="false" customHeight="true" outlineLevel="0" collapsed="false"/>
    <row r="1047275" customFormat="false" ht="12.75" hidden="false" customHeight="true" outlineLevel="0" collapsed="false"/>
    <row r="1047276" customFormat="false" ht="12.75" hidden="false" customHeight="true" outlineLevel="0" collapsed="false"/>
    <row r="1047277" customFormat="false" ht="12.75" hidden="false" customHeight="true" outlineLevel="0" collapsed="false"/>
    <row r="1047278" customFormat="false" ht="12.75" hidden="false" customHeight="true" outlineLevel="0" collapsed="false"/>
    <row r="1047279" customFormat="false" ht="12.75" hidden="false" customHeight="true" outlineLevel="0" collapsed="false"/>
    <row r="1047280" customFormat="false" ht="12.75" hidden="false" customHeight="true" outlineLevel="0" collapsed="false"/>
    <row r="1047281" customFormat="false" ht="12.75" hidden="false" customHeight="true" outlineLevel="0" collapsed="false"/>
    <row r="1047282" customFormat="false" ht="12.75" hidden="false" customHeight="true" outlineLevel="0" collapsed="false"/>
    <row r="1047283" customFormat="false" ht="12.75" hidden="false" customHeight="true" outlineLevel="0" collapsed="false"/>
    <row r="1047284" customFormat="false" ht="12.75" hidden="false" customHeight="true" outlineLevel="0" collapsed="false"/>
    <row r="1047285" customFormat="false" ht="12.75" hidden="false" customHeight="true" outlineLevel="0" collapsed="false"/>
    <row r="1047286" customFormat="false" ht="12.75" hidden="false" customHeight="true" outlineLevel="0" collapsed="false"/>
    <row r="1047287" customFormat="false" ht="12.75" hidden="false" customHeight="true" outlineLevel="0" collapsed="false"/>
    <row r="1047288" customFormat="false" ht="12.75" hidden="false" customHeight="true" outlineLevel="0" collapsed="false"/>
    <row r="1047289" customFormat="false" ht="12.75" hidden="false" customHeight="true" outlineLevel="0" collapsed="false"/>
    <row r="1047290" customFormat="false" ht="12.75" hidden="false" customHeight="true" outlineLevel="0" collapsed="false"/>
    <row r="1047291" customFormat="false" ht="12.75" hidden="false" customHeight="true" outlineLevel="0" collapsed="false"/>
    <row r="1047292" customFormat="false" ht="12.75" hidden="false" customHeight="true" outlineLevel="0" collapsed="false"/>
    <row r="1047293" customFormat="false" ht="12.75" hidden="false" customHeight="true" outlineLevel="0" collapsed="false"/>
    <row r="1047294" customFormat="false" ht="12.75" hidden="false" customHeight="true" outlineLevel="0" collapsed="false"/>
    <row r="1047295" customFormat="false" ht="12.75" hidden="false" customHeight="true" outlineLevel="0" collapsed="false"/>
    <row r="1047296" customFormat="false" ht="12.75" hidden="false" customHeight="true" outlineLevel="0" collapsed="false"/>
    <row r="1047297" customFormat="false" ht="12.75" hidden="false" customHeight="true" outlineLevel="0" collapsed="false"/>
    <row r="1047298" customFormat="false" ht="12.75" hidden="false" customHeight="true" outlineLevel="0" collapsed="false"/>
    <row r="1047299" customFormat="false" ht="12.75" hidden="false" customHeight="true" outlineLevel="0" collapsed="false"/>
    <row r="1047300" customFormat="false" ht="12.75" hidden="false" customHeight="true" outlineLevel="0" collapsed="false"/>
    <row r="1047301" customFormat="false" ht="12.75" hidden="false" customHeight="true" outlineLevel="0" collapsed="false"/>
    <row r="1047302" customFormat="false" ht="12.75" hidden="false" customHeight="true" outlineLevel="0" collapsed="false"/>
    <row r="1047303" customFormat="false" ht="12.75" hidden="false" customHeight="true" outlineLevel="0" collapsed="false"/>
    <row r="1047304" customFormat="false" ht="12.75" hidden="false" customHeight="true" outlineLevel="0" collapsed="false"/>
    <row r="1047305" customFormat="false" ht="12.75" hidden="false" customHeight="true" outlineLevel="0" collapsed="false"/>
    <row r="1047306" customFormat="false" ht="12.75" hidden="false" customHeight="true" outlineLevel="0" collapsed="false"/>
    <row r="1047307" customFormat="false" ht="12.75" hidden="false" customHeight="true" outlineLevel="0" collapsed="false"/>
    <row r="1047308" customFormat="false" ht="12.75" hidden="false" customHeight="true" outlineLevel="0" collapsed="false"/>
    <row r="1047309" customFormat="false" ht="12.75" hidden="false" customHeight="true" outlineLevel="0" collapsed="false"/>
    <row r="1047310" customFormat="false" ht="12.75" hidden="false" customHeight="true" outlineLevel="0" collapsed="false"/>
    <row r="1047311" customFormat="false" ht="12.75" hidden="false" customHeight="true" outlineLevel="0" collapsed="false"/>
    <row r="1047312" customFormat="false" ht="12.75" hidden="false" customHeight="true" outlineLevel="0" collapsed="false"/>
    <row r="1047313" customFormat="false" ht="12.75" hidden="false" customHeight="true" outlineLevel="0" collapsed="false"/>
    <row r="1047314" customFormat="false" ht="12.75" hidden="false" customHeight="true" outlineLevel="0" collapsed="false"/>
    <row r="1047315" customFormat="false" ht="12.75" hidden="false" customHeight="true" outlineLevel="0" collapsed="false"/>
    <row r="1047316" customFormat="false" ht="12.75" hidden="false" customHeight="true" outlineLevel="0" collapsed="false"/>
    <row r="1047317" customFormat="false" ht="12.75" hidden="false" customHeight="true" outlineLevel="0" collapsed="false"/>
    <row r="1047318" customFormat="false" ht="12.75" hidden="false" customHeight="true" outlineLevel="0" collapsed="false"/>
    <row r="1047319" customFormat="false" ht="12.75" hidden="false" customHeight="true" outlineLevel="0" collapsed="false"/>
    <row r="1047320" customFormat="false" ht="12.75" hidden="false" customHeight="true" outlineLevel="0" collapsed="false"/>
    <row r="1047321" customFormat="false" ht="12.75" hidden="false" customHeight="true" outlineLevel="0" collapsed="false"/>
    <row r="1047322" customFormat="false" ht="12.75" hidden="false" customHeight="true" outlineLevel="0" collapsed="false"/>
    <row r="1047323" customFormat="false" ht="12.75" hidden="false" customHeight="true" outlineLevel="0" collapsed="false"/>
    <row r="1047324" customFormat="false" ht="12.75" hidden="false" customHeight="true" outlineLevel="0" collapsed="false"/>
    <row r="1047325" customFormat="false" ht="12.75" hidden="false" customHeight="true" outlineLevel="0" collapsed="false"/>
    <row r="1047326" customFormat="false" ht="12.75" hidden="false" customHeight="true" outlineLevel="0" collapsed="false"/>
    <row r="1047327" customFormat="false" ht="12.75" hidden="false" customHeight="true" outlineLevel="0" collapsed="false"/>
    <row r="1047328" customFormat="false" ht="12.75" hidden="false" customHeight="true" outlineLevel="0" collapsed="false"/>
    <row r="1047329" customFormat="false" ht="12.75" hidden="false" customHeight="true" outlineLevel="0" collapsed="false"/>
    <row r="1047330" customFormat="false" ht="12.75" hidden="false" customHeight="true" outlineLevel="0" collapsed="false"/>
    <row r="1047331" customFormat="false" ht="12.75" hidden="false" customHeight="true" outlineLevel="0" collapsed="false"/>
    <row r="1047332" customFormat="false" ht="12.75" hidden="false" customHeight="true" outlineLevel="0" collapsed="false"/>
    <row r="1047333" customFormat="false" ht="12.75" hidden="false" customHeight="true" outlineLevel="0" collapsed="false"/>
    <row r="1047334" customFormat="false" ht="12.75" hidden="false" customHeight="true" outlineLevel="0" collapsed="false"/>
    <row r="1047335" customFormat="false" ht="12.75" hidden="false" customHeight="true" outlineLevel="0" collapsed="false"/>
    <row r="1047336" customFormat="false" ht="12.75" hidden="false" customHeight="true" outlineLevel="0" collapsed="false"/>
    <row r="1047337" customFormat="false" ht="12.75" hidden="false" customHeight="true" outlineLevel="0" collapsed="false"/>
    <row r="1047338" customFormat="false" ht="12.75" hidden="false" customHeight="true" outlineLevel="0" collapsed="false"/>
    <row r="1047339" customFormat="false" ht="12.75" hidden="false" customHeight="true" outlineLevel="0" collapsed="false"/>
    <row r="1047340" customFormat="false" ht="12.75" hidden="false" customHeight="true" outlineLevel="0" collapsed="false"/>
    <row r="1047341" customFormat="false" ht="12.75" hidden="false" customHeight="true" outlineLevel="0" collapsed="false"/>
    <row r="1047342" customFormat="false" ht="12.75" hidden="false" customHeight="true" outlineLevel="0" collapsed="false"/>
    <row r="1047343" customFormat="false" ht="12.75" hidden="false" customHeight="true" outlineLevel="0" collapsed="false"/>
    <row r="1047344" customFormat="false" ht="12.75" hidden="false" customHeight="true" outlineLevel="0" collapsed="false"/>
    <row r="1047345" customFormat="false" ht="12.75" hidden="false" customHeight="true" outlineLevel="0" collapsed="false"/>
    <row r="1047346" customFormat="false" ht="12.75" hidden="false" customHeight="true" outlineLevel="0" collapsed="false"/>
    <row r="1047347" customFormat="false" ht="12.75" hidden="false" customHeight="true" outlineLevel="0" collapsed="false"/>
    <row r="1047348" customFormat="false" ht="12.75" hidden="false" customHeight="true" outlineLevel="0" collapsed="false"/>
    <row r="1047349" customFormat="false" ht="12.75" hidden="false" customHeight="true" outlineLevel="0" collapsed="false"/>
    <row r="1047350" customFormat="false" ht="12.75" hidden="false" customHeight="true" outlineLevel="0" collapsed="false"/>
    <row r="1047351" customFormat="false" ht="12.75" hidden="false" customHeight="true" outlineLevel="0" collapsed="false"/>
    <row r="1047352" customFormat="false" ht="12.75" hidden="false" customHeight="true" outlineLevel="0" collapsed="false"/>
    <row r="1047353" customFormat="false" ht="12.75" hidden="false" customHeight="true" outlineLevel="0" collapsed="false"/>
    <row r="1047354" customFormat="false" ht="12.75" hidden="false" customHeight="true" outlineLevel="0" collapsed="false"/>
    <row r="1047355" customFormat="false" ht="12.75" hidden="false" customHeight="true" outlineLevel="0" collapsed="false"/>
    <row r="1047356" customFormat="false" ht="12.75" hidden="false" customHeight="true" outlineLevel="0" collapsed="false"/>
    <row r="1047357" customFormat="false" ht="12.75" hidden="false" customHeight="true" outlineLevel="0" collapsed="false"/>
    <row r="1047358" customFormat="false" ht="12.75" hidden="false" customHeight="true" outlineLevel="0" collapsed="false"/>
    <row r="1047359" customFormat="false" ht="12.75" hidden="false" customHeight="true" outlineLevel="0" collapsed="false"/>
    <row r="1047360" customFormat="false" ht="12.75" hidden="false" customHeight="true" outlineLevel="0" collapsed="false"/>
    <row r="1047361" customFormat="false" ht="12.75" hidden="false" customHeight="true" outlineLevel="0" collapsed="false"/>
    <row r="1047362" customFormat="false" ht="12.75" hidden="false" customHeight="true" outlineLevel="0" collapsed="false"/>
    <row r="1047363" customFormat="false" ht="12.75" hidden="false" customHeight="true" outlineLevel="0" collapsed="false"/>
    <row r="1047364" customFormat="false" ht="12.75" hidden="false" customHeight="true" outlineLevel="0" collapsed="false"/>
    <row r="1047365" customFormat="false" ht="12.75" hidden="false" customHeight="true" outlineLevel="0" collapsed="false"/>
    <row r="1047366" customFormat="false" ht="12.75" hidden="false" customHeight="true" outlineLevel="0" collapsed="false"/>
    <row r="1047367" customFormat="false" ht="12.75" hidden="false" customHeight="true" outlineLevel="0" collapsed="false"/>
    <row r="1047368" customFormat="false" ht="12.75" hidden="false" customHeight="true" outlineLevel="0" collapsed="false"/>
    <row r="1047369" customFormat="false" ht="12.75" hidden="false" customHeight="true" outlineLevel="0" collapsed="false"/>
    <row r="1047370" customFormat="false" ht="12.75" hidden="false" customHeight="true" outlineLevel="0" collapsed="false"/>
    <row r="1047371" customFormat="false" ht="12.75" hidden="false" customHeight="true" outlineLevel="0" collapsed="false"/>
    <row r="1047372" customFormat="false" ht="12.75" hidden="false" customHeight="true" outlineLevel="0" collapsed="false"/>
    <row r="1047373" customFormat="false" ht="12.75" hidden="false" customHeight="true" outlineLevel="0" collapsed="false"/>
    <row r="1047374" customFormat="false" ht="12.75" hidden="false" customHeight="true" outlineLevel="0" collapsed="false"/>
    <row r="1047375" customFormat="false" ht="12.75" hidden="false" customHeight="true" outlineLevel="0" collapsed="false"/>
    <row r="1047376" customFormat="false" ht="12.75" hidden="false" customHeight="true" outlineLevel="0" collapsed="false"/>
    <row r="1047377" customFormat="false" ht="12.75" hidden="false" customHeight="true" outlineLevel="0" collapsed="false"/>
    <row r="1047378" customFormat="false" ht="12.75" hidden="false" customHeight="true" outlineLevel="0" collapsed="false"/>
    <row r="1047379" customFormat="false" ht="12.75" hidden="false" customHeight="true" outlineLevel="0" collapsed="false"/>
    <row r="1047380" customFormat="false" ht="12.75" hidden="false" customHeight="true" outlineLevel="0" collapsed="false"/>
    <row r="1047381" customFormat="false" ht="12.75" hidden="false" customHeight="true" outlineLevel="0" collapsed="false"/>
    <row r="1047382" customFormat="false" ht="12.75" hidden="false" customHeight="true" outlineLevel="0" collapsed="false"/>
    <row r="1047383" customFormat="false" ht="12.75" hidden="false" customHeight="true" outlineLevel="0" collapsed="false"/>
    <row r="1047384" customFormat="false" ht="12.75" hidden="false" customHeight="true" outlineLevel="0" collapsed="false"/>
    <row r="1047385" customFormat="false" ht="12.75" hidden="false" customHeight="true" outlineLevel="0" collapsed="false"/>
    <row r="1047386" customFormat="false" ht="12.75" hidden="false" customHeight="true" outlineLevel="0" collapsed="false"/>
    <row r="1047387" customFormat="false" ht="12.75" hidden="false" customHeight="true" outlineLevel="0" collapsed="false"/>
    <row r="1047388" customFormat="false" ht="12.75" hidden="false" customHeight="true" outlineLevel="0" collapsed="false"/>
    <row r="1047389" customFormat="false" ht="12.75" hidden="false" customHeight="true" outlineLevel="0" collapsed="false"/>
    <row r="1047390" customFormat="false" ht="12.75" hidden="false" customHeight="true" outlineLevel="0" collapsed="false"/>
    <row r="1047391" customFormat="false" ht="12.75" hidden="false" customHeight="true" outlineLevel="0" collapsed="false"/>
    <row r="1047392" customFormat="false" ht="12.75" hidden="false" customHeight="true" outlineLevel="0" collapsed="false"/>
    <row r="1047393" customFormat="false" ht="12.75" hidden="false" customHeight="true" outlineLevel="0" collapsed="false"/>
    <row r="1047394" customFormat="false" ht="12.75" hidden="false" customHeight="true" outlineLevel="0" collapsed="false"/>
    <row r="1047395" customFormat="false" ht="12.75" hidden="false" customHeight="true" outlineLevel="0" collapsed="false"/>
    <row r="1047396" customFormat="false" ht="12.75" hidden="false" customHeight="true" outlineLevel="0" collapsed="false"/>
    <row r="1047397" customFormat="false" ht="12.75" hidden="false" customHeight="true" outlineLevel="0" collapsed="false"/>
    <row r="1047398" customFormat="false" ht="12.75" hidden="false" customHeight="true" outlineLevel="0" collapsed="false"/>
    <row r="1047399" customFormat="false" ht="12.75" hidden="false" customHeight="true" outlineLevel="0" collapsed="false"/>
    <row r="1047400" customFormat="false" ht="12.75" hidden="false" customHeight="true" outlineLevel="0" collapsed="false"/>
    <row r="1047401" customFormat="false" ht="12.75" hidden="false" customHeight="true" outlineLevel="0" collapsed="false"/>
    <row r="1047402" customFormat="false" ht="12.75" hidden="false" customHeight="true" outlineLevel="0" collapsed="false"/>
    <row r="1047403" customFormat="false" ht="12.75" hidden="false" customHeight="true" outlineLevel="0" collapsed="false"/>
    <row r="1047404" customFormat="false" ht="12.75" hidden="false" customHeight="true" outlineLevel="0" collapsed="false"/>
    <row r="1047405" customFormat="false" ht="12.75" hidden="false" customHeight="true" outlineLevel="0" collapsed="false"/>
    <row r="1047406" customFormat="false" ht="12.75" hidden="false" customHeight="true" outlineLevel="0" collapsed="false"/>
    <row r="1047407" customFormat="false" ht="12.75" hidden="false" customHeight="true" outlineLevel="0" collapsed="false"/>
    <row r="1047408" customFormat="false" ht="12.75" hidden="false" customHeight="true" outlineLevel="0" collapsed="false"/>
    <row r="1047409" customFormat="false" ht="12.75" hidden="false" customHeight="true" outlineLevel="0" collapsed="false"/>
    <row r="1047410" customFormat="false" ht="12.75" hidden="false" customHeight="true" outlineLevel="0" collapsed="false"/>
    <row r="1047411" customFormat="false" ht="12.75" hidden="false" customHeight="true" outlineLevel="0" collapsed="false"/>
    <row r="1047412" customFormat="false" ht="12.75" hidden="false" customHeight="true" outlineLevel="0" collapsed="false"/>
    <row r="1047413" customFormat="false" ht="12.75" hidden="false" customHeight="true" outlineLevel="0" collapsed="false"/>
    <row r="1047414" customFormat="false" ht="12.75" hidden="false" customHeight="true" outlineLevel="0" collapsed="false"/>
    <row r="1047415" customFormat="false" ht="12.75" hidden="false" customHeight="true" outlineLevel="0" collapsed="false"/>
    <row r="1047416" customFormat="false" ht="12.75" hidden="false" customHeight="true" outlineLevel="0" collapsed="false"/>
    <row r="1047417" customFormat="false" ht="12.75" hidden="false" customHeight="true" outlineLevel="0" collapsed="false"/>
    <row r="1047418" customFormat="false" ht="12.75" hidden="false" customHeight="true" outlineLevel="0" collapsed="false"/>
    <row r="1047419" customFormat="false" ht="12.75" hidden="false" customHeight="true" outlineLevel="0" collapsed="false"/>
    <row r="1047420" customFormat="false" ht="12.75" hidden="false" customHeight="true" outlineLevel="0" collapsed="false"/>
    <row r="1047421" customFormat="false" ht="12.75" hidden="false" customHeight="true" outlineLevel="0" collapsed="false"/>
    <row r="1047422" customFormat="false" ht="12.75" hidden="false" customHeight="true" outlineLevel="0" collapsed="false"/>
    <row r="1047423" customFormat="false" ht="12.75" hidden="false" customHeight="true" outlineLevel="0" collapsed="false"/>
    <row r="1047424" customFormat="false" ht="12.75" hidden="false" customHeight="true" outlineLevel="0" collapsed="false"/>
    <row r="1047425" customFormat="false" ht="12.75" hidden="false" customHeight="true" outlineLevel="0" collapsed="false"/>
    <row r="1047426" customFormat="false" ht="12.75" hidden="false" customHeight="true" outlineLevel="0" collapsed="false"/>
    <row r="1047427" customFormat="false" ht="12.75" hidden="false" customHeight="true" outlineLevel="0" collapsed="false"/>
    <row r="1047428" customFormat="false" ht="12.75" hidden="false" customHeight="true" outlineLevel="0" collapsed="false"/>
    <row r="1047429" customFormat="false" ht="12.75" hidden="false" customHeight="true" outlineLevel="0" collapsed="false"/>
    <row r="1047430" customFormat="false" ht="12.75" hidden="false" customHeight="true" outlineLevel="0" collapsed="false"/>
    <row r="1047431" customFormat="false" ht="12.75" hidden="false" customHeight="true" outlineLevel="0" collapsed="false"/>
    <row r="1047432" customFormat="false" ht="12.75" hidden="false" customHeight="true" outlineLevel="0" collapsed="false"/>
    <row r="1047433" customFormat="false" ht="12.75" hidden="false" customHeight="true" outlineLevel="0" collapsed="false"/>
    <row r="1047434" customFormat="false" ht="12.75" hidden="false" customHeight="true" outlineLevel="0" collapsed="false"/>
    <row r="1047435" customFormat="false" ht="12.75" hidden="false" customHeight="true" outlineLevel="0" collapsed="false"/>
    <row r="1047436" customFormat="false" ht="12.75" hidden="false" customHeight="true" outlineLevel="0" collapsed="false"/>
    <row r="1047437" customFormat="false" ht="12.75" hidden="false" customHeight="true" outlineLevel="0" collapsed="false"/>
    <row r="1047438" customFormat="false" ht="12.75" hidden="false" customHeight="true" outlineLevel="0" collapsed="false"/>
    <row r="1047439" customFormat="false" ht="12.75" hidden="false" customHeight="true" outlineLevel="0" collapsed="false"/>
    <row r="1047440" customFormat="false" ht="12.75" hidden="false" customHeight="true" outlineLevel="0" collapsed="false"/>
    <row r="1047441" customFormat="false" ht="12.75" hidden="false" customHeight="true" outlineLevel="0" collapsed="false"/>
    <row r="1047442" customFormat="false" ht="12.75" hidden="false" customHeight="true" outlineLevel="0" collapsed="false"/>
    <row r="1047443" customFormat="false" ht="12.75" hidden="false" customHeight="true" outlineLevel="0" collapsed="false"/>
    <row r="1047444" customFormat="false" ht="12.75" hidden="false" customHeight="true" outlineLevel="0" collapsed="false"/>
    <row r="1047445" customFormat="false" ht="12.75" hidden="false" customHeight="true" outlineLevel="0" collapsed="false"/>
    <row r="1047446" customFormat="false" ht="12.75" hidden="false" customHeight="true" outlineLevel="0" collapsed="false"/>
    <row r="1047447" customFormat="false" ht="12.75" hidden="false" customHeight="true" outlineLevel="0" collapsed="false"/>
    <row r="1047448" customFormat="false" ht="12.75" hidden="false" customHeight="true" outlineLevel="0" collapsed="false"/>
    <row r="1047449" customFormat="false" ht="12.75" hidden="false" customHeight="true" outlineLevel="0" collapsed="false"/>
    <row r="1047450" customFormat="false" ht="12.75" hidden="false" customHeight="true" outlineLevel="0" collapsed="false"/>
    <row r="1047451" customFormat="false" ht="12.75" hidden="false" customHeight="true" outlineLevel="0" collapsed="false"/>
    <row r="1047452" customFormat="false" ht="12.75" hidden="false" customHeight="true" outlineLevel="0" collapsed="false"/>
    <row r="1047453" customFormat="false" ht="12.75" hidden="false" customHeight="true" outlineLevel="0" collapsed="false"/>
    <row r="1047454" customFormat="false" ht="12.75" hidden="false" customHeight="true" outlineLevel="0" collapsed="false"/>
    <row r="1047455" customFormat="false" ht="12.75" hidden="false" customHeight="true" outlineLevel="0" collapsed="false"/>
    <row r="1047456" customFormat="false" ht="12.75" hidden="false" customHeight="true" outlineLevel="0" collapsed="false"/>
    <row r="1047457" customFormat="false" ht="12.75" hidden="false" customHeight="true" outlineLevel="0" collapsed="false"/>
    <row r="1047458" customFormat="false" ht="12.75" hidden="false" customHeight="true" outlineLevel="0" collapsed="false"/>
    <row r="1047459" customFormat="false" ht="12.75" hidden="false" customHeight="true" outlineLevel="0" collapsed="false"/>
    <row r="1047460" customFormat="false" ht="12.75" hidden="false" customHeight="true" outlineLevel="0" collapsed="false"/>
    <row r="1047461" customFormat="false" ht="12.75" hidden="false" customHeight="true" outlineLevel="0" collapsed="false"/>
    <row r="1047462" customFormat="false" ht="12.75" hidden="false" customHeight="true" outlineLevel="0" collapsed="false"/>
    <row r="1047463" customFormat="false" ht="12.75" hidden="false" customHeight="true" outlineLevel="0" collapsed="false"/>
    <row r="1047464" customFormat="false" ht="12.75" hidden="false" customHeight="true" outlineLevel="0" collapsed="false"/>
    <row r="1047465" customFormat="false" ht="12.75" hidden="false" customHeight="true" outlineLevel="0" collapsed="false"/>
    <row r="1047466" customFormat="false" ht="12.75" hidden="false" customHeight="true" outlineLevel="0" collapsed="false"/>
    <row r="1047467" customFormat="false" ht="12.75" hidden="false" customHeight="true" outlineLevel="0" collapsed="false"/>
    <row r="1047468" customFormat="false" ht="12.75" hidden="false" customHeight="true" outlineLevel="0" collapsed="false"/>
    <row r="1047469" customFormat="false" ht="12.75" hidden="false" customHeight="true" outlineLevel="0" collapsed="false"/>
    <row r="1047470" customFormat="false" ht="12.75" hidden="false" customHeight="true" outlineLevel="0" collapsed="false"/>
    <row r="1047471" customFormat="false" ht="12.75" hidden="false" customHeight="true" outlineLevel="0" collapsed="false"/>
    <row r="1047472" customFormat="false" ht="12.75" hidden="false" customHeight="true" outlineLevel="0" collapsed="false"/>
    <row r="1047473" customFormat="false" ht="12.75" hidden="false" customHeight="true" outlineLevel="0" collapsed="false"/>
    <row r="1047474" customFormat="false" ht="12.75" hidden="false" customHeight="true" outlineLevel="0" collapsed="false"/>
    <row r="1047475" customFormat="false" ht="12.75" hidden="false" customHeight="true" outlineLevel="0" collapsed="false"/>
    <row r="1047476" customFormat="false" ht="12.75" hidden="false" customHeight="true" outlineLevel="0" collapsed="false"/>
    <row r="1047477" customFormat="false" ht="12.75" hidden="false" customHeight="true" outlineLevel="0" collapsed="false"/>
    <row r="1047478" customFormat="false" ht="12.75" hidden="false" customHeight="true" outlineLevel="0" collapsed="false"/>
    <row r="1047479" customFormat="false" ht="12.75" hidden="false" customHeight="true" outlineLevel="0" collapsed="false"/>
    <row r="1047480" customFormat="false" ht="12.75" hidden="false" customHeight="true" outlineLevel="0" collapsed="false"/>
    <row r="1047481" customFormat="false" ht="12.75" hidden="false" customHeight="true" outlineLevel="0" collapsed="false"/>
    <row r="1047482" customFormat="false" ht="12.75" hidden="false" customHeight="true" outlineLevel="0" collapsed="false"/>
    <row r="1047483" customFormat="false" ht="12.75" hidden="false" customHeight="true" outlineLevel="0" collapsed="false"/>
    <row r="1047484" customFormat="false" ht="12.75" hidden="false" customHeight="true" outlineLevel="0" collapsed="false"/>
    <row r="1047485" customFormat="false" ht="12.75" hidden="false" customHeight="true" outlineLevel="0" collapsed="false"/>
    <row r="1047486" customFormat="false" ht="12.75" hidden="false" customHeight="true" outlineLevel="0" collapsed="false"/>
    <row r="1047487" customFormat="false" ht="12.75" hidden="false" customHeight="true" outlineLevel="0" collapsed="false"/>
    <row r="1047488" customFormat="false" ht="12.75" hidden="false" customHeight="true" outlineLevel="0" collapsed="false"/>
    <row r="1047489" customFormat="false" ht="12.75" hidden="false" customHeight="true" outlineLevel="0" collapsed="false"/>
    <row r="1047490" customFormat="false" ht="12.75" hidden="false" customHeight="true" outlineLevel="0" collapsed="false"/>
    <row r="1047491" customFormat="false" ht="12.75" hidden="false" customHeight="true" outlineLevel="0" collapsed="false"/>
    <row r="1047492" customFormat="false" ht="12.75" hidden="false" customHeight="true" outlineLevel="0" collapsed="false"/>
    <row r="1047493" customFormat="false" ht="12.75" hidden="false" customHeight="true" outlineLevel="0" collapsed="false"/>
    <row r="1047494" customFormat="false" ht="12.75" hidden="false" customHeight="true" outlineLevel="0" collapsed="false"/>
    <row r="1047495" customFormat="false" ht="12.75" hidden="false" customHeight="true" outlineLevel="0" collapsed="false"/>
    <row r="1047496" customFormat="false" ht="12.75" hidden="false" customHeight="true" outlineLevel="0" collapsed="false"/>
    <row r="1047497" customFormat="false" ht="12.75" hidden="false" customHeight="true" outlineLevel="0" collapsed="false"/>
    <row r="1047498" customFormat="false" ht="12.75" hidden="false" customHeight="true" outlineLevel="0" collapsed="false"/>
    <row r="1047499" customFormat="false" ht="12.75" hidden="false" customHeight="true" outlineLevel="0" collapsed="false"/>
    <row r="1047500" customFormat="false" ht="12.75" hidden="false" customHeight="true" outlineLevel="0" collapsed="false"/>
    <row r="1047501" customFormat="false" ht="12.75" hidden="false" customHeight="true" outlineLevel="0" collapsed="false"/>
    <row r="1047502" customFormat="false" ht="12.75" hidden="false" customHeight="true" outlineLevel="0" collapsed="false"/>
    <row r="1047503" customFormat="false" ht="12.75" hidden="false" customHeight="true" outlineLevel="0" collapsed="false"/>
    <row r="1047504" customFormat="false" ht="12.75" hidden="false" customHeight="true" outlineLevel="0" collapsed="false"/>
    <row r="1047505" customFormat="false" ht="12.75" hidden="false" customHeight="true" outlineLevel="0" collapsed="false"/>
    <row r="1047506" customFormat="false" ht="12.75" hidden="false" customHeight="true" outlineLevel="0" collapsed="false"/>
    <row r="1047507" customFormat="false" ht="12.75" hidden="false" customHeight="true" outlineLevel="0" collapsed="false"/>
    <row r="1047508" customFormat="false" ht="12.75" hidden="false" customHeight="true" outlineLevel="0" collapsed="false"/>
    <row r="1047509" customFormat="false" ht="12.75" hidden="false" customHeight="true" outlineLevel="0" collapsed="false"/>
    <row r="1047510" customFormat="false" ht="12.75" hidden="false" customHeight="true" outlineLevel="0" collapsed="false"/>
    <row r="1047511" customFormat="false" ht="12.75" hidden="false" customHeight="true" outlineLevel="0" collapsed="false"/>
    <row r="1047512" customFormat="false" ht="12.75" hidden="false" customHeight="true" outlineLevel="0" collapsed="false"/>
    <row r="1047513" customFormat="false" ht="12.75" hidden="false" customHeight="true" outlineLevel="0" collapsed="false"/>
    <row r="1047514" customFormat="false" ht="12.75" hidden="false" customHeight="true" outlineLevel="0" collapsed="false"/>
    <row r="1047515" customFormat="false" ht="12.75" hidden="false" customHeight="true" outlineLevel="0" collapsed="false"/>
    <row r="1047516" customFormat="false" ht="12.75" hidden="false" customHeight="true" outlineLevel="0" collapsed="false"/>
    <row r="1047517" customFormat="false" ht="12.75" hidden="false" customHeight="true" outlineLevel="0" collapsed="false"/>
    <row r="1047518" customFormat="false" ht="12.75" hidden="false" customHeight="true" outlineLevel="0" collapsed="false"/>
    <row r="1047519" customFormat="false" ht="12.75" hidden="false" customHeight="true" outlineLevel="0" collapsed="false"/>
    <row r="1047520" customFormat="false" ht="12.75" hidden="false" customHeight="true" outlineLevel="0" collapsed="false"/>
    <row r="1047521" customFormat="false" ht="12.75" hidden="false" customHeight="true" outlineLevel="0" collapsed="false"/>
    <row r="1047522" customFormat="false" ht="12.75" hidden="false" customHeight="true" outlineLevel="0" collapsed="false"/>
    <row r="1047523" customFormat="false" ht="12.75" hidden="false" customHeight="true" outlineLevel="0" collapsed="false"/>
    <row r="1047524" customFormat="false" ht="12.75" hidden="false" customHeight="true" outlineLevel="0" collapsed="false"/>
    <row r="1047525" customFormat="false" ht="12.75" hidden="false" customHeight="true" outlineLevel="0" collapsed="false"/>
    <row r="1047526" customFormat="false" ht="12.75" hidden="false" customHeight="true" outlineLevel="0" collapsed="false"/>
    <row r="1047527" customFormat="false" ht="12.75" hidden="false" customHeight="true" outlineLevel="0" collapsed="false"/>
    <row r="1047528" customFormat="false" ht="12.75" hidden="false" customHeight="true" outlineLevel="0" collapsed="false"/>
    <row r="1047529" customFormat="false" ht="12.75" hidden="false" customHeight="true" outlineLevel="0" collapsed="false"/>
    <row r="1047530" customFormat="false" ht="12.75" hidden="false" customHeight="true" outlineLevel="0" collapsed="false"/>
    <row r="1047531" customFormat="false" ht="12.75" hidden="false" customHeight="true" outlineLevel="0" collapsed="false"/>
    <row r="1047532" customFormat="false" ht="12.75" hidden="false" customHeight="true" outlineLevel="0" collapsed="false"/>
    <row r="1047533" customFormat="false" ht="12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3:I4"/>
  <conditionalFormatting sqref="B2">
    <cfRule type="expression" priority="2" aboveAverage="0" equalAverage="0" bottom="0" percent="0" rank="0" text="" dxfId="1">
      <formula>NOT(ISERROR(FIND("✗",INDIRECT("RC",0))))</formula>
    </cfRule>
    <cfRule type="expression" priority="3" aboveAverage="0" equalAverage="0" bottom="0" percent="0" rank="0" text="" dxfId="2">
      <formula>NOT(ISERROR(FIND("⚠",INDIRECT("RC",0))))</formula>
    </cfRule>
  </conditionalFormatting>
  <conditionalFormatting sqref="A4:A10000">
    <cfRule type="expression" priority="4" aboveAverage="0" equalAverage="0" bottom="0" percent="0" rank="0" text="" dxfId="27">
      <formula>AND(ISNUMBER($A4),OR($A4&lt;DATE(2020,1,1),$A4&gt;DATE(année_courante,12,31)))</formula>
    </cfRule>
  </conditionalFormatting>
  <conditionalFormatting sqref="F4:F10000">
    <cfRule type="cellIs" priority="5" operator="equal" aboveAverage="0" equalAverage="0" bottom="0" percent="0" rank="0" text="" dxfId="28">
      <formula>"-"</formula>
    </cfRule>
  </conditionalFormatting>
  <conditionalFormatting sqref="G4:G10000">
    <cfRule type="expression" priority="6" aboveAverage="0" equalAverage="0" bottom="0" percent="0" rank="0" text="" dxfId="27">
      <formula>AND(ISNUMBER($A4),LEFT($G4,1)&lt;&gt;"#",OR($G4="",COUNTIF(CATnom,$G4)=0))</formula>
    </cfRule>
  </conditionalFormatting>
  <conditionalFormatting sqref="H4:H10000">
    <cfRule type="expression" priority="7" aboveAverage="0" equalAverage="0" bottom="0" percent="0" rank="0" text="" dxfId="27">
      <formula>AND(ISNUMBER($A4),OR(AND($H4="",LEFT($G4,1)&lt;&gt;"#"),AND($H4&lt;&gt;"",COUNTIF(AVRintitulé,$H4)=0)))</formula>
    </cfRule>
  </conditionalFormatting>
  <conditionalFormatting sqref="D4:D10000">
    <cfRule type="expression" priority="8" aboveAverage="0" equalAverage="0" bottom="0" percent="0" rank="0" text="" dxfId="29">
      <formula>AND(ISNUMBER($A4),OR(AND($D4="",LEFT($G4,1)&lt;&gt;"#"),AND($D4&lt;&gt;"",COUNTIF(COTcode,$D4)=0)))</formula>
    </cfRule>
  </conditionalFormatting>
  <dataValidations count="4">
    <dataValidation allowBlank="true" error="La date doit être comprise entre le 01/01/2020 et le 31/12 de l'année courante (contrôle DIVERS de la feuille Contrôles)." errorStyle="stop" errorTitle="Date hors période" operator="between" showDropDown="false" showErrorMessage="true" showInputMessage="false" sqref="A4:A1074" type="custom">
      <formula1>AND(ISNUMBER($A4),$A4&gt;=DATE(2020,1,1),$A4&lt;=DATE(année_courante,12,31))</formula1>
      <formula2>0</formula2>
    </dataValidation>
    <dataValidation allowBlank="true" error="Saisis une catégorie de la feuille Budget (colonne Catégories) ou une méta-catégorie #… — ou ajoute-la d'abord dans Budget." errorStyle="stop" errorTitle="Catégorie inconnue" operator="between" showDropDown="false" showErrorMessage="true" showInputMessage="false" sqref="G4:G1074" type="custom">
      <formula1>OR(LEFT($G4,1)="#",COUNTIF(CATnom,$G4)&gt;0)</formula1>
      <formula2>0</formula2>
    </dataValidation>
    <dataValidation allowBlank="true" error="Saisis un compte suivi (feuille Avoirs, avec devise) — ou crée-le d'abord dans Avoirs." errorStyle="stop" errorTitle="Compte inconnu" operator="between" showDropDown="false" showErrorMessage="true" showInputMessage="false" sqref="H4:H1074" type="custom">
      <formula1>COUNTIF(CTRL1compte,$H4)&gt;0</formula1>
      <formula2>0</formula2>
    </dataValidation>
    <dataValidation allowBlank="true" error="Saisis un code devise de la feuille Cotations (colonne Code) — ou ajoute la devise d'abord dans Cotations." errorStyle="stop" errorTitle="Devise inconnue" operator="between" showDropDown="false" showErrorMessage="true" showInputMessage="false" sqref="D4:D1074" type="custom">
      <formula1>COUNTIF(COTcode,$D4)&gt;0</formula1>
      <formula2>0</formula2>
    </dataValidation>
  </dataValidations>
  <printOptions headings="false" gridLines="false" gridLinesSet="true" horizontalCentered="false" verticalCentered="false"/>
  <pageMargins left="0.75" right="0.7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E35" activeCellId="0" sqref="E35"/>
    </sheetView>
  </sheetViews>
  <sheetFormatPr defaultColWidth="19.1640625" defaultRowHeight="15" customHeight="true" zeroHeight="false" outlineLevelRow="0" outlineLevelCol="0"/>
  <cols>
    <col collapsed="false" customWidth="true" hidden="false" outlineLevel="0" max="1" min="1" style="44" width="28.33"/>
    <col collapsed="false" customWidth="true" hidden="false" outlineLevel="0" max="2" min="2" style="45" width="7.67"/>
    <col collapsed="false" customWidth="true" hidden="false" outlineLevel="0" max="3" min="3" style="45" width="13.16"/>
    <col collapsed="false" customWidth="true" hidden="false" outlineLevel="0" max="4" min="4" style="45" width="11.89"/>
    <col collapsed="false" customWidth="true" hidden="false" outlineLevel="0" max="5" min="5" style="45" width="14.89"/>
    <col collapsed="false" customWidth="true" hidden="false" outlineLevel="0" max="7" min="6" style="44" width="14.89"/>
    <col collapsed="false" customWidth="true" hidden="false" outlineLevel="0" max="8" min="8" style="44" width="14.83"/>
    <col collapsed="false" customWidth="true" hidden="false" outlineLevel="0" max="9" min="9" style="45" width="9.33"/>
    <col collapsed="false" customWidth="true" hidden="false" outlineLevel="0" max="10" min="10" style="74" width="41.42"/>
    <col collapsed="false" customWidth="true" hidden="false" outlineLevel="0" max="11" min="11" style="74" width="14.98"/>
    <col collapsed="false" customWidth="true" hidden="false" outlineLevel="0" max="12" min="12" style="74" width="11"/>
    <col collapsed="false" customWidth="true" hidden="false" outlineLevel="0" max="13" min="13" style="74" width="15.51"/>
    <col collapsed="false" customWidth="false" hidden="false" outlineLevel="0" max="16368" min="16" style="74" width="19.16"/>
    <col collapsed="false" customWidth="true" hidden="false" outlineLevel="0" max="16382" min="16369" style="1" width="11.53"/>
    <col collapsed="false" customWidth="true" hidden="false" outlineLevel="0" max="16384" min="16383" style="74" width="11.53"/>
  </cols>
  <sheetData>
    <row r="1" customFormat="false" ht="16.5" hidden="false" customHeight="true" outlineLevel="0" collapsed="false">
      <c r="A1" s="140" t="str">
        <f aca="false">$K$52</f>
        <v>✓</v>
      </c>
      <c r="B1" s="10"/>
      <c r="C1" s="10"/>
      <c r="D1" s="10"/>
      <c r="E1" s="10"/>
      <c r="F1" s="12"/>
      <c r="G1" s="12"/>
      <c r="H1" s="12"/>
      <c r="I1" s="85"/>
    </row>
    <row r="2" customFormat="false" ht="28.5" hidden="false" customHeight="true" outlineLevel="0" collapsed="false">
      <c r="A2" s="51" t="s">
        <v>241</v>
      </c>
      <c r="B2" s="85" t="s">
        <v>88</v>
      </c>
      <c r="C2" s="85" t="s">
        <v>242</v>
      </c>
      <c r="D2" s="85" t="s">
        <v>243</v>
      </c>
      <c r="E2" s="85" t="s">
        <v>244</v>
      </c>
      <c r="F2" s="26" t="s">
        <v>245</v>
      </c>
      <c r="G2" s="26" t="s">
        <v>246</v>
      </c>
      <c r="H2" s="51" t="s">
        <v>153</v>
      </c>
      <c r="I2" s="51" t="s">
        <v>247</v>
      </c>
    </row>
    <row r="3" customFormat="false" ht="15" hidden="false" customHeight="true" outlineLevel="0" collapsed="false">
      <c r="A3" s="14" t="s">
        <v>4</v>
      </c>
      <c r="B3" s="55"/>
      <c r="C3" s="116"/>
      <c r="D3" s="116"/>
      <c r="E3" s="16"/>
      <c r="F3" s="16"/>
      <c r="G3" s="16"/>
      <c r="H3" s="16"/>
      <c r="I3" s="16"/>
    </row>
    <row r="4" customFormat="false" ht="15" hidden="false" customHeight="true" outlineLevel="0" collapsed="false">
      <c r="A4" s="14" t="str">
        <f aca="false">Avoirs!A5</f>
        <v>Assurance vie Alice</v>
      </c>
      <c r="B4" s="55" t="s">
        <v>95</v>
      </c>
      <c r="C4" s="116" t="n">
        <f aca="false">IF(COUNTIFS(OPcompte,$A4,OPdevise,$B4,OPcatégorie,Solde)&gt;=2,_xlfn.MINIFS(OPdate,OPcompte,$A4,OPdevise,$B4,OPcatégorie,Solde),0)</f>
        <v>0</v>
      </c>
      <c r="D4" s="116" t="n">
        <f aca="false">_xlfn.MAXIFS(OPdate,OPcompte,$A4,OPdevise,$B4,OPcatégorie,Solde)</f>
        <v>0</v>
      </c>
      <c r="E4" s="16" t="n">
        <f aca="false">IF($C4=0,0,_xlfn.XLOOKUP(1,(OPcompte=$A4)*(OPdevise=$B4)*(OPcatégorie=Solde)*(OPdate=$C4),OPmontant,0,0,1))</f>
        <v>0</v>
      </c>
      <c r="F4" s="16" t="n">
        <f aca="false">$E4+SUMIFS(OPmontant,OPcompte,$A4,OPdevise,$B4,OPdate,"&gt;"&amp;$C4,OPdate,"&lt;="&amp;$D4,OPcatégorie,"&lt;&gt;Solde",OPcatégorie,"&lt;&gt;"&amp;Spéciale)</f>
        <v>0</v>
      </c>
      <c r="G4" s="16" t="n">
        <f aca="false">_xlfn.XLOOKUP(1,(OPcompte=$A4)*(OPdevise=$B4)*(OPcatégorie=Solde)*(OPdate=$D4),OPmontant,0,0,-1)</f>
        <v>0</v>
      </c>
      <c r="H4" s="16" t="n">
        <f aca="false">IF(ABS($G4-$F4)&lt;0.015,0,ROUND($G4-$F4,2))</f>
        <v>0</v>
      </c>
      <c r="I4" s="16" t="s">
        <v>248</v>
      </c>
    </row>
    <row r="5" customFormat="false" ht="15" hidden="false" customHeight="true" outlineLevel="0" collapsed="false">
      <c r="A5" s="14" t="str">
        <f aca="false">Avoirs!A6</f>
        <v>PEE Alice</v>
      </c>
      <c r="B5" s="55" t="s">
        <v>95</v>
      </c>
      <c r="C5" s="116" t="n">
        <f aca="false">IF(COUNTIFS(OPcompte,$A5,OPdevise,$B5,OPcatégorie,Solde)&gt;=2,_xlfn.MINIFS(OPdate,OPcompte,$A5,OPdevise,$B5,OPcatégorie,Solde),0)</f>
        <v>0</v>
      </c>
      <c r="D5" s="116" t="n">
        <f aca="false">_xlfn.MAXIFS(OPdate,OPcompte,$A5,OPdevise,$B5,OPcatégorie,Solde)</f>
        <v>0</v>
      </c>
      <c r="E5" s="16" t="n">
        <f aca="false">IF($C5=0,0,_xlfn.XLOOKUP(1,(OPcompte=$A5)*(OPdevise=$B5)*(OPcatégorie=Solde)*(OPdate=$C5),OPmontant,0,0,1))</f>
        <v>0</v>
      </c>
      <c r="F5" s="16" t="n">
        <f aca="false">$E5+SUMIFS(OPmontant,OPcompte,$A5,OPdevise,$B5,OPdate,"&gt;"&amp;$C5,OPdate,"&lt;="&amp;$D5,OPcatégorie,"&lt;&gt;Solde",OPcatégorie,"&lt;&gt;"&amp;Spéciale)</f>
        <v>0</v>
      </c>
      <c r="G5" s="16" t="n">
        <f aca="false">_xlfn.XLOOKUP(1,(OPcompte=$A5)*(OPdevise=$B5)*(OPcatégorie=Solde)*(OPdate=$D5),OPmontant,0,0,-1)</f>
        <v>0</v>
      </c>
      <c r="H5" s="16" t="n">
        <f aca="false">IF(ABS($G5-$F5)&lt;0.015,0,ROUND($G5-$F5,2))</f>
        <v>0</v>
      </c>
      <c r="I5" s="16" t="s">
        <v>248</v>
      </c>
    </row>
    <row r="6" customFormat="false" ht="15" hidden="false" customHeight="true" outlineLevel="0" collapsed="false">
      <c r="A6" s="14" t="str">
        <f aca="false">Avoirs!A7</f>
        <v>Portefeuille BB Titres</v>
      </c>
      <c r="B6" s="55" t="s">
        <v>95</v>
      </c>
      <c r="C6" s="116" t="n">
        <f aca="false">IF(COUNTIFS(OPcompte,$A6,OPdevise,$B6,OPcatégorie,Solde)&gt;=2,_xlfn.MINIFS(OPdate,OPcompte,$A6,OPdevise,$B6,OPcatégorie,Solde),0)</f>
        <v>0</v>
      </c>
      <c r="D6" s="116" t="n">
        <f aca="false">_xlfn.MAXIFS(OPdate,OPcompte,$A6,OPdevise,$B6,OPcatégorie,Solde)</f>
        <v>0</v>
      </c>
      <c r="E6" s="16" t="n">
        <f aca="false">IF($C6=0,0,_xlfn.XLOOKUP(1,(OPcompte=$A6)*(OPdevise=$B6)*(OPcatégorie=Solde)*(OPdate=$C6),OPmontant,0,0,1))</f>
        <v>0</v>
      </c>
      <c r="F6" s="16" t="n">
        <f aca="false">$E6+SUMIFS(OPmontant,OPcompte,$A6,OPdevise,$B6,OPdate,"&gt;"&amp;$C6,OPdate,"&lt;="&amp;$D6,OPcatégorie,"&lt;&gt;Solde",OPcatégorie,"&lt;&gt;"&amp;Spéciale)</f>
        <v>0</v>
      </c>
      <c r="G6" s="16" t="n">
        <f aca="false">_xlfn.XLOOKUP(1,(OPcompte=$A6)*(OPdevise=$B6)*(OPcatégorie=Solde)*(OPdate=$D6),OPmontant,0,0,-1)</f>
        <v>0</v>
      </c>
      <c r="H6" s="16" t="n">
        <f aca="false">IF(ABS($G6-$F6)&lt;0.015,0,ROUND($G6-$F6,2))</f>
        <v>0</v>
      </c>
      <c r="I6" s="16" t="s">
        <v>248</v>
      </c>
    </row>
    <row r="7" customFormat="false" ht="15" hidden="false" customHeight="true" outlineLevel="0" collapsed="false">
      <c r="A7" s="14" t="str">
        <f aca="false">Avoirs!A8</f>
        <v>Portefeuille DEGIRO Titres</v>
      </c>
      <c r="B7" s="55" t="s">
        <v>95</v>
      </c>
      <c r="C7" s="116" t="n">
        <f aca="false">IF(COUNTIFS(OPcompte,$A7,OPdevise,$B7,OPcatégorie,Solde)&gt;=2,_xlfn.MINIFS(OPdate,OPcompte,$A7,OPdevise,$B7,OPcatégorie,Solde),0)</f>
        <v>0</v>
      </c>
      <c r="D7" s="116" t="n">
        <f aca="false">_xlfn.MAXIFS(OPdate,OPcompte,$A7,OPdevise,$B7,OPcatégorie,Solde)</f>
        <v>0</v>
      </c>
      <c r="E7" s="16" t="n">
        <f aca="false">IF($C7=0,0,_xlfn.XLOOKUP(1,(OPcompte=$A7)*(OPdevise=$B7)*(OPcatégorie=Solde)*(OPdate=$C7),OPmontant,0,0,1))</f>
        <v>0</v>
      </c>
      <c r="F7" s="16" t="n">
        <f aca="false">$E7+SUMIFS(OPmontant,OPcompte,$A7,OPdevise,$B7,OPdate,"&gt;"&amp;$C7,OPdate,"&lt;="&amp;$D7,OPcatégorie,"&lt;&gt;Solde",OPcatégorie,"&lt;&gt;"&amp;Spéciale)</f>
        <v>0</v>
      </c>
      <c r="G7" s="16" t="n">
        <f aca="false">_xlfn.XLOOKUP(1,(OPcompte=$A7)*(OPdevise=$B7)*(OPcatégorie=Solde)*(OPdate=$D7),OPmontant,0,0,-1)</f>
        <v>0</v>
      </c>
      <c r="H7" s="16" t="n">
        <f aca="false">IF(ABS($G7-$F7)&lt;0.015,0,ROUND($G7-$F7,2))</f>
        <v>0</v>
      </c>
      <c r="I7" s="16" t="s">
        <v>248</v>
      </c>
    </row>
    <row r="8" customFormat="false" ht="15" hidden="false" customHeight="true" outlineLevel="0" collapsed="false">
      <c r="A8" s="14" t="str">
        <f aca="false">Avoirs!A9</f>
        <v>Portefeuille eToro USD Titres</v>
      </c>
      <c r="B8" s="55" t="s">
        <v>100</v>
      </c>
      <c r="C8" s="116" t="n">
        <f aca="false">IF(COUNTIFS(OPcompte,$A8,OPdevise,$B8,OPcatégorie,Solde)&gt;=2,_xlfn.MINIFS(OPdate,OPcompte,$A8,OPdevise,$B8,OPcatégorie,Solde),0)</f>
        <v>0</v>
      </c>
      <c r="D8" s="116" t="n">
        <f aca="false">_xlfn.MAXIFS(OPdate,OPcompte,$A8,OPdevise,$B8,OPcatégorie,Solde)</f>
        <v>46050</v>
      </c>
      <c r="E8" s="141" t="n">
        <f aca="false">IF($C8=0,0,_xlfn.XLOOKUP(1,(OPcompte=$A8)*(OPdevise=$B8)*(OPcatégorie=Solde)*(OPdate=$C8),OPmontant,0,0,1))</f>
        <v>0</v>
      </c>
      <c r="F8" s="141" t="n">
        <f aca="false">$E8+SUMIFS(OPmontant,OPcompte,$A8,OPdevise,$B8,OPdate,"&gt;"&amp;$C8,OPdate,"&lt;="&amp;$D8,OPcatégorie,"&lt;&gt;Solde",OPcatégorie,"&lt;&gt;"&amp;Spéciale)</f>
        <v>3732.02</v>
      </c>
      <c r="G8" s="141" t="n">
        <f aca="false">_xlfn.XLOOKUP(1,(OPcompte=$A8)*(OPdevise=$B8)*(OPcatégorie=Solde)*(OPdate=$D8),OPmontant,0,0,-1)</f>
        <v>3549.43</v>
      </c>
      <c r="H8" s="141" t="n">
        <f aca="false">IF(ABS($G8-$F8)&lt;0.015,0,ROUND($G8-$F8,2))</f>
        <v>-182.59</v>
      </c>
      <c r="I8" s="16" t="s">
        <v>248</v>
      </c>
    </row>
    <row r="9" customFormat="false" ht="15" hidden="false" customHeight="true" outlineLevel="0" collapsed="false">
      <c r="A9" s="14" t="str">
        <f aca="false">Avoirs!A10</f>
        <v>Compte Amazon</v>
      </c>
      <c r="B9" s="55" t="s">
        <v>95</v>
      </c>
      <c r="C9" s="116" t="n">
        <f aca="false">IF(COUNTIFS(OPcompte,$A9,OPdevise,$B9,OPcatégorie,Solde)&gt;=2,_xlfn.MINIFS(OPdate,OPcompte,$A9,OPdevise,$B9,OPcatégorie,Solde),0)</f>
        <v>0</v>
      </c>
      <c r="D9" s="116" t="n">
        <f aca="false">_xlfn.MAXIFS(OPdate,OPcompte,$A9,OPdevise,$B9,OPcatégorie,Solde)</f>
        <v>45657</v>
      </c>
      <c r="E9" s="16" t="n">
        <f aca="false">IF($C9=0,0,_xlfn.XLOOKUP(1,(OPcompte=$A9)*(OPdevise=$B9)*(OPcatégorie=Solde)*(OPdate=$C9),OPmontant,0,0,1))</f>
        <v>0</v>
      </c>
      <c r="F9" s="16" t="n">
        <f aca="false">$E9+SUMIFS(OPmontant,OPcompte,$A9,OPdevise,$B9,OPdate,"&gt;"&amp;$C9,OPdate,"&lt;="&amp;$D9,OPcatégorie,"&lt;&gt;Solde",OPcatégorie,"&lt;&gt;"&amp;Spéciale)</f>
        <v>50</v>
      </c>
      <c r="G9" s="16" t="n">
        <f aca="false">_xlfn.XLOOKUP(1,(OPcompte=$A9)*(OPdevise=$B9)*(OPcatégorie=Solde)*(OPdate=$D9),OPmontant,0,0,-1)</f>
        <v>50</v>
      </c>
      <c r="H9" s="16" t="n">
        <f aca="false">IF(ABS($G9-$F9)&lt;0.015,0,ROUND($G9-$F9,2))</f>
        <v>0</v>
      </c>
      <c r="I9" s="16" t="s">
        <v>249</v>
      </c>
    </row>
    <row r="10" customFormat="false" ht="15" hidden="false" customHeight="true" outlineLevel="0" collapsed="false">
      <c r="A10" s="14" t="str">
        <f aca="false">Avoirs!A11</f>
        <v>Compte chèque BB</v>
      </c>
      <c r="B10" s="55" t="s">
        <v>95</v>
      </c>
      <c r="C10" s="116" t="n">
        <f aca="false">IF(COUNTIFS(OPcompte,$A10,OPdevise,$B10,OPcatégorie,Solde)&gt;=2,_xlfn.MINIFS(OPdate,OPcompte,$A10,OPdevise,$B10,OPcatégorie,Solde),0)</f>
        <v>0</v>
      </c>
      <c r="D10" s="116" t="n">
        <f aca="false">_xlfn.MAXIFS(OPdate,OPcompte,$A10,OPdevise,$B10,OPcatégorie,Solde)</f>
        <v>0</v>
      </c>
      <c r="E10" s="16" t="n">
        <f aca="false">IF($C10=0,0,_xlfn.XLOOKUP(1,(OPcompte=$A10)*(OPdevise=$B10)*(OPcatégorie=Solde)*(OPdate=$C10),OPmontant,0,0,1))</f>
        <v>0</v>
      </c>
      <c r="F10" s="16" t="n">
        <f aca="false">$E10+SUMIFS(OPmontant,OPcompte,$A10,OPdevise,$B10,OPdate,"&gt;"&amp;$C10,OPdate,"&lt;="&amp;$D10,OPcatégorie,"&lt;&gt;Solde",OPcatégorie,"&lt;&gt;"&amp;Spéciale)</f>
        <v>0</v>
      </c>
      <c r="G10" s="16" t="n">
        <f aca="false">_xlfn.XLOOKUP(1,(OPcompte=$A10)*(OPdevise=$B10)*(OPcatégorie=Solde)*(OPdate=$D10),OPmontant,0,0,-1)</f>
        <v>0</v>
      </c>
      <c r="H10" s="16" t="n">
        <f aca="false">IF(ABS($G10-$F10)&lt;0.015,0,ROUND($G10-$F10,2))</f>
        <v>0</v>
      </c>
      <c r="I10" s="16" t="s">
        <v>249</v>
      </c>
    </row>
    <row r="11" customFormat="false" ht="15" hidden="false" customHeight="true" outlineLevel="0" collapsed="false">
      <c r="A11" s="14" t="str">
        <f aca="false">Avoirs!A12</f>
        <v>Compte chèque commun</v>
      </c>
      <c r="B11" s="55" t="s">
        <v>95</v>
      </c>
      <c r="C11" s="116" t="n">
        <f aca="false">IF(COUNTIFS(OPcompte,$A11,OPdevise,$B11,OPcatégorie,Solde)&gt;=2,_xlfn.MINIFS(OPdate,OPcompte,$A11,OPdevise,$B11,OPcatégorie,Solde),0)</f>
        <v>44927</v>
      </c>
      <c r="D11" s="116" t="n">
        <f aca="false">_xlfn.MAXIFS(OPdate,OPcompte,$A11,OPdevise,$B11,OPcatégorie,Solde)</f>
        <v>46092</v>
      </c>
      <c r="E11" s="16" t="n">
        <f aca="false">IF($C11=0,0,_xlfn.XLOOKUP(1,(OPcompte=$A11)*(OPdevise=$B11)*(OPcatégorie=Solde)*(OPdate=$C11),OPmontant,0,0,1))</f>
        <v>5000</v>
      </c>
      <c r="F11" s="16" t="n">
        <f aca="false">$E11+SUMIFS(OPmontant,OPcompte,$A11,OPdevise,$B11,OPdate,"&gt;"&amp;$C11,OPdate,"&lt;="&amp;$D11,OPcatégorie,"&lt;&gt;Solde",OPcatégorie,"&lt;&gt;"&amp;Spéciale)</f>
        <v>2881.92</v>
      </c>
      <c r="G11" s="16" t="n">
        <f aca="false">_xlfn.XLOOKUP(1,(OPcompte=$A11)*(OPdevise=$B11)*(OPcatégorie=Solde)*(OPdate=$D11),OPmontant,0,0,-1)</f>
        <v>2881.92</v>
      </c>
      <c r="H11" s="16" t="n">
        <f aca="false">IF(ABS($G11-$F11)&lt;0.015,0,ROUND($G11-$F11,2))</f>
        <v>0</v>
      </c>
      <c r="I11" s="16" t="s">
        <v>249</v>
      </c>
    </row>
    <row r="12" customFormat="false" ht="15" hidden="false" customHeight="true" outlineLevel="0" collapsed="false">
      <c r="A12" s="14" t="str">
        <f aca="false">Avoirs!A13</f>
        <v>Espèces</v>
      </c>
      <c r="B12" s="55" t="s">
        <v>95</v>
      </c>
      <c r="C12" s="116" t="n">
        <f aca="false">IF(COUNTIFS(OPcompte,$A12,OPdevise,$B12,OPcatégorie,Solde)&gt;=2,_xlfn.MINIFS(OPdate,OPcompte,$A12,OPdevise,$B12,OPcatégorie,Solde),0)</f>
        <v>45657</v>
      </c>
      <c r="D12" s="116" t="n">
        <f aca="false">_xlfn.MAXIFS(OPdate,OPcompte,$A12,OPdevise,$B12,OPcatégorie,Solde)</f>
        <v>46084</v>
      </c>
      <c r="E12" s="16" t="n">
        <f aca="false">IF($C12=0,0,_xlfn.XLOOKUP(1,(OPcompte=$A12)*(OPdevise=$B12)*(OPcatégorie=Solde)*(OPdate=$C12),OPmontant,0,0,1))</f>
        <v>2500</v>
      </c>
      <c r="F12" s="16" t="n">
        <f aca="false">$E12+SUMIFS(OPmontant,OPcompte,$A12,OPdevise,$B12,OPdate,"&gt;"&amp;$C12,OPdate,"&lt;="&amp;$D12,OPcatégorie,"&lt;&gt;Solde",OPcatégorie,"&lt;&gt;"&amp;Spéciale)</f>
        <v>7</v>
      </c>
      <c r="G12" s="16" t="n">
        <f aca="false">_xlfn.XLOOKUP(1,(OPcompte=$A12)*(OPdevise=$B12)*(OPcatégorie=Solde)*(OPdate=$D12),OPmontant,0,0,-1)</f>
        <v>7</v>
      </c>
      <c r="H12" s="16" t="n">
        <f aca="false">IF(ABS($G12-$F12)&lt;0.015,0,ROUND($G12-$F12,2))</f>
        <v>0</v>
      </c>
      <c r="I12" s="16" t="s">
        <v>249</v>
      </c>
    </row>
    <row r="13" customFormat="false" ht="15" hidden="false" customHeight="true" outlineLevel="0" collapsed="false">
      <c r="A13" s="14" t="str">
        <f aca="false">Avoirs!A14</f>
        <v>Livret A Barnabé</v>
      </c>
      <c r="B13" s="55" t="s">
        <v>95</v>
      </c>
      <c r="C13" s="116" t="n">
        <f aca="false">IF(COUNTIFS(OPcompte,$A13,OPdevise,$B13,OPcatégorie,Solde)&gt;=2,_xlfn.MINIFS(OPdate,OPcompte,$A13,OPdevise,$B13,OPcatégorie,Solde),0)</f>
        <v>0</v>
      </c>
      <c r="D13" s="116" t="n">
        <f aca="false">_xlfn.MAXIFS(OPdate,OPcompte,$A13,OPdevise,$B13,OPcatégorie,Solde)</f>
        <v>0</v>
      </c>
      <c r="E13" s="16" t="n">
        <f aca="false">IF($C13=0,0,_xlfn.XLOOKUP(1,(OPcompte=$A13)*(OPdevise=$B13)*(OPcatégorie=Solde)*(OPdate=$C13),OPmontant,0,0,1))</f>
        <v>0</v>
      </c>
      <c r="F13" s="16" t="n">
        <f aca="false">$E13+SUMIFS(OPmontant,OPcompte,$A13,OPdevise,$B13,OPdate,"&gt;"&amp;$C13,OPdate,"&lt;="&amp;$D13,OPcatégorie,"&lt;&gt;Solde",OPcatégorie,"&lt;&gt;"&amp;Spéciale)</f>
        <v>0</v>
      </c>
      <c r="G13" s="16" t="n">
        <f aca="false">_xlfn.XLOOKUP(1,(OPcompte=$A13)*(OPdevise=$B13)*(OPcatégorie=Solde)*(OPdate=$D13),OPmontant,0,0,-1)</f>
        <v>0</v>
      </c>
      <c r="H13" s="16" t="n">
        <f aca="false">IF(ABS($G13-$F13)&lt;0.015,0,ROUND($G13-$F13,2))</f>
        <v>0</v>
      </c>
      <c r="I13" s="16" t="s">
        <v>249</v>
      </c>
    </row>
    <row r="14" customFormat="false" ht="15" hidden="false" customHeight="true" outlineLevel="0" collapsed="false">
      <c r="A14" s="14" t="str">
        <f aca="false">Avoirs!A15</f>
        <v>Compte Paypal</v>
      </c>
      <c r="B14" s="55" t="s">
        <v>95</v>
      </c>
      <c r="C14" s="116" t="n">
        <f aca="false">IF(COUNTIFS(OPcompte,$A14,OPdevise,$B14,OPcatégorie,Solde)&gt;=2,_xlfn.MINIFS(OPdate,OPcompte,$A14,OPdevise,$B14,OPcatégorie,Solde),0)</f>
        <v>0</v>
      </c>
      <c r="D14" s="116" t="n">
        <f aca="false">_xlfn.MAXIFS(OPdate,OPcompte,$A14,OPdevise,$B14,OPcatégorie,Solde)</f>
        <v>46091</v>
      </c>
      <c r="E14" s="16" t="n">
        <f aca="false">IF($C14=0,0,_xlfn.XLOOKUP(1,(OPcompte=$A14)*(OPdevise=$B14)*(OPcatégorie=Solde)*(OPdate=$C14),OPmontant,0,0,1))</f>
        <v>0</v>
      </c>
      <c r="F14" s="16" t="n">
        <f aca="false">$E14+SUMIFS(OPmontant,OPcompte,$A14,OPdevise,$B14,OPdate,"&gt;"&amp;$C14,OPdate,"&lt;="&amp;$D14,OPcatégorie,"&lt;&gt;Solde",OPcatégorie,"&lt;&gt;"&amp;Spéciale)</f>
        <v>10</v>
      </c>
      <c r="G14" s="16" t="n">
        <f aca="false">_xlfn.XLOOKUP(1,(OPcompte=$A14)*(OPdevise=$B14)*(OPcatégorie=Solde)*(OPdate=$D14),OPmontant,0,0,-1)</f>
        <v>10</v>
      </c>
      <c r="H14" s="16" t="n">
        <f aca="false">IF(ABS($G14-$F14)&lt;0.015,0,ROUND($G14-$F14,2))</f>
        <v>0</v>
      </c>
      <c r="I14" s="16" t="s">
        <v>249</v>
      </c>
    </row>
    <row r="15" customFormat="false" ht="15" hidden="false" customHeight="true" outlineLevel="0" collapsed="false">
      <c r="A15" s="14" t="str">
        <f aca="false">Avoirs!A16</f>
        <v>Compte Wise EUR</v>
      </c>
      <c r="B15" s="55" t="s">
        <v>95</v>
      </c>
      <c r="C15" s="116" t="n">
        <f aca="false">IF(COUNTIFS(OPcompte,$A15,OPdevise,$B15,OPcatégorie,Solde)&gt;=2,_xlfn.MINIFS(OPdate,OPcompte,$A15,OPdevise,$B15,OPcatégorie,Solde),0)</f>
        <v>0</v>
      </c>
      <c r="D15" s="116" t="n">
        <f aca="false">_xlfn.MAXIFS(OPdate,OPcompte,$A15,OPdevise,$B15,OPcatégorie,Solde)</f>
        <v>0</v>
      </c>
      <c r="E15" s="16" t="n">
        <f aca="false">IF($C15=0,0,_xlfn.XLOOKUP(1,(OPcompte=$A15)*(OPdevise=$B15)*(OPcatégorie=Solde)*(OPdate=$C15),OPmontant,0,0,1))</f>
        <v>0</v>
      </c>
      <c r="F15" s="16" t="n">
        <f aca="false">$E15+SUMIFS(OPmontant,OPcompte,$A15,OPdevise,$B15,OPdate,"&gt;"&amp;$C15,OPdate,"&lt;="&amp;$D15,OPcatégorie,"&lt;&gt;Solde",OPcatégorie,"&lt;&gt;"&amp;Spéciale)</f>
        <v>0</v>
      </c>
      <c r="G15" s="16" t="n">
        <f aca="false">_xlfn.XLOOKUP(1,(OPcompte=$A15)*(OPdevise=$B15)*(OPcatégorie=Solde)*(OPdate=$D15),OPmontant,0,0,-1)</f>
        <v>0</v>
      </c>
      <c r="H15" s="16" t="n">
        <f aca="false">IF(ABS($G15-$F15)&lt;0.015,0,ROUND($G15-$F15,2))</f>
        <v>0</v>
      </c>
      <c r="I15" s="16" t="s">
        <v>249</v>
      </c>
    </row>
    <row r="16" customFormat="false" ht="15" hidden="false" customHeight="true" outlineLevel="0" collapsed="false">
      <c r="A16" s="14" t="str">
        <f aca="false">Avoirs!A17</f>
        <v>Portefeuille DEGIRO Réserve</v>
      </c>
      <c r="B16" s="55" t="s">
        <v>95</v>
      </c>
      <c r="C16" s="116" t="n">
        <f aca="false">IF(COUNTIFS(OPcompte,$A16,OPdevise,$B16,OPcatégorie,Solde)&gt;=2,_xlfn.MINIFS(OPdate,OPcompte,$A16,OPdevise,$B16,OPcatégorie,Solde),0)</f>
        <v>0</v>
      </c>
      <c r="D16" s="116" t="n">
        <f aca="false">_xlfn.MAXIFS(OPdate,OPcompte,$A16,OPdevise,$B16,OPcatégorie,Solde)</f>
        <v>0</v>
      </c>
      <c r="E16" s="16" t="n">
        <f aca="false">IF($C16=0,0,_xlfn.XLOOKUP(1,(OPcompte=$A16)*(OPdevise=$B16)*(OPcatégorie=Solde)*(OPdate=$C16),OPmontant,0,0,1))</f>
        <v>0</v>
      </c>
      <c r="F16" s="16" t="n">
        <f aca="false">$E16+SUMIFS(OPmontant,OPcompte,$A16,OPdevise,$B16,OPdate,"&gt;"&amp;$C16,OPdate,"&lt;="&amp;$D16,OPcatégorie,"&lt;&gt;Solde",OPcatégorie,"&lt;&gt;"&amp;Spéciale)</f>
        <v>0</v>
      </c>
      <c r="G16" s="16" t="n">
        <f aca="false">_xlfn.XLOOKUP(1,(OPcompte=$A16)*(OPdevise=$B16)*(OPcatégorie=Solde)*(OPdate=$D16),OPmontant,0,0,-1)</f>
        <v>0</v>
      </c>
      <c r="H16" s="16" t="n">
        <f aca="false">IF(ABS($G16-$F16)&lt;0.015,0,ROUND($G16-$F16,2))</f>
        <v>0</v>
      </c>
      <c r="I16" s="16" t="s">
        <v>249</v>
      </c>
    </row>
    <row r="17" customFormat="false" ht="15" hidden="false" customHeight="true" outlineLevel="0" collapsed="false">
      <c r="A17" s="14" t="str">
        <f aca="false">Avoirs!A18</f>
        <v>Portefeuille BB Réserve</v>
      </c>
      <c r="B17" s="55" t="s">
        <v>95</v>
      </c>
      <c r="C17" s="116" t="n">
        <f aca="false">IF(COUNTIFS(OPcompte,$A17,OPdevise,$B17,OPcatégorie,Solde)&gt;=2,_xlfn.MINIFS(OPdate,OPcompte,$A17,OPdevise,$B17,OPcatégorie,Solde),0)</f>
        <v>0</v>
      </c>
      <c r="D17" s="116" t="n">
        <f aca="false">_xlfn.MAXIFS(OPdate,OPcompte,$A17,OPdevise,$B17,OPcatégorie,Solde)</f>
        <v>0</v>
      </c>
      <c r="E17" s="16" t="n">
        <f aca="false">IF($C17=0,0,_xlfn.XLOOKUP(1,(OPcompte=$A17)*(OPdevise=$B17)*(OPcatégorie=Solde)*(OPdate=$C17),OPmontant,0,0,1))</f>
        <v>0</v>
      </c>
      <c r="F17" s="16" t="n">
        <f aca="false">$E17+SUMIFS(OPmontant,OPcompte,$A17,OPdevise,$B17,OPdate,"&gt;"&amp;$C17,OPdate,"&lt;="&amp;$D17,OPcatégorie,"&lt;&gt;Solde",OPcatégorie,"&lt;&gt;"&amp;Spéciale)</f>
        <v>0</v>
      </c>
      <c r="G17" s="16" t="n">
        <f aca="false">_xlfn.XLOOKUP(1,(OPcompte=$A17)*(OPdevise=$B17)*(OPcatégorie=Solde)*(OPdate=$D17),OPmontant,0,0,-1)</f>
        <v>0</v>
      </c>
      <c r="H17" s="16" t="n">
        <f aca="false">IF(ABS($G17-$F17)&lt;0.015,0,ROUND($G17-$F17,2))</f>
        <v>0</v>
      </c>
      <c r="I17" s="16" t="s">
        <v>249</v>
      </c>
    </row>
    <row r="18" customFormat="false" ht="15" hidden="false" customHeight="true" outlineLevel="0" collapsed="false">
      <c r="A18" s="14" t="str">
        <f aca="false">Avoirs!A19</f>
        <v>Compte Wise USD</v>
      </c>
      <c r="B18" s="55" t="s">
        <v>100</v>
      </c>
      <c r="C18" s="116" t="n">
        <f aca="false">IF(COUNTIFS(OPcompte,$A18,OPdevise,$B18,OPcatégorie,Solde)&gt;=2,_xlfn.MINIFS(OPdate,OPcompte,$A18,OPdevise,$B18,OPcatégorie,Solde),0)</f>
        <v>0</v>
      </c>
      <c r="D18" s="116" t="n">
        <f aca="false">_xlfn.MAXIFS(OPdate,OPcompte,$A18,OPdevise,$B18,OPcatégorie,Solde)</f>
        <v>0</v>
      </c>
      <c r="E18" s="141" t="n">
        <f aca="false">IF($C18=0,0,_xlfn.XLOOKUP(1,(OPcompte=$A18)*(OPdevise=$B18)*(OPcatégorie=Solde)*(OPdate=$C18),OPmontant,0,0,1))</f>
        <v>0</v>
      </c>
      <c r="F18" s="141" t="n">
        <f aca="false">$E18+SUMIFS(OPmontant,OPcompte,$A18,OPdevise,$B18,OPdate,"&gt;"&amp;$C18,OPdate,"&lt;="&amp;$D18,OPcatégorie,"&lt;&gt;Solde",OPcatégorie,"&lt;&gt;"&amp;Spéciale)</f>
        <v>0</v>
      </c>
      <c r="G18" s="141" t="n">
        <f aca="false">_xlfn.XLOOKUP(1,(OPcompte=$A18)*(OPdevise=$B18)*(OPcatégorie=Solde)*(OPdate=$D18),OPmontant,0,0,-1)</f>
        <v>0</v>
      </c>
      <c r="H18" s="141" t="n">
        <f aca="false">IF(ABS($G18-$F18)&lt;0.015,0,ROUND($G18-$F18,2))</f>
        <v>0</v>
      </c>
      <c r="I18" s="16" t="s">
        <v>249</v>
      </c>
    </row>
    <row r="19" customFormat="false" ht="15" hidden="false" customHeight="true" outlineLevel="0" collapsed="false">
      <c r="A19" s="14" t="str">
        <f aca="false">Avoirs!A20</f>
        <v>Compte Wise SGD</v>
      </c>
      <c r="B19" s="55" t="s">
        <v>112</v>
      </c>
      <c r="C19" s="116" t="n">
        <f aca="false">IF(COUNTIFS(OPcompte,$A19,OPdevise,$B19,OPcatégorie,Solde)&gt;=2,_xlfn.MINIFS(OPdate,OPcompte,$A19,OPdevise,$B19,OPcatégorie,Solde),0)</f>
        <v>0</v>
      </c>
      <c r="D19" s="116" t="n">
        <f aca="false">_xlfn.MAXIFS(OPdate,OPcompte,$A19,OPdevise,$B19,OPcatégorie,Solde)</f>
        <v>0</v>
      </c>
      <c r="E19" s="142" t="n">
        <f aca="false">IF($C19=0,0,_xlfn.XLOOKUP(1,(OPcompte=$A19)*(OPdevise=$B19)*(OPcatégorie=Solde)*(OPdate=$C19),OPmontant,0,0,1))</f>
        <v>0</v>
      </c>
      <c r="F19" s="142" t="n">
        <f aca="false">$E19+SUMIFS(OPmontant,OPcompte,$A19,OPdevise,$B19,OPdate,"&gt;"&amp;$C19,OPdate,"&lt;="&amp;$D19,OPcatégorie,"&lt;&gt;Solde",OPcatégorie,"&lt;&gt;"&amp;Spéciale)</f>
        <v>0</v>
      </c>
      <c r="G19" s="142" t="n">
        <f aca="false">_xlfn.XLOOKUP(1,(OPcompte=$A19)*(OPdevise=$B19)*(OPcatégorie=Solde)*(OPdate=$D19),OPmontant,0,0,-1)</f>
        <v>0</v>
      </c>
      <c r="H19" s="142" t="n">
        <f aca="false">IF(ABS($G19-$F19)&lt;0.015,0,ROUND($G19-$F19,2))</f>
        <v>0</v>
      </c>
      <c r="I19" s="16" t="s">
        <v>249</v>
      </c>
    </row>
    <row r="20" customFormat="false" ht="15" hidden="false" customHeight="true" outlineLevel="0" collapsed="false">
      <c r="A20" s="14" t="str">
        <f aca="false">Avoirs!A21</f>
        <v>Portefeuille eToro USD Réserve</v>
      </c>
      <c r="B20" s="55" t="s">
        <v>100</v>
      </c>
      <c r="C20" s="116" t="n">
        <f aca="false">IF(COUNTIFS(OPcompte,$A20,OPdevise,$B20,OPcatégorie,Solde)&gt;=2,_xlfn.MINIFS(OPdate,OPcompte,$A20,OPdevise,$B20,OPcatégorie,Solde),0)</f>
        <v>45621</v>
      </c>
      <c r="D20" s="116" t="n">
        <f aca="false">_xlfn.MAXIFS(OPdate,OPcompte,$A20,OPdevise,$B20,OPcatégorie,Solde)</f>
        <v>46050</v>
      </c>
      <c r="E20" s="141" t="n">
        <f aca="false">IF($C20=0,0,_xlfn.XLOOKUP(1,(OPcompte=$A20)*(OPdevise=$B20)*(OPcatégorie=Solde)*(OPdate=$C20),OPmontant,0,0,1))</f>
        <v>2500</v>
      </c>
      <c r="F20" s="141" t="n">
        <f aca="false">$E20+SUMIFS(OPmontant,OPcompte,$A20,OPdevise,$B20,OPdate,"&gt;"&amp;$C20,OPdate,"&lt;="&amp;$D20,OPcatégorie,"&lt;&gt;Solde",OPcatégorie,"&lt;&gt;"&amp;Spéciale)</f>
        <v>487.59</v>
      </c>
      <c r="G20" s="141" t="n">
        <f aca="false">_xlfn.XLOOKUP(1,(OPcompte=$A20)*(OPdevise=$B20)*(OPcatégorie=Solde)*(OPdate=$D20),OPmontant,0,0,-1)</f>
        <v>487.59</v>
      </c>
      <c r="H20" s="141" t="n">
        <f aca="false">IF(ABS($G20-$F20)&lt;0.015,0,ROUND($G20-$F20,2))</f>
        <v>0</v>
      </c>
      <c r="I20" s="16" t="s">
        <v>249</v>
      </c>
    </row>
    <row r="21" customFormat="false" ht="15" hidden="false" customHeight="true" outlineLevel="0" collapsed="false">
      <c r="A21" s="14" t="str">
        <f aca="false">Avoirs!A22</f>
        <v>Créance Francine</v>
      </c>
      <c r="B21" s="55" t="s">
        <v>95</v>
      </c>
      <c r="C21" s="116" t="n">
        <f aca="false">IF(COUNTIFS(OPcompte,$A21,OPdevise,$B21,OPcatégorie,Solde)&gt;=2,_xlfn.MINIFS(OPdate,OPcompte,$A21,OPdevise,$B21,OPcatégorie,Solde),0)</f>
        <v>45657</v>
      </c>
      <c r="D21" s="116" t="n">
        <f aca="false">_xlfn.MAXIFS(OPdate,OPcompte,$A21,OPdevise,$B21,OPcatégorie,Solde)</f>
        <v>46058</v>
      </c>
      <c r="E21" s="16" t="n">
        <f aca="false">IF($C21=0,0,_xlfn.XLOOKUP(1,(OPcompte=$A21)*(OPdevise=$B21)*(OPcatégorie=Solde)*(OPdate=$C21),OPmontant,0,0,1))</f>
        <v>10965</v>
      </c>
      <c r="F21" s="16" t="n">
        <f aca="false">$E21+SUMIFS(OPmontant,OPcompte,$A21,OPdevise,$B21,OPdate,"&gt;"&amp;$C21,OPdate,"&lt;="&amp;$D21,OPcatégorie,"&lt;&gt;Solde",OPcatégorie,"&lt;&gt;"&amp;Spéciale)</f>
        <v>9965</v>
      </c>
      <c r="G21" s="16" t="n">
        <f aca="false">_xlfn.XLOOKUP(1,(OPcompte=$A21)*(OPdevise=$B21)*(OPcatégorie=Solde)*(OPdate=$D21),OPmontant,0,0,-1)</f>
        <v>9965</v>
      </c>
      <c r="H21" s="16" t="n">
        <f aca="false">IF(ABS($G21-$F21)&lt;0.015,0,ROUND($G21-$F21,2))</f>
        <v>0</v>
      </c>
      <c r="I21" s="16" t="s">
        <v>249</v>
      </c>
    </row>
    <row r="22" customFormat="false" ht="15" hidden="false" customHeight="true" outlineLevel="0" collapsed="false">
      <c r="A22" s="14" t="str">
        <f aca="false">Avoirs!A23</f>
        <v>BlueWallet BTC</v>
      </c>
      <c r="B22" s="55" t="s">
        <v>116</v>
      </c>
      <c r="C22" s="116" t="n">
        <f aca="false">IF(COUNTIFS(OPcompte,$A22,OPdevise,$B22,OPcatégorie,Solde)&gt;=2,_xlfn.MINIFS(OPdate,OPcompte,$A22,OPdevise,$B22,OPcatégorie,Solde),0)</f>
        <v>44927</v>
      </c>
      <c r="D22" s="116" t="n">
        <f aca="false">_xlfn.MAXIFS(OPdate,OPcompte,$A22,OPdevise,$B22,OPcatégorie,Solde)</f>
        <v>45292</v>
      </c>
      <c r="E22" s="143" t="n">
        <f aca="false">IF($C22=0,0,_xlfn.XLOOKUP(1,(OPcompte=$A22)*(OPdevise=$B22)*(OPcatégorie=Solde)*(OPdate=$C22),OPmontant,0,0,1))</f>
        <v>503110</v>
      </c>
      <c r="F22" s="143" t="n">
        <f aca="false">$E22+SUMIFS(OPmontant,OPcompte,$A22,OPdevise,$B22,OPdate,"&gt;"&amp;$C22,OPdate,"&lt;="&amp;$D22,OPcatégorie,"&lt;&gt;Solde",OPcatégorie,"&lt;&gt;"&amp;Spéciale)</f>
        <v>0</v>
      </c>
      <c r="G22" s="143" t="n">
        <f aca="false">_xlfn.XLOOKUP(1,(OPcompte=$A22)*(OPdevise=$B22)*(OPcatégorie=Solde)*(OPdate=$D22),OPmontant,0,0,-1)</f>
        <v>0</v>
      </c>
      <c r="H22" s="143" t="n">
        <f aca="false">IF(ABS($G22-$F22)&lt;0.015,0,ROUND($G22-$F22,2))</f>
        <v>0</v>
      </c>
      <c r="I22" s="16" t="s">
        <v>249</v>
      </c>
    </row>
    <row r="23" customFormat="false" ht="15" hidden="false" customHeight="true" outlineLevel="0" collapsed="false">
      <c r="A23" s="14" t="str">
        <f aca="false">Avoirs!A24</f>
        <v>Phoenix Lightning BTC</v>
      </c>
      <c r="B23" s="55" t="s">
        <v>116</v>
      </c>
      <c r="C23" s="116" t="n">
        <f aca="false">IF(COUNTIFS(OPcompte,$A23,OPdevise,$B23,OPcatégorie,Solde)&gt;=2,_xlfn.MINIFS(OPdate,OPcompte,$A23,OPdevise,$B23,OPcatégorie,Solde),0)</f>
        <v>0</v>
      </c>
      <c r="D23" s="116" t="n">
        <f aca="false">_xlfn.MAXIFS(OPdate,OPcompte,$A23,OPdevise,$B23,OPcatégorie,Solde)</f>
        <v>45292</v>
      </c>
      <c r="E23" s="143" t="n">
        <f aca="false">IF($C23=0,0,_xlfn.XLOOKUP(1,(OPcompte=$A23)*(OPdevise=$B23)*(OPcatégorie=Solde)*(OPdate=$C23),OPmontant,0,0,1))</f>
        <v>0</v>
      </c>
      <c r="F23" s="143" t="n">
        <f aca="false">$E23+SUMIFS(OPmontant,OPcompte,$A23,OPdevise,$B23,OPdate,"&gt;"&amp;$C23,OPdate,"&lt;="&amp;$D23,OPcatégorie,"&lt;&gt;Solde",OPcatégorie,"&lt;&gt;"&amp;Spéciale)</f>
        <v>278800</v>
      </c>
      <c r="G23" s="143" t="n">
        <f aca="false">_xlfn.XLOOKUP(1,(OPcompte=$A23)*(OPdevise=$B23)*(OPcatégorie=Solde)*(OPdate=$D23),OPmontant,0,0,-1)</f>
        <v>278800</v>
      </c>
      <c r="H23" s="143" t="n">
        <f aca="false">IF(ABS($G23-$F23)&lt;0.015,0,ROUND($G23-$F23,2))</f>
        <v>0</v>
      </c>
      <c r="I23" s="16" t="s">
        <v>249</v>
      </c>
    </row>
    <row r="24" customFormat="false" ht="15" hidden="false" customHeight="true" outlineLevel="0" collapsed="false">
      <c r="A24" s="14" t="str">
        <f aca="false">Avoirs!A25</f>
        <v>Compte Kraken BTC</v>
      </c>
      <c r="B24" s="55" t="s">
        <v>116</v>
      </c>
      <c r="C24" s="116" t="n">
        <f aca="false">IF(COUNTIFS(OPcompte,$A24,OPdevise,$B24,OPcatégorie,Solde)&gt;=2,_xlfn.MINIFS(OPdate,OPcompte,$A24,OPdevise,$B24,OPcatégorie,Solde),0)</f>
        <v>45923</v>
      </c>
      <c r="D24" s="116" t="n">
        <f aca="false">_xlfn.MAXIFS(OPdate,OPcompte,$A24,OPdevise,$B24,OPcatégorie,Solde)</f>
        <v>45967</v>
      </c>
      <c r="E24" s="143" t="n">
        <f aca="false">IF($C24=0,0,_xlfn.XLOOKUP(1,(OPcompte=$A24)*(OPdevise=$B24)*(OPcatégorie=Solde)*(OPdate=$C24),OPmontant,0,0,1))</f>
        <v>51277</v>
      </c>
      <c r="F24" s="143" t="n">
        <f aca="false">$E24+SUMIFS(OPmontant,OPcompte,$A24,OPdevise,$B24,OPdate,"&gt;"&amp;$C24,OPdate,"&lt;="&amp;$D24,OPcatégorie,"&lt;&gt;Solde",OPcatégorie,"&lt;&gt;"&amp;Spéciale)</f>
        <v>51277</v>
      </c>
      <c r="G24" s="143" t="n">
        <f aca="false">_xlfn.XLOOKUP(1,(OPcompte=$A24)*(OPdevise=$B24)*(OPcatégorie=Solde)*(OPdate=$D24),OPmontant,0,0,-1)</f>
        <v>51277</v>
      </c>
      <c r="H24" s="143" t="n">
        <f aca="false">IF(ABS($G24-$F24)&lt;0.015,0,ROUND($G24-$F24,2))</f>
        <v>0</v>
      </c>
      <c r="I24" s="16" t="s">
        <v>249</v>
      </c>
    </row>
    <row r="25" customFormat="false" ht="15" hidden="false" customHeight="true" outlineLevel="0" collapsed="false">
      <c r="A25" s="14" t="str">
        <f aca="false">Avoirs!A26</f>
        <v>Cake Wallet XMR</v>
      </c>
      <c r="B25" s="55" t="s">
        <v>120</v>
      </c>
      <c r="C25" s="116" t="n">
        <f aca="false">IF(COUNTIFS(OPcompte,$A25,OPdevise,$B25,OPcatégorie,Solde)&gt;=2,_xlfn.MINIFS(OPdate,OPcompte,$A25,OPdevise,$B25,OPcatégorie,Solde),0)</f>
        <v>0</v>
      </c>
      <c r="D25" s="116" t="n">
        <f aca="false">_xlfn.MAXIFS(OPdate,OPcompte,$A25,OPdevise,$B25,OPcatégorie,Solde)</f>
        <v>0</v>
      </c>
      <c r="E25" s="144" t="n">
        <f aca="false">IF($C25=0,0,_xlfn.XLOOKUP(1,(OPcompte=$A25)*(OPdevise=$B25)*(OPcatégorie=Solde)*(OPdate=$C25),OPmontant,0,0,1))</f>
        <v>0</v>
      </c>
      <c r="F25" s="144" t="n">
        <f aca="false">$E25+SUMIFS(OPmontant,OPcompte,$A25,OPdevise,$B25,OPdate,"&gt;"&amp;$C25,OPdate,"&lt;="&amp;$D25,OPcatégorie,"&lt;&gt;Solde",OPcatégorie,"&lt;&gt;"&amp;Spéciale)</f>
        <v>0</v>
      </c>
      <c r="G25" s="144" t="n">
        <f aca="false">_xlfn.XLOOKUP(1,(OPcompte=$A25)*(OPdevise=$B25)*(OPcatégorie=Solde)*(OPdate=$D25),OPmontant,0,0,-1)</f>
        <v>0</v>
      </c>
      <c r="H25" s="144" t="n">
        <f aca="false">IF(ABS($G25-$F25)&lt;0.015,0,ROUND($G25-$F25,2))</f>
        <v>0</v>
      </c>
      <c r="I25" s="16" t="s">
        <v>249</v>
      </c>
    </row>
    <row r="26" customFormat="false" ht="16.5" hidden="false" customHeight="true" outlineLevel="0" collapsed="false">
      <c r="A26" s="145" t="s">
        <v>4</v>
      </c>
      <c r="B26" s="146"/>
      <c r="C26" s="146"/>
      <c r="D26" s="146"/>
      <c r="E26" s="146"/>
      <c r="F26" s="147"/>
      <c r="G26" s="148"/>
      <c r="H26" s="148"/>
      <c r="I26" s="146"/>
    </row>
    <row r="27" customFormat="false" ht="17.25" hidden="false" customHeight="true" outlineLevel="0" collapsed="false">
      <c r="A27" s="69"/>
      <c r="B27" s="71"/>
      <c r="C27" s="71"/>
      <c r="D27" s="71"/>
      <c r="E27" s="71"/>
      <c r="F27" s="149"/>
      <c r="G27" s="69"/>
      <c r="H27" s="69"/>
      <c r="I27" s="69"/>
    </row>
    <row r="29" customFormat="false" ht="18.75" hidden="false" customHeight="true" outlineLevel="0" collapsed="false">
      <c r="J29" s="84" t="s">
        <v>250</v>
      </c>
      <c r="K29" s="84"/>
      <c r="L29" s="84"/>
      <c r="M29" s="84"/>
    </row>
    <row r="30" customFormat="false" ht="19.5" hidden="false" customHeight="true" outlineLevel="0" collapsed="false">
      <c r="J30" s="26" t="s">
        <v>251</v>
      </c>
      <c r="K30" s="26" t="s">
        <v>252</v>
      </c>
      <c r="L30" s="26" t="s">
        <v>253</v>
      </c>
      <c r="M30" s="86" t="s">
        <v>95</v>
      </c>
    </row>
    <row r="31" customFormat="false" ht="16.5" hidden="false" customHeight="true" outlineLevel="0" collapsed="false">
      <c r="J31" s="14" t="s">
        <v>4</v>
      </c>
      <c r="K31" s="55"/>
      <c r="L31" s="150"/>
      <c r="M31" s="103"/>
    </row>
    <row r="32" customFormat="false" ht="16.5" hidden="false" customHeight="true" outlineLevel="0" collapsed="false">
      <c r="J32" s="32" t="s">
        <v>254</v>
      </c>
      <c r="K32" s="146" t="str">
        <f aca="false">IF(L32=0,"✓","✗")</f>
        <v>✓</v>
      </c>
      <c r="L32" s="150" t="n">
        <f aca="false">COUNTIFS(CTRL1controle,"Oui")-COUNTIFS(CTRL1controle,"Oui",CTRL1ecart,0)</f>
        <v>0</v>
      </c>
      <c r="M32" s="151" t="n">
        <f aca="false">COUNTIFS(CTRL1devise,M$8,CTRL1controle,"Oui")-COUNTIFS(CTRL1devise,M$8,CTRL1controle,"Oui",CTRL1ecart,0)</f>
        <v>0</v>
      </c>
    </row>
    <row r="33" customFormat="false" ht="16.5" hidden="false" customHeight="true" outlineLevel="0" collapsed="false">
      <c r="J33" s="32" t="s">
        <v>66</v>
      </c>
      <c r="K33" s="146" t="str">
        <f aca="false">IF(L33&gt;0,"✗","✓")</f>
        <v>✓</v>
      </c>
      <c r="L33" s="34" t="n">
        <f aca="false">IF(L34&gt;0,1,0)+IF(L35&gt;0,1,0)+IF(ABS(L36)&gt;=1,1,0)</f>
        <v>0</v>
      </c>
      <c r="M33" s="91"/>
    </row>
    <row r="34" customFormat="false" ht="16.5" hidden="false" customHeight="true" outlineLevel="0" collapsed="false">
      <c r="J34" s="32" t="s">
        <v>255</v>
      </c>
      <c r="K34" s="146"/>
      <c r="L34" s="34" t="n">
        <f aca="false">SUMPRODUCT(ISNUMBER(OPdate)*(OPcatégorie=""))</f>
        <v>0</v>
      </c>
      <c r="M34" s="151"/>
    </row>
    <row r="35" customFormat="false" ht="16.5" hidden="false" customHeight="true" outlineLevel="0" collapsed="false">
      <c r="J35" s="32" t="s">
        <v>256</v>
      </c>
      <c r="K35" s="146"/>
      <c r="L35" s="34" t="n">
        <f aca="false">SUMPRODUCT((COUNTIF(CATnom,OPcatégorie)=0)*(OPcatégorie&lt;&gt;"")*(LEFT(OPcatégorie,1)&lt;&gt;"#"))</f>
        <v>0</v>
      </c>
      <c r="M35" s="151"/>
    </row>
    <row r="36" customFormat="false" ht="16.5" hidden="false" customHeight="true" outlineLevel="0" collapsed="false">
      <c r="J36" s="32" t="s">
        <v>257</v>
      </c>
      <c r="K36" s="146"/>
      <c r="L36" s="91" t="n">
        <f aca="false">ABS(Budget!G$38)+ABS(Budget!I$39-Budget!G$39)+ABS(Budget!C$14)</f>
        <v>0</v>
      </c>
      <c r="M36" s="103" t="n">
        <f aca="false">ROUND(SUMPRODUCT(SUMIFS(OPmontant,OPdevise,M$30,OPcatégorie,CATnom,OPdate,"&gt;"&amp;Budget!$C$2-365))-SUMIFS(OPmontant,OPdevise,M$30,OPcatégorie,"&lt;&gt;"&amp;Spéciale,OPdate,"&gt;"&amp;Budget!$C$2-365),2)</f>
        <v>0</v>
      </c>
    </row>
    <row r="37" customFormat="false" ht="16.5" hidden="false" customHeight="true" outlineLevel="0" collapsed="false">
      <c r="J37" s="32" t="s">
        <v>70</v>
      </c>
      <c r="K37" s="146" t="str">
        <f aca="false">IF(L37&gt;0,"⚠","✓")</f>
        <v>✓</v>
      </c>
      <c r="L37" s="34" t="n">
        <f aca="false">SUM(L38:L40)</f>
        <v>0</v>
      </c>
      <c r="M37" s="91"/>
    </row>
    <row r="38" customFormat="false" ht="16.5" hidden="false" customHeight="true" outlineLevel="0" collapsed="false">
      <c r="J38" s="152" t="s">
        <v>258</v>
      </c>
      <c r="K38" s="146"/>
      <c r="L38" s="34" t="n">
        <f aca="false">COUNTIF(OPdate,"&lt;"&amp;DATE(2020,1,1))+COUNTIF(OPdate,"&gt;"&amp;DATE(année_courante,12,31))</f>
        <v>0</v>
      </c>
      <c r="M38" s="151"/>
    </row>
    <row r="39" customFormat="false" ht="16.5" hidden="false" customHeight="true" outlineLevel="0" collapsed="false">
      <c r="J39" s="152" t="s">
        <v>259</v>
      </c>
      <c r="K39" s="146"/>
      <c r="L39" s="34" t="n">
        <f aca="false">Patrimoine!D54</f>
        <v>0</v>
      </c>
      <c r="M39" s="151"/>
    </row>
    <row r="40" customFormat="false" ht="16.5" hidden="false" customHeight="true" outlineLevel="0" collapsed="false">
      <c r="J40" s="152" t="s">
        <v>260</v>
      </c>
      <c r="K40" s="146"/>
      <c r="L40" s="34" t="n">
        <f aca="false">IF(Cotations!B27="⚠",1,0)</f>
        <v>0</v>
      </c>
      <c r="M40" s="101"/>
    </row>
    <row r="41" customFormat="false" ht="16.5" hidden="false" customHeight="true" outlineLevel="0" collapsed="false">
      <c r="J41" s="32" t="s">
        <v>261</v>
      </c>
      <c r="K41" s="146" t="str">
        <f aca="false">IF(L41=0,"✓","⚠")</f>
        <v>✓</v>
      </c>
      <c r="L41" s="150" t="n">
        <f aca="false">COUNTIFS(OPréf,"-")</f>
        <v>0</v>
      </c>
      <c r="M41" s="103" t="n">
        <f aca="false">COUNTIFS(OPréf,"-",OPdevise,M$30)</f>
        <v>0</v>
      </c>
    </row>
    <row r="42" customFormat="false" ht="16.5" hidden="false" customHeight="true" outlineLevel="0" collapsed="false">
      <c r="J42" s="145" t="s">
        <v>262</v>
      </c>
      <c r="K42" s="146" t="str">
        <f aca="false">IF(L42=0,"✓","⚠")</f>
        <v>✓</v>
      </c>
      <c r="L42" s="150" t="n">
        <f aca="false">3-COUNTIFS(L43:L45,0)</f>
        <v>0</v>
      </c>
      <c r="M42" s="103" t="n">
        <f aca="false">COUNTA($J43:$J45)-COUNTIFS(M43:M45,0)</f>
        <v>1</v>
      </c>
    </row>
    <row r="43" customFormat="false" ht="16.5" hidden="false" customHeight="true" outlineLevel="0" collapsed="false">
      <c r="J43" s="153" t="s">
        <v>263</v>
      </c>
      <c r="K43" s="55"/>
      <c r="L43" s="91" t="n">
        <f aca="false">ROUND(SUMIFS(OPequiv_euro,OPcatégorie,"@Virement"),0)</f>
        <v>0</v>
      </c>
      <c r="M43" s="103" t="n">
        <f aca="false">SUMIFS(OPequiv_euro,OPdevise,M$30,OPcatégorie,"@Virement")</f>
        <v>0</v>
      </c>
    </row>
    <row r="44" customFormat="false" ht="16.5" hidden="false" customHeight="true" outlineLevel="0" collapsed="false">
      <c r="J44" s="153" t="s">
        <v>264</v>
      </c>
      <c r="K44" s="55"/>
      <c r="L44" s="91" t="n">
        <f aca="false">ROUND(SUMIFS(OPequiv_euro,OPcatégorie,"*titres"),0)</f>
        <v>0</v>
      </c>
      <c r="M44" s="103" t="n">
        <f aca="false">SUMIFS(OPequiv_euro,OPdevise,M$30,OPcatégorie,"*titres")</f>
        <v>0</v>
      </c>
    </row>
    <row r="45" customFormat="false" ht="16.5" hidden="false" customHeight="true" outlineLevel="0" collapsed="false">
      <c r="J45" s="153" t="s">
        <v>265</v>
      </c>
      <c r="K45" s="55"/>
      <c r="L45" s="91" t="n">
        <f aca="false">ROUND(SUMIFS(OPequiv_euro,OPcatégorie,"@Change") + SUMIFS(OPequiv_euro,OPcatégorie,"@Achat métaux"),0)</f>
        <v>0</v>
      </c>
      <c r="M45" s="103" t="n">
        <f aca="false">SUMIFS(OPequiv_euro,OPdevise,M$30,OPcatégorie,"@Change")+SUMIFS(OPequiv_euro,OPdevise,M$30,OPcatégorie,"@Achat métaux")</f>
        <v>-2458.08</v>
      </c>
    </row>
    <row r="46" customFormat="false" ht="16.5" hidden="false" customHeight="true" outlineLevel="0" collapsed="false">
      <c r="J46" s="154" t="s">
        <v>266</v>
      </c>
      <c r="K46" s="55"/>
      <c r="L46" s="91" t="n">
        <f aca="false">L43+L44+L45</f>
        <v>0</v>
      </c>
      <c r="M46" s="91" t="n">
        <f aca="false">M43+M44+M45</f>
        <v>-2458.08</v>
      </c>
    </row>
    <row r="47" customFormat="false" ht="16.5" hidden="false" customHeight="true" outlineLevel="0" collapsed="false">
      <c r="J47" s="145" t="s">
        <v>267</v>
      </c>
      <c r="K47" s="146" t="str">
        <f aca="false">IF(L47=0,"✓","✗")</f>
        <v>✓</v>
      </c>
      <c r="L47" s="150" t="n">
        <f aca="false">SUMPRODUCT((COUNTIF(AVRintitulé,OPcompte)=0)*(OPcompte&lt;&gt;""))+SUMPRODUCT(ISNUMBER(OPdate)*(OPcompte="")*(LEFT(OPcatégorie,1)&lt;&gt;"#"))+SUMPRODUCT((COUNTIF(COTcode,OPdevise)=0)*(OPdevise&lt;&gt;""))+SUMPRODUCT(ISNUMBER(OPdate)*(OPdevise="")*(LEFT(OPcatégorie,1)&lt;&gt;"#"))</f>
        <v>0</v>
      </c>
      <c r="M47" s="91"/>
    </row>
    <row r="48" customFormat="false" ht="16.5" hidden="false" customHeight="true" outlineLevel="0" collapsed="false">
      <c r="J48" s="145" t="s">
        <v>268</v>
      </c>
      <c r="K48" s="146" t="str">
        <f aca="false">IF(L48&gt;0,"✗","✓")</f>
        <v>✓</v>
      </c>
      <c r="L48" s="150" t="n">
        <f aca="false">SUM(L49:L50)</f>
        <v>0</v>
      </c>
      <c r="M48" s="91"/>
    </row>
    <row r="49" customFormat="false" ht="16.5" hidden="false" customHeight="true" outlineLevel="0" collapsed="false">
      <c r="J49" s="153" t="s">
        <v>269</v>
      </c>
      <c r="K49" s="146"/>
      <c r="L49" s="150" t="n">
        <f aca="false">IF(Avoirs!L1="✗",1,0)</f>
        <v>0</v>
      </c>
      <c r="M49" s="91"/>
    </row>
    <row r="50" customFormat="false" ht="16.5" hidden="false" customHeight="true" outlineLevel="0" collapsed="false">
      <c r="J50" s="153" t="s">
        <v>270</v>
      </c>
      <c r="K50" s="146"/>
      <c r="L50" s="150" t="n">
        <f aca="false">IF(Plus_value!B3="✗",1,0)</f>
        <v>0</v>
      </c>
      <c r="M50" s="91"/>
    </row>
    <row r="51" customFormat="false" ht="16.5" hidden="false" customHeight="true" outlineLevel="0" collapsed="false">
      <c r="J51" s="14" t="s">
        <v>4</v>
      </c>
      <c r="K51" s="55"/>
      <c r="L51" s="150"/>
      <c r="M51" s="91"/>
    </row>
    <row r="52" customFormat="false" ht="17.25" hidden="false" customHeight="true" outlineLevel="0" collapsed="false">
      <c r="J52" s="69" t="s">
        <v>271</v>
      </c>
      <c r="K52" s="71" t="str">
        <f aca="false">IF(ISNUMBER(FIND("✗",IFERROR(K32,"⚠")&amp;IFERROR(K33,"⚠")&amp;IFERROR(K37,"⚠")&amp;IFERROR(K41,"⚠")&amp;IFERROR(K42,"⚠")&amp;IFERROR(K47,"⚠")&amp;IFERROR(K48,"⚠"))),"✗",IF(ISNUMBER(FIND("⚠",IFERROR(K32,"⚠")&amp;IFERROR(K33,"⚠")&amp;IFERROR(K37,"⚠")&amp;IFERROR(K41,"⚠")&amp;IFERROR(K42,"⚠")&amp;IFERROR(K47,"⚠")&amp;IFERROR(K48,"⚠"))),"⚠","✓"))</f>
        <v>✓</v>
      </c>
      <c r="L52" s="155"/>
      <c r="M52" s="69"/>
    </row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J29:M29"/>
  </mergeCells>
  <conditionalFormatting sqref="L33 L43:L46">
    <cfRule type="cellIs" priority="2" operator="notEqual" aboveAverage="0" equalAverage="0" bottom="0" percent="0" rank="0" text="" dxfId="0">
      <formula>0</formula>
    </cfRule>
  </conditionalFormatting>
  <conditionalFormatting sqref="L31:L32 L37:L42 L47:L51">
    <cfRule type="cellIs" priority="3" operator="notEqual" aboveAverage="0" equalAverage="0" bottom="0" percent="0" rank="0" text="" dxfId="0">
      <formula>0</formula>
    </cfRule>
  </conditionalFormatting>
  <conditionalFormatting sqref="K32">
    <cfRule type="expression" priority="4" aboveAverage="0" equalAverage="0" bottom="0" percent="0" rank="0" text="" dxfId="1">
      <formula>NOT(ISERROR(FIND("✗",INDIRECT("RC",0))))</formula>
    </cfRule>
    <cfRule type="expression" priority="5" aboveAverage="0" equalAverage="0" bottom="0" percent="0" rank="0" text="" dxfId="2">
      <formula>NOT(ISERROR(FIND("⚠",INDIRECT("RC",0))))</formula>
    </cfRule>
  </conditionalFormatting>
  <conditionalFormatting sqref="K41">
    <cfRule type="expression" priority="6" aboveAverage="0" equalAverage="0" bottom="0" percent="0" rank="0" text="" dxfId="1">
      <formula>NOT(ISERROR(FIND("✗",INDIRECT("RC",0))))</formula>
    </cfRule>
    <cfRule type="expression" priority="7" aboveAverage="0" equalAverage="0" bottom="0" percent="0" rank="0" text="" dxfId="2">
      <formula>NOT(ISERROR(FIND("⚠",INDIRECT("RC",0))))</formula>
    </cfRule>
  </conditionalFormatting>
  <conditionalFormatting sqref="A1">
    <cfRule type="expression" priority="8" aboveAverage="0" equalAverage="0" bottom="0" percent="0" rank="0" text="" dxfId="1">
      <formula>NOT(ISERROR(FIND("✗",INDIRECT("RC",0))))</formula>
    </cfRule>
    <cfRule type="expression" priority="9" aboveAverage="0" equalAverage="0" bottom="0" percent="0" rank="0" text="" dxfId="2">
      <formula>NOT(ISERROR(FIND("⚠",INDIRECT("RC",0))))</formula>
    </cfRule>
  </conditionalFormatting>
  <conditionalFormatting sqref="C1">
    <cfRule type="expression" priority="10" aboveAverage="0" equalAverage="0" bottom="0" percent="0" rank="0" text="" dxfId="1">
      <formula>NOT(ISERROR(FIND("✗",INDIRECT("RC",0))))</formula>
    </cfRule>
    <cfRule type="expression" priority="11" aboveAverage="0" equalAverage="0" bottom="0" percent="0" rank="0" text="" dxfId="2">
      <formula>NOT(ISERROR(FIND("⚠",INDIRECT("RC",0))))</formula>
    </cfRule>
  </conditionalFormatting>
  <conditionalFormatting sqref="K42">
    <cfRule type="expression" priority="12" aboveAverage="0" equalAverage="0" bottom="0" percent="0" rank="0" text="" dxfId="1">
      <formula>NOT(ISERROR(FIND("✗",INDIRECT("RC",0))))</formula>
    </cfRule>
    <cfRule type="expression" priority="13" aboveAverage="0" equalAverage="0" bottom="0" percent="0" rank="0" text="" dxfId="2">
      <formula>NOT(ISERROR(FIND("⚠",INDIRECT("RC",0))))</formula>
    </cfRule>
  </conditionalFormatting>
  <conditionalFormatting sqref="K52">
    <cfRule type="expression" priority="14" aboveAverage="0" equalAverage="0" bottom="0" percent="0" rank="0" text="" dxfId="1">
      <formula>NOT(ISERROR(FIND("✗",INDIRECT("RC",0))))</formula>
    </cfRule>
    <cfRule type="expression" priority="15" aboveAverage="0" equalAverage="0" bottom="0" percent="0" rank="0" text="" dxfId="2">
      <formula>NOT(ISERROR(FIND("⚠",INDIRECT("RC",0))))</formula>
    </cfRule>
  </conditionalFormatting>
  <conditionalFormatting sqref="K37">
    <cfRule type="expression" priority="16" aboveAverage="0" equalAverage="0" bottom="0" percent="0" rank="0" text="" dxfId="1">
      <formula>NOT(ISERROR(FIND("✗",INDIRECT("RC",0))))</formula>
    </cfRule>
    <cfRule type="expression" priority="17" aboveAverage="0" equalAverage="0" bottom="0" percent="0" rank="0" text="" dxfId="2">
      <formula>NOT(ISERROR(FIND("⚠",INDIRECT("RC",0))))</formula>
    </cfRule>
  </conditionalFormatting>
  <conditionalFormatting sqref="K47">
    <cfRule type="expression" priority="18" aboveAverage="0" equalAverage="0" bottom="0" percent="0" rank="0" text="" dxfId="1">
      <formula>NOT(ISERROR(FIND("✗",INDIRECT("RC",0))))</formula>
    </cfRule>
    <cfRule type="expression" priority="19" aboveAverage="0" equalAverage="0" bottom="0" percent="0" rank="0" text="" dxfId="2">
      <formula>NOT(ISERROR(FIND("⚠",INDIRECT("RC",0))))</formula>
    </cfRule>
  </conditionalFormatting>
  <conditionalFormatting sqref="K48">
    <cfRule type="expression" priority="20" aboveAverage="0" equalAverage="0" bottom="0" percent="0" rank="0" text="" dxfId="1">
      <formula>NOT(ISERROR(FIND("✗",INDIRECT("RC",0))))</formula>
    </cfRule>
    <cfRule type="expression" priority="21" aboveAverage="0" equalAverage="0" bottom="0" percent="0" rank="0" text="" dxfId="2">
      <formula>NOT(ISERROR(FIND("⚠",INDIRECT("RC",0))))</formula>
    </cfRule>
  </conditionalFormatting>
  <conditionalFormatting sqref="M34:M35">
    <cfRule type="expression" priority="22" aboveAverage="0" equalAverage="0" bottom="0" percent="0" rank="0" text="" dxfId="6">
      <formula>$M$30="EUR"</formula>
    </cfRule>
    <cfRule type="expression" priority="23" aboveAverage="0" equalAverage="0" bottom="0" percent="0" rank="0" text="" dxfId="7">
      <formula>$M$30="XAU"</formula>
    </cfRule>
    <cfRule type="expression" priority="24" aboveAverage="0" equalAverage="0" bottom="0" percent="0" rank="0" text="" dxfId="8">
      <formula>$M$30="OrPr"</formula>
    </cfRule>
    <cfRule type="expression" priority="25" aboveAverage="0" equalAverage="0" bottom="0" percent="0" rank="0" text="" dxfId="9">
      <formula>$M$30="BTC"</formula>
    </cfRule>
    <cfRule type="expression" priority="26" aboveAverage="0" equalAverage="0" bottom="0" percent="0" rank="0" text="" dxfId="10">
      <formula>$M$30="SAT"</formula>
    </cfRule>
    <cfRule type="expression" priority="27" aboveAverage="0" equalAverage="0" bottom="0" percent="0" rank="0" text="" dxfId="11">
      <formula>$M$30="XMR"</formula>
    </cfRule>
    <cfRule type="expression" priority="28" aboveAverage="0" equalAverage="0" bottom="0" percent="0" rank="0" text="" dxfId="12">
      <formula>$M$30="USD"</formula>
    </cfRule>
    <cfRule type="expression" priority="29" aboveAverage="0" equalAverage="0" bottom="0" percent="0" rank="0" text="" dxfId="13">
      <formula>$M$30="SGD"</formula>
    </cfRule>
  </conditionalFormatting>
  <conditionalFormatting sqref="L34">
    <cfRule type="cellIs" priority="30" operator="notEqual" aboveAverage="0" equalAverage="0" bottom="0" percent="0" rank="0" text="" dxfId="0">
      <formula>0</formula>
    </cfRule>
  </conditionalFormatting>
  <conditionalFormatting sqref="L35">
    <cfRule type="cellIs" priority="31" operator="notEqual" aboveAverage="0" equalAverage="0" bottom="0" percent="0" rank="0" text="" dxfId="0">
      <formula>0</formula>
    </cfRule>
  </conditionalFormatting>
  <conditionalFormatting sqref="L36">
    <cfRule type="cellIs" priority="32" operator="notEqual" aboveAverage="0" equalAverage="0" bottom="0" percent="0" rank="0" text="" dxfId="0">
      <formula>0</formula>
    </cfRule>
  </conditionalFormatting>
  <conditionalFormatting sqref="M36">
    <cfRule type="expression" priority="33" aboveAverage="0" equalAverage="0" bottom="0" percent="0" rank="0" text="" dxfId="6">
      <formula>$M$30="EUR"</formula>
    </cfRule>
    <cfRule type="expression" priority="34" aboveAverage="0" equalAverage="0" bottom="0" percent="0" rank="0" text="" dxfId="7">
      <formula>$M$30="XAU"</formula>
    </cfRule>
    <cfRule type="expression" priority="35" aboveAverage="0" equalAverage="0" bottom="0" percent="0" rank="0" text="" dxfId="8">
      <formula>$M$30="OrPr"</formula>
    </cfRule>
    <cfRule type="expression" priority="36" aboveAverage="0" equalAverage="0" bottom="0" percent="0" rank="0" text="" dxfId="9">
      <formula>$M$30="BTC"</formula>
    </cfRule>
    <cfRule type="expression" priority="37" aboveAverage="0" equalAverage="0" bottom="0" percent="0" rank="0" text="" dxfId="10">
      <formula>$M$30="SAT"</formula>
    </cfRule>
    <cfRule type="expression" priority="38" aboveAverage="0" equalAverage="0" bottom="0" percent="0" rank="0" text="" dxfId="11">
      <formula>$M$30="XMR"</formula>
    </cfRule>
    <cfRule type="expression" priority="39" aboveAverage="0" equalAverage="0" bottom="0" percent="0" rank="0" text="" dxfId="12">
      <formula>$M$30="USD"</formula>
    </cfRule>
    <cfRule type="expression" priority="40" aboveAverage="0" equalAverage="0" bottom="0" percent="0" rank="0" text="" dxfId="13">
      <formula>$M$30="SGD"</formula>
    </cfRule>
  </conditionalFormatting>
  <conditionalFormatting sqref="K33">
    <cfRule type="expression" priority="41" aboveAverage="0" equalAverage="0" bottom="0" percent="0" rank="0" text="" dxfId="1">
      <formula>NOT(ISERROR(FIND("✗",INDIRECT("RC",0))))</formula>
    </cfRule>
    <cfRule type="expression" priority="42" aboveAverage="0" equalAverage="0" bottom="0" percent="0" rank="0" text="" dxfId="2">
      <formula>NOT(ISERROR(FIND("⚠",INDIRECT("RC",0))))</formula>
    </cfRule>
  </conditionalFormatting>
  <dataValidations count="2">
    <dataValidation allowBlank="false" errorStyle="stop" operator="between" showDropDown="false" showErrorMessage="false" showInputMessage="false" sqref="M26:M29" type="none">
      <formula1>0</formula1>
      <formula2>0</formula2>
    </dataValidation>
    <dataValidation allowBlank="true" errorStyle="stop" operator="equal" showDropDown="false" showErrorMessage="true" showInputMessage="false" sqref="M30" type="list">
      <formula1>Cotations!$E$4:$E$11</formula1>
      <formula2>0</formula2>
    </dataValidation>
  </dataValidations>
  <printOptions headings="false" gridLines="false" gridLinesSet="true" horizontalCentered="false" verticalCentered="false"/>
  <pageMargins left="1" right="1" top="0.25" bottom="0.402777777777778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Neue,Normal"&amp;11 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J8" activeCellId="0" sqref="J8"/>
    </sheetView>
  </sheetViews>
  <sheetFormatPr defaultColWidth="13.1640625" defaultRowHeight="15" customHeight="true" zeroHeight="false" outlineLevelRow="0" outlineLevelCol="0"/>
  <cols>
    <col collapsed="false" customWidth="true" hidden="false" outlineLevel="0" max="1" min="1" style="74" width="45.77"/>
    <col collapsed="false" customWidth="true" hidden="false" outlineLevel="0" max="3" min="2" style="74" width="9"/>
    <col collapsed="false" customWidth="true" hidden="false" outlineLevel="0" max="4" min="4" style="74" width="10.66"/>
    <col collapsed="false" customWidth="true" hidden="false" outlineLevel="0" max="5" min="5" style="95" width="9"/>
    <col collapsed="false" customWidth="true" hidden="false" outlineLevel="0" max="6" min="6" style="74" width="14.47"/>
    <col collapsed="false" customWidth="true" hidden="false" outlineLevel="0" max="7" min="7" style="74" width="13.44"/>
    <col collapsed="false" customWidth="true" hidden="false" outlineLevel="0" max="8" min="8" style="74" width="27.36"/>
    <col collapsed="false" customWidth="true" hidden="false" outlineLevel="0" max="9" min="9" style="44" width="9.83"/>
    <col collapsed="false" customWidth="true" hidden="false" outlineLevel="0" max="10" min="10" style="44" width="9.52"/>
    <col collapsed="false" customWidth="true" hidden="false" outlineLevel="0" max="11" min="11" style="44" width="3.5"/>
    <col collapsed="false" customWidth="true" hidden="false" outlineLevel="0" max="12" min="12" style="44" width="16.15"/>
    <col collapsed="false" customWidth="false" hidden="false" outlineLevel="0" max="16383" min="13" style="44" width="13.16"/>
    <col collapsed="false" customWidth="true" hidden="false" outlineLevel="0" max="16384" min="16384" style="1" width="11.5"/>
  </cols>
  <sheetData>
    <row r="1" customFormat="false" ht="16.5" hidden="false" customHeight="true" outlineLevel="0" collapsed="false">
      <c r="A1" s="85" t="str">
        <f aca="false">Contrôles!$K$52</f>
        <v>✓</v>
      </c>
      <c r="B1" s="85"/>
      <c r="C1" s="85"/>
      <c r="D1" s="85"/>
      <c r="E1" s="85"/>
      <c r="F1" s="85" t="str">
        <f aca="false">année_courante</f>
        <v>2026</v>
      </c>
      <c r="G1" s="85"/>
      <c r="H1" s="12"/>
    </row>
    <row r="2" customFormat="false" ht="21" hidden="false" customHeight="true" outlineLevel="0" collapsed="false">
      <c r="A2" s="26" t="s">
        <v>272</v>
      </c>
      <c r="B2" s="26" t="s">
        <v>273</v>
      </c>
      <c r="C2" s="26" t="s">
        <v>274</v>
      </c>
      <c r="D2" s="26" t="s">
        <v>275</v>
      </c>
      <c r="E2" s="51" t="s">
        <v>276</v>
      </c>
      <c r="F2" s="51" t="s">
        <v>277</v>
      </c>
      <c r="G2" s="51" t="s">
        <v>91</v>
      </c>
      <c r="H2" s="51" t="s">
        <v>278</v>
      </c>
    </row>
    <row r="3" customFormat="false" ht="14.25" hidden="false" customHeight="true" outlineLevel="0" collapsed="false">
      <c r="A3" s="156" t="s">
        <v>4</v>
      </c>
      <c r="B3" s="157"/>
      <c r="C3" s="157"/>
      <c r="D3" s="157"/>
      <c r="E3" s="55"/>
      <c r="F3" s="16"/>
      <c r="G3" s="16"/>
      <c r="H3" s="16"/>
    </row>
    <row r="4" customFormat="false" ht="16.5" hidden="false" customHeight="true" outlineLevel="0" collapsed="false">
      <c r="A4" s="156" t="s">
        <v>17</v>
      </c>
      <c r="B4" s="157" t="s">
        <v>279</v>
      </c>
      <c r="C4" s="157" t="s">
        <v>280</v>
      </c>
      <c r="D4" s="157" t="n">
        <v>2</v>
      </c>
      <c r="E4" s="55" t="s">
        <v>95</v>
      </c>
      <c r="F4" s="133" t="n">
        <v>1</v>
      </c>
      <c r="G4" s="133"/>
      <c r="H4" s="158"/>
    </row>
    <row r="5" customFormat="false" ht="16.5" hidden="false" customHeight="true" outlineLevel="0" collapsed="false">
      <c r="A5" s="156" t="s">
        <v>281</v>
      </c>
      <c r="B5" s="157" t="s">
        <v>279</v>
      </c>
      <c r="C5" s="157" t="s">
        <v>282</v>
      </c>
      <c r="D5" s="157" t="n">
        <v>2</v>
      </c>
      <c r="E5" s="55" t="s">
        <v>283</v>
      </c>
      <c r="F5" s="133" t="n">
        <v>144.12</v>
      </c>
      <c r="G5" s="159" t="s">
        <v>284</v>
      </c>
      <c r="H5" s="160" t="n">
        <f aca="false">1/F5</f>
        <v>0.00693866222592284</v>
      </c>
    </row>
    <row r="6" customFormat="false" ht="16.5" hidden="false" customHeight="true" outlineLevel="0" collapsed="false">
      <c r="A6" s="156" t="s">
        <v>285</v>
      </c>
      <c r="B6" s="157" t="s">
        <v>286</v>
      </c>
      <c r="C6" s="157" t="s">
        <v>282</v>
      </c>
      <c r="D6" s="157" t="n">
        <v>5</v>
      </c>
      <c r="E6" s="55" t="s">
        <v>122</v>
      </c>
      <c r="F6" s="161" t="n">
        <f aca="false">F$5*1.043</f>
        <v>150.31716</v>
      </c>
      <c r="G6" s="159"/>
      <c r="H6" s="162" t="n">
        <f aca="false">1/F6</f>
        <v>0.00665260040836322</v>
      </c>
    </row>
    <row r="7" customFormat="false" ht="16.5" hidden="false" customHeight="true" outlineLevel="0" collapsed="false">
      <c r="A7" s="156" t="s">
        <v>18</v>
      </c>
      <c r="B7" s="157" t="s">
        <v>279</v>
      </c>
      <c r="C7" s="157" t="s">
        <v>178</v>
      </c>
      <c r="D7" s="157" t="n">
        <v>2</v>
      </c>
      <c r="E7" s="55" t="s">
        <v>287</v>
      </c>
      <c r="F7" s="133" t="n">
        <v>61009</v>
      </c>
      <c r="G7" s="159" t="s">
        <v>284</v>
      </c>
      <c r="H7" s="163" t="n">
        <f aca="false">1/F7</f>
        <v>1.6391024275107E-005</v>
      </c>
    </row>
    <row r="8" customFormat="false" ht="16.5" hidden="false" customHeight="true" outlineLevel="0" collapsed="false">
      <c r="A8" s="156" t="s">
        <v>288</v>
      </c>
      <c r="B8" s="157" t="s">
        <v>286</v>
      </c>
      <c r="C8" s="157" t="s">
        <v>178</v>
      </c>
      <c r="D8" s="157" t="n">
        <v>0</v>
      </c>
      <c r="E8" s="55" t="s">
        <v>116</v>
      </c>
      <c r="F8" s="161" t="n">
        <f aca="false">F$7/100000000</f>
        <v>0.00061009</v>
      </c>
      <c r="G8" s="159"/>
      <c r="H8" s="164" t="n">
        <f aca="false">1/F8</f>
        <v>1639.1024275107</v>
      </c>
    </row>
    <row r="9" customFormat="false" ht="16.5" hidden="false" customHeight="true" outlineLevel="0" collapsed="false">
      <c r="A9" s="156" t="s">
        <v>21</v>
      </c>
      <c r="B9" s="157" t="s">
        <v>279</v>
      </c>
      <c r="C9" s="157" t="s">
        <v>178</v>
      </c>
      <c r="D9" s="157" t="n">
        <v>5</v>
      </c>
      <c r="E9" s="55" t="s">
        <v>120</v>
      </c>
      <c r="F9" s="161" t="n">
        <v>305.02</v>
      </c>
      <c r="G9" s="159" t="s">
        <v>284</v>
      </c>
      <c r="H9" s="165" t="n">
        <f aca="false">1/F9</f>
        <v>0.00327847354271851</v>
      </c>
    </row>
    <row r="10" customFormat="false" ht="16.5" hidden="false" customHeight="true" outlineLevel="0" collapsed="false">
      <c r="A10" s="156" t="s">
        <v>20</v>
      </c>
      <c r="B10" s="157" t="s">
        <v>279</v>
      </c>
      <c r="C10" s="157" t="s">
        <v>280</v>
      </c>
      <c r="D10" s="157" t="n">
        <v>2</v>
      </c>
      <c r="E10" s="55" t="s">
        <v>100</v>
      </c>
      <c r="F10" s="133" t="n">
        <v>0.8635</v>
      </c>
      <c r="G10" s="159" t="s">
        <v>284</v>
      </c>
      <c r="H10" s="166" t="n">
        <f aca="false">1/F10</f>
        <v>1.15807759119861</v>
      </c>
    </row>
    <row r="11" customFormat="false" ht="16.5" hidden="false" customHeight="true" outlineLevel="0" collapsed="false">
      <c r="A11" s="156" t="s">
        <v>19</v>
      </c>
      <c r="B11" s="157" t="s">
        <v>279</v>
      </c>
      <c r="C11" s="157" t="s">
        <v>280</v>
      </c>
      <c r="D11" s="157" t="n">
        <v>2</v>
      </c>
      <c r="E11" s="55" t="s">
        <v>112</v>
      </c>
      <c r="F11" s="133" t="n">
        <v>0.6776</v>
      </c>
      <c r="G11" s="159" t="s">
        <v>284</v>
      </c>
      <c r="H11" s="167" t="n">
        <f aca="false">1/F11</f>
        <v>1.47579693034239</v>
      </c>
    </row>
    <row r="12" customFormat="false" ht="16.5" hidden="false" customHeight="true" outlineLevel="0" collapsed="false">
      <c r="A12" s="156" t="s">
        <v>4</v>
      </c>
      <c r="B12" s="157"/>
      <c r="C12" s="157"/>
      <c r="D12" s="157"/>
      <c r="E12" s="55"/>
      <c r="F12" s="16"/>
      <c r="G12" s="16"/>
      <c r="H12" s="16"/>
    </row>
    <row r="13" customFormat="false" ht="15" hidden="false" customHeight="true" outlineLevel="0" collapsed="false">
      <c r="A13" s="69" t="s">
        <v>289</v>
      </c>
      <c r="B13" s="69" t="str">
        <f aca="false">IF(SUMPRODUCT((COUNTIF(COTcode,PVLdevise)=0)*(PVLdevise&lt;&gt;""))+SUMPRODUCT((COUNTIF(COTcode,AVRdevise)=0)*(AVRdevise&lt;&gt;""))+IFERROR(SUMPRODUCT((COTcode&lt;&gt;"")*(COTcours="")),1)&gt;0,"⚠","✓")</f>
        <v>✓</v>
      </c>
      <c r="C13" s="69"/>
      <c r="D13" s="69"/>
      <c r="E13" s="69"/>
      <c r="F13" s="69"/>
      <c r="G13" s="69"/>
      <c r="H13" s="69"/>
    </row>
    <row r="14" customFormat="false" ht="18" hidden="false" customHeight="true" outlineLevel="0" collapsed="false">
      <c r="F14" s="168"/>
      <c r="G14" s="168"/>
    </row>
    <row r="15" customFormat="false" ht="18" hidden="false" customHeight="true" outlineLevel="0" collapsed="false">
      <c r="F15" s="168"/>
      <c r="G15" s="168"/>
    </row>
    <row r="16" customFormat="false" ht="18" hidden="false" customHeight="true" outlineLevel="0" collapsed="false">
      <c r="F16" s="168"/>
      <c r="G16" s="168"/>
    </row>
    <row r="17" customFormat="false" ht="18" hidden="false" customHeight="true" outlineLevel="0" collapsed="false">
      <c r="F17" s="168"/>
      <c r="G17" s="168"/>
    </row>
    <row r="18" customFormat="false" ht="18" hidden="false" customHeight="true" outlineLevel="0" collapsed="false">
      <c r="F18" s="168"/>
      <c r="G18" s="168"/>
    </row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conditionalFormatting sqref="A1">
    <cfRule type="expression" priority="2" aboveAverage="0" equalAverage="0" bottom="0" percent="0" rank="0" text="" dxfId="1">
      <formula>NOT(ISERROR(FIND("✗",INDIRECT("RC",0))))</formula>
    </cfRule>
    <cfRule type="expression" priority="3" aboveAverage="0" equalAverage="0" bottom="0" percent="0" rank="0" text="" dxfId="2">
      <formula>NOT(ISERROR(FIND("⚠",INDIRECT("RC",0))))</formula>
    </cfRule>
  </conditionalFormatting>
  <conditionalFormatting sqref="B13">
    <cfRule type="expression" priority="4" aboveAverage="0" equalAverage="0" bottom="0" percent="0" rank="0" text="" dxfId="1">
      <formula>NOT(ISERROR(FIND("✗",INDIRECT("RC",0))))</formula>
    </cfRule>
    <cfRule type="expression" priority="5" aboveAverage="0" equalAverage="0" bottom="0" percent="0" rank="0" text="" dxfId="2">
      <formula>NOT(ISERROR(FIND("⚠",INDIRECT("RC",0))))</formula>
    </cfRule>
  </conditionalFormatting>
  <printOptions headings="false" gridLines="false" gridLinesSet="true" horizontalCentered="false" verticalCentered="false"/>
  <pageMargins left="1" right="1" top="0.25" bottom="0.402777777777778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Neue,Normal"&amp;11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2025-02-16T14:51:06Z</dcterms:created>
  <dc:creator>openpyxl</dc:creator>
  <dc:description/>
  <dc:language>fr-FR</dc:language>
  <cp:lastModifiedBy/>
  <dcterms:modified xsi:type="dcterms:W3CDTF">2026-09-13T21:16:52Z</dcterms:modified>
  <cp:revision>1021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