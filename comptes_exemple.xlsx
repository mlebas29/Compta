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59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Contrôles!K$45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08">
        <f>"dont Plus value latente depuis " &amp; YEAR(Plus_value!G3)</f>
        <v/>
      </c>
      <c r="G3" s="308" t="n"/>
      <c r="H3" s="312" t="n"/>
      <c r="I3" s="312" t="n"/>
    </row>
    <row r="4" ht="15.75" customHeight="1" s="304">
      <c r="B4" s="313" t="inlineStr">
        <is>
          <t>TOTAL</t>
        </is>
      </c>
      <c r="C4" s="314">
        <f>COUNTA(AVRintitulé)-2</f>
        <v/>
      </c>
      <c r="D4" s="315">
        <f>Avoirs!L2</f>
        <v/>
      </c>
      <c r="E4" s="316" t="n"/>
      <c r="F4" s="316" t="n"/>
      <c r="G4" s="315">
        <f>Plus_value!E3</f>
        <v/>
      </c>
      <c r="H4" s="317">
        <f>Plus_value!F53</f>
        <v/>
      </c>
      <c r="I4" s="317" t="n"/>
    </row>
    <row r="5" ht="15.75" customHeight="1" s="304">
      <c r="B5" s="318" t="inlineStr">
        <is>
          <t>par type / compte</t>
        </is>
      </c>
      <c r="C5" s="318" t="n"/>
      <c r="D5" s="319" t="n"/>
      <c r="E5" s="316" t="n"/>
      <c r="F5" s="318" t="n"/>
      <c r="G5" s="319" t="n"/>
      <c r="H5" s="316" t="n"/>
      <c r="I5" s="317" t="n"/>
    </row>
    <row r="6" ht="16.5" customHeight="1" s="304">
      <c r="B6" s="320" t="inlineStr">
        <is>
          <t>Biens matériels</t>
        </is>
      </c>
      <c r="C6" s="321">
        <f>COUNTIF(AVRtype,$B6)</f>
        <v/>
      </c>
      <c r="D6" s="322">
        <f>SUMIF(AVRtype,$B6,AVRmontant_solde_euro)</f>
        <v/>
      </c>
      <c r="E6" s="323">
        <f>D6/D$13</f>
        <v/>
      </c>
      <c r="G6" s="324" t="n"/>
    </row>
    <row r="7" ht="16.5" customHeight="1" s="304">
      <c r="B7" s="320" t="inlineStr">
        <is>
          <t>Portefeuilles</t>
        </is>
      </c>
      <c r="C7" s="321">
        <f>COUNTIF(AVRtype,$B7)</f>
        <v/>
      </c>
      <c r="D7" s="322">
        <f>SUMIF(AVRtype,$B7,AVRmontant_solde_euro)</f>
        <v/>
      </c>
      <c r="E7" s="323">
        <f>D7/D$13</f>
        <v/>
      </c>
    </row>
    <row r="8" ht="16.5" customHeight="1" s="304">
      <c r="B8" s="320" t="inlineStr">
        <is>
          <t>Créances</t>
        </is>
      </c>
      <c r="C8" s="321">
        <f>COUNTIF(AVRtype,$B8)</f>
        <v/>
      </c>
      <c r="D8" s="322">
        <f>SUMIF(AVRtype,$B8,AVRmontant_solde_euro)</f>
        <v/>
      </c>
      <c r="E8" s="323">
        <f>D8/D$13</f>
        <v/>
      </c>
    </row>
    <row r="9" ht="16.5" customHeight="1" s="304">
      <c r="B9" s="320" t="inlineStr">
        <is>
          <t>Devises étrangères</t>
        </is>
      </c>
      <c r="C9" s="321">
        <f>COUNTIF(AVRtype,$B9)</f>
        <v/>
      </c>
      <c r="D9" s="322">
        <f>SUMIF(AVRtype,$B9,AVRmontant_solde_euro)</f>
        <v/>
      </c>
      <c r="E9" s="323">
        <f>D9/D$13</f>
        <v/>
      </c>
    </row>
    <row r="10" ht="16.5" customHeight="1" s="304">
      <c r="B10" s="320" t="inlineStr">
        <is>
          <t>Crypto monnaies</t>
        </is>
      </c>
      <c r="C10" s="321">
        <f>COUNTIF(AVRtype,$B10)</f>
        <v/>
      </c>
      <c r="D10" s="322">
        <f>SUMIF(AVRtype,$B10,AVRmontant_solde_euro)</f>
        <v/>
      </c>
      <c r="E10" s="323">
        <f>D10/D$13</f>
        <v/>
      </c>
    </row>
    <row r="11" ht="16.5" customHeight="1" s="304">
      <c r="B11" s="320" t="inlineStr">
        <is>
          <t>Euros</t>
        </is>
      </c>
      <c r="C11" s="321">
        <f>COUNTIF(AVRtype,$B11)</f>
        <v/>
      </c>
      <c r="D11" s="322">
        <f>SUMIF(AVRtype,$B11,AVRmontant_solde_euro)</f>
        <v/>
      </c>
      <c r="E11" s="323">
        <f>D11/D$13</f>
        <v/>
      </c>
      <c r="G11" s="324" t="n"/>
    </row>
    <row r="12" ht="16.5" customHeight="1" s="304">
      <c r="B12" s="320" t="inlineStr">
        <is>
          <t>-</t>
        </is>
      </c>
      <c r="C12" s="321">
        <f>COUNTIF(AVRtype,$B12)</f>
        <v/>
      </c>
      <c r="D12" s="322">
        <f>SUMIF(AVRtype,$B12,AVRmontant_solde_euro)</f>
        <v/>
      </c>
      <c r="E12" s="323">
        <f>D12/D$13</f>
        <v/>
      </c>
      <c r="G12" s="324" t="n"/>
    </row>
    <row r="13" ht="16.5" customHeight="1" s="304">
      <c r="B13" s="325" t="inlineStr">
        <is>
          <t>TOTAL</t>
        </is>
      </c>
      <c r="C13" s="321">
        <f>SUM(C6:C12)</f>
        <v/>
      </c>
      <c r="D13" s="326">
        <f>ROUND(SUM(D6:D12),2)</f>
        <v/>
      </c>
      <c r="E13" s="323" t="n"/>
    </row>
    <row r="14" ht="16.5" customHeight="1" s="304">
      <c r="B14" s="318" t="inlineStr">
        <is>
          <t>par sous-type</t>
        </is>
      </c>
      <c r="C14" s="327" t="n"/>
      <c r="D14" s="328" t="n"/>
      <c r="E14" s="316" t="n"/>
    </row>
    <row r="15" ht="16.5" customHeight="1" s="304">
      <c r="B15" s="320" t="inlineStr">
        <is>
          <t>Foncier</t>
        </is>
      </c>
      <c r="C15" s="321">
        <f>COUNTIF(AVRsous_type,$B15)</f>
        <v/>
      </c>
      <c r="D15" s="322">
        <f>SUMIF(AVRsous_type,B15,AVRmontant_solde_euro)</f>
        <v/>
      </c>
      <c r="E15" s="323">
        <f>D15/D$24</f>
        <v/>
      </c>
      <c r="G15" s="324" t="n"/>
    </row>
    <row r="16" ht="16.5" customHeight="1" s="304">
      <c r="B16" s="320" t="inlineStr">
        <is>
          <t>Titres</t>
        </is>
      </c>
      <c r="C16" s="321">
        <f>COUNTIF(AVRsous_type,$B16)</f>
        <v/>
      </c>
      <c r="D16" s="322">
        <f>SUMIF(AVRsous_type,B16,AVRmontant_solde_euro)</f>
        <v/>
      </c>
      <c r="E16" s="323">
        <f>D16/D$24</f>
        <v/>
      </c>
    </row>
    <row r="17" ht="16.5" customHeight="1" s="304">
      <c r="B17" s="320" t="inlineStr">
        <is>
          <t>Mobilier</t>
        </is>
      </c>
      <c r="C17" s="321">
        <f>COUNTIF(AVRsous_type,$B17)</f>
        <v/>
      </c>
      <c r="D17" s="322">
        <f>SUMIF(AVRsous_type,B17,AVRmontant_solde_euro)</f>
        <v/>
      </c>
      <c r="E17" s="323">
        <f>D17/D$24</f>
        <v/>
      </c>
    </row>
    <row r="18" ht="16.5" customHeight="1" s="304">
      <c r="B18" s="320" t="inlineStr">
        <is>
          <t>Euro</t>
        </is>
      </c>
      <c r="C18" s="321">
        <f>COUNTIF(AVRsous_type,$B18)</f>
        <v/>
      </c>
      <c r="D18" s="322">
        <f>SUMIF(AVRsous_type,B18,AVRmontant_solde_euro)</f>
        <v/>
      </c>
      <c r="E18" s="323">
        <f>D18/D$24</f>
        <v/>
      </c>
    </row>
    <row r="19" ht="16.5" customHeight="1" s="304">
      <c r="B19" s="320" t="inlineStr">
        <is>
          <t>-</t>
        </is>
      </c>
      <c r="C19" s="321">
        <f>COUNTIF(AVRsous_type,$B19)</f>
        <v/>
      </c>
      <c r="D19" s="322">
        <f>SUMIF(AVRsous_type,B19,AVRmontant_solde_euro)</f>
        <v/>
      </c>
      <c r="E19" s="323">
        <f>D19/D$24</f>
        <v/>
      </c>
    </row>
    <row r="20" ht="16.5" customHeight="1" s="304">
      <c r="B20" s="320" t="inlineStr">
        <is>
          <t>Bitcoin</t>
        </is>
      </c>
      <c r="C20" s="321">
        <f>COUNTIF(AVRsous_type,$B20)</f>
        <v/>
      </c>
      <c r="D20" s="322">
        <f>SUMIF(AVRsous_type,$B20,AVRmontant_solde_euro)</f>
        <v/>
      </c>
      <c r="E20" s="323">
        <f>D20/D$24</f>
        <v/>
      </c>
    </row>
    <row r="21" ht="16.5" customHeight="1" s="304">
      <c r="B21" s="320" t="inlineStr">
        <is>
          <t>Dollar Singapour</t>
        </is>
      </c>
      <c r="C21" s="321">
        <f>COUNTIF(AVRsous_type,$B21)</f>
        <v/>
      </c>
      <c r="D21" s="322">
        <f>SUMIF(AVRsous_type,$B21,AVRmontant_solde_euro)</f>
        <v/>
      </c>
      <c r="E21" s="323">
        <f>D21/D$24</f>
        <v/>
      </c>
    </row>
    <row r="22" ht="16.5" customHeight="1" s="304">
      <c r="B22" s="320" t="inlineStr">
        <is>
          <t>Dollar US</t>
        </is>
      </c>
      <c r="C22" s="321">
        <f>COUNTIF(AVRsous_type,$B22)</f>
        <v/>
      </c>
      <c r="D22" s="322">
        <f>SUMIF(AVRsous_type,$B22,AVRmontant_solde_euro)</f>
        <v/>
      </c>
      <c r="E22" s="323">
        <f>D22/D$24</f>
        <v/>
      </c>
    </row>
    <row r="23" ht="16.5" customHeight="1" s="304">
      <c r="B23" s="320" t="inlineStr">
        <is>
          <t>Monero</t>
        </is>
      </c>
      <c r="C23" s="321">
        <f>COUNTIF(AVRsous_type,$B23)</f>
        <v/>
      </c>
      <c r="D23" s="322">
        <f>SUMIF(AVRsous_type,$B23,AVRmontant_solde_euro)</f>
        <v/>
      </c>
      <c r="E23" s="323">
        <f>D23/D$24</f>
        <v/>
      </c>
    </row>
    <row r="24" ht="16.5" customHeight="1" s="304">
      <c r="B24" s="325" t="inlineStr">
        <is>
          <t>TOTAL</t>
        </is>
      </c>
      <c r="C24" s="321">
        <f>SUM(C15:C23)</f>
        <v/>
      </c>
      <c r="D24" s="326">
        <f>ROUND(SUM(D15:D23),2)</f>
        <v/>
      </c>
      <c r="E24" s="323" t="n"/>
    </row>
    <row r="25" ht="16.5" customHeight="1" s="304">
      <c r="B25" s="329" t="inlineStr">
        <is>
          <t>par domiciliation</t>
        </is>
      </c>
      <c r="C25" s="330" t="n"/>
      <c r="D25" s="328" t="n"/>
      <c r="E25" s="316" t="n"/>
    </row>
    <row r="26" ht="16.5" customHeight="1" s="304">
      <c r="B26" s="331" t="inlineStr">
        <is>
          <t>-</t>
        </is>
      </c>
      <c r="C26" s="321">
        <f>COUNTIF(AVRdomiciliation,$B26)</f>
        <v/>
      </c>
      <c r="D26" s="322">
        <f>SUMIF(AVRdomiciliation,$B26,AVRmontant_solde_euro)</f>
        <v/>
      </c>
      <c r="E26" s="323">
        <f>D26/D$41</f>
        <v/>
      </c>
      <c r="G26" s="324" t="n"/>
    </row>
    <row r="27" ht="16.5" customHeight="1" s="304">
      <c r="B27" s="331" t="inlineStr">
        <is>
          <t>Amazon</t>
        </is>
      </c>
      <c r="C27" s="321">
        <f>COUNTIF(AVRdomiciliation,$B27)</f>
        <v/>
      </c>
      <c r="D27" s="322">
        <f>SUMIF(AVRdomiciliation,$B27,AVRmontant_solde_euro)</f>
        <v/>
      </c>
      <c r="E27" s="323">
        <f>D27/D$41</f>
        <v/>
      </c>
      <c r="G27" s="324" t="n"/>
    </row>
    <row r="28" ht="16.5" customHeight="1" s="304">
      <c r="B28" s="331" t="inlineStr">
        <is>
          <t>Auto</t>
        </is>
      </c>
      <c r="C28" s="321">
        <f>COUNTIF(AVRdomiciliation,$B28)</f>
        <v/>
      </c>
      <c r="D28" s="322">
        <f>SUMIF(AVRdomiciliation,$B28,AVRmontant_solde_euro)</f>
        <v/>
      </c>
      <c r="E28" s="323">
        <f>D28/D$41</f>
        <v/>
      </c>
      <c r="G28" s="324" t="n"/>
    </row>
    <row r="29" ht="16.5" customHeight="1" s="304">
      <c r="B29" s="331" t="inlineStr">
        <is>
          <t>Blockchain</t>
        </is>
      </c>
      <c r="C29" s="321">
        <f>COUNTIF(AVRdomiciliation,$B29)</f>
        <v/>
      </c>
      <c r="D29" s="322">
        <f>SUMIF(AVRdomiciliation,$B29,AVRmontant_solde_euro)</f>
        <v/>
      </c>
      <c r="E29" s="323">
        <f>D29/D$41</f>
        <v/>
      </c>
      <c r="G29" s="324" t="n"/>
    </row>
    <row r="30" ht="16.5" customHeight="1" s="304">
      <c r="B30" s="331" t="inlineStr">
        <is>
          <t>BoursoBank</t>
        </is>
      </c>
      <c r="C30" s="321">
        <f>COUNTIF(AVRdomiciliation,$B30)</f>
        <v/>
      </c>
      <c r="D30" s="322">
        <f>SUMIF(AVRdomiciliation,$B30,AVRmontant_solde_euro)</f>
        <v/>
      </c>
      <c r="E30" s="323">
        <f>D30/D$41</f>
        <v/>
      </c>
      <c r="G30" s="324" t="n"/>
    </row>
    <row r="31" ht="16.5" customHeight="1" s="304">
      <c r="B31" s="331" t="inlineStr">
        <is>
          <t>Coffre</t>
        </is>
      </c>
      <c r="C31" s="321">
        <f>COUNTIF(AVRdomiciliation,$B31)</f>
        <v/>
      </c>
      <c r="D31" s="322">
        <f>SUMIF(AVRdomiciliation,$B31,AVRmontant_solde_euro)</f>
        <v/>
      </c>
      <c r="E31" s="323">
        <f>D31/D$41</f>
        <v/>
      </c>
      <c r="G31" s="324" t="n"/>
    </row>
    <row r="32" ht="16.5" customHeight="1" s="304">
      <c r="B32" s="331" t="inlineStr">
        <is>
          <t>DEGIRO</t>
        </is>
      </c>
      <c r="C32" s="321">
        <f>COUNTIF(AVRdomiciliation,$B32)</f>
        <v/>
      </c>
      <c r="D32" s="322">
        <f>SUMIF(AVRdomiciliation,$B32,AVRmontant_solde_euro)</f>
        <v/>
      </c>
      <c r="E32" s="323">
        <f>D32/D$41</f>
        <v/>
      </c>
      <c r="G32" s="324" t="n"/>
    </row>
    <row r="33" ht="16.5" customHeight="1" s="304">
      <c r="B33" s="331" t="inlineStr">
        <is>
          <t>Francine</t>
        </is>
      </c>
      <c r="C33" s="321">
        <f>COUNTIF(AVRdomiciliation,$B33)</f>
        <v/>
      </c>
      <c r="D33" s="322">
        <f>SUMIF(AVRdomiciliation,$B33,AVRmontant_solde_euro)</f>
        <v/>
      </c>
      <c r="E33" s="323">
        <f>D33/D$41</f>
        <v/>
      </c>
      <c r="G33" s="324" t="n"/>
    </row>
    <row r="34" ht="16.5" customHeight="1" s="304">
      <c r="B34" s="331" t="inlineStr">
        <is>
          <t>Kraken</t>
        </is>
      </c>
      <c r="C34" s="321">
        <f>COUNTIF(AVRdomiciliation,$B34)</f>
        <v/>
      </c>
      <c r="D34" s="322">
        <f>SUMIF(AVRdomiciliation,$B34,AVRmontant_solde_euro)</f>
        <v/>
      </c>
      <c r="E34" s="323">
        <f>D34/D$41</f>
        <v/>
      </c>
      <c r="G34" s="324" t="n"/>
    </row>
    <row r="35" ht="16.5" customHeight="1" s="304">
      <c r="B35" s="331" t="inlineStr">
        <is>
          <t>Maison</t>
        </is>
      </c>
      <c r="C35" s="321">
        <f>COUNTIF(AVRdomiciliation,$B35)</f>
        <v/>
      </c>
      <c r="D35" s="322">
        <f>SUMIF(AVRdomiciliation,$B35,AVRmontant_solde_euro)</f>
        <v/>
      </c>
      <c r="E35" s="323">
        <f>D35/D$41</f>
        <v/>
      </c>
      <c r="G35" s="324" t="n"/>
    </row>
    <row r="36" ht="16.5" customHeight="1" s="304">
      <c r="B36" s="331" t="inlineStr">
        <is>
          <t>Natixis</t>
        </is>
      </c>
      <c r="C36" s="321">
        <f>COUNTIF(AVRdomiciliation,$B36)</f>
        <v/>
      </c>
      <c r="D36" s="322">
        <f>SUMIF(AVRdomiciliation,$B36,AVRmontant_solde_euro)</f>
        <v/>
      </c>
      <c r="E36" s="323">
        <f>D36/D$41</f>
        <v/>
      </c>
      <c r="G36" s="324" t="n"/>
    </row>
    <row r="37" ht="16.5" customHeight="1" s="304">
      <c r="B37" s="331" t="inlineStr">
        <is>
          <t>Paypal</t>
        </is>
      </c>
      <c r="C37" s="321">
        <f>COUNTIF(AVRdomiciliation,$B37)</f>
        <v/>
      </c>
      <c r="D37" s="322">
        <f>SUMIF(AVRdomiciliation,$B37,AVRmontant_solde_euro)</f>
        <v/>
      </c>
      <c r="E37" s="323">
        <f>D37/D$41</f>
        <v/>
      </c>
      <c r="G37" s="324" t="n"/>
    </row>
    <row r="38" ht="16.5" customHeight="1" s="304">
      <c r="B38" s="331" t="inlineStr">
        <is>
          <t>Société Générale</t>
        </is>
      </c>
      <c r="C38" s="321">
        <f>COUNTIF(AVRdomiciliation,$B38)</f>
        <v/>
      </c>
      <c r="D38" s="322">
        <f>SUMIF(AVRdomiciliation,$B38,AVRmontant_solde_euro)</f>
        <v/>
      </c>
      <c r="E38" s="323">
        <f>D38/D$41</f>
        <v/>
      </c>
      <c r="G38" s="324" t="n"/>
    </row>
    <row r="39" ht="16.5" customHeight="1" s="304">
      <c r="B39" s="331" t="inlineStr">
        <is>
          <t>Wise</t>
        </is>
      </c>
      <c r="C39" s="321">
        <f>COUNTIF(AVRdomiciliation,$B39)</f>
        <v/>
      </c>
      <c r="D39" s="322">
        <f>SUMIF(AVRdomiciliation,$B39,AVRmontant_solde_euro)</f>
        <v/>
      </c>
      <c r="E39" s="323">
        <f>D39/D$41</f>
        <v/>
      </c>
      <c r="G39" s="324" t="n"/>
    </row>
    <row r="40" ht="16.5" customHeight="1" s="304">
      <c r="B40" s="331" t="inlineStr">
        <is>
          <t>eToro</t>
        </is>
      </c>
      <c r="C40" s="321">
        <f>COUNTIF(AVRdomiciliation,$B40)</f>
        <v/>
      </c>
      <c r="D40" s="322">
        <f>SUMIF(AVRdomiciliation,$B40,AVRmontant_solde_euro)</f>
        <v/>
      </c>
      <c r="E40" s="323">
        <f>D40/D$41</f>
        <v/>
      </c>
      <c r="G40" s="324" t="n"/>
    </row>
    <row r="41" ht="16.5" customHeight="1" s="304">
      <c r="B41" s="325" t="inlineStr">
        <is>
          <t>TOTAL</t>
        </is>
      </c>
      <c r="C41" s="321">
        <f>SUM(C26:C40)</f>
        <v/>
      </c>
      <c r="D41" s="326">
        <f>ROUND(SUM(D26:D40),2)</f>
        <v/>
      </c>
      <c r="E41" s="323" t="n"/>
    </row>
    <row r="42" ht="16.5" customHeight="1" s="304">
      <c r="B42" s="318" t="inlineStr">
        <is>
          <t>par titulaire</t>
        </is>
      </c>
      <c r="C42" s="327" t="n"/>
      <c r="D42" s="328" t="n"/>
      <c r="E42" s="316" t="n"/>
    </row>
    <row r="43" ht="16.5" customHeight="1" s="304">
      <c r="B43" s="320" t="inlineStr">
        <is>
          <t>-</t>
        </is>
      </c>
      <c r="C43" s="321">
        <f>COUNTIF(AVRtitulaire,$B43)</f>
        <v/>
      </c>
      <c r="D43" s="332">
        <f>SUMIF(AVRtitulaire,$B43,AVRmontant_solde_euro)</f>
        <v/>
      </c>
      <c r="E43" s="323">
        <f>D43/D$47</f>
        <v/>
      </c>
    </row>
    <row r="44" ht="16.5" customHeight="1" s="304">
      <c r="B44" s="320" t="inlineStr">
        <is>
          <t>Alice</t>
        </is>
      </c>
      <c r="C44" s="321">
        <f>COUNTIF(AVRtitulaire,$B44)</f>
        <v/>
      </c>
      <c r="D44" s="332">
        <f>SUMIF(AVRtitulaire,$B44,AVRmontant_solde_euro)</f>
        <v/>
      </c>
      <c r="E44" s="323">
        <f>D44/D$47</f>
        <v/>
      </c>
    </row>
    <row r="45" ht="16.5" customHeight="1" s="304">
      <c r="B45" s="320" t="inlineStr">
        <is>
          <t>Barnabé</t>
        </is>
      </c>
      <c r="C45" s="321">
        <f>COUNTIF(AVRtitulaire,$B45)</f>
        <v/>
      </c>
      <c r="D45" s="332">
        <f>SUMIF(AVRtitulaire,$B45,AVRmontant_solde_euro)</f>
        <v/>
      </c>
      <c r="E45" s="323">
        <f>D45/D$47</f>
        <v/>
      </c>
    </row>
    <row r="46" ht="16.5" customHeight="1" s="304">
      <c r="B46" s="320" t="inlineStr">
        <is>
          <t>Commun</t>
        </is>
      </c>
      <c r="C46" s="321">
        <f>COUNTIF(AVRtitulaire,$B46)</f>
        <v/>
      </c>
      <c r="D46" s="332">
        <f>SUMIF(AVRtitulaire,$B46,AVRmontant_solde_euro)</f>
        <v/>
      </c>
      <c r="E46" s="323">
        <f>D46/D$47</f>
        <v/>
      </c>
    </row>
    <row r="47" ht="16.5" customHeight="1" s="304">
      <c r="B47" s="325" t="inlineStr">
        <is>
          <t>TOTAL</t>
        </is>
      </c>
      <c r="C47" s="321">
        <f>SUM(C43:C46)</f>
        <v/>
      </c>
      <c r="D47" s="326">
        <f>ROUND(SUM(D43:D46),2)</f>
        <v/>
      </c>
      <c r="E47" s="323" t="n"/>
    </row>
    <row r="48" ht="13.5" customHeight="1" s="304">
      <c r="B48" s="318" t="inlineStr">
        <is>
          <t>en propriété directe</t>
        </is>
      </c>
      <c r="C48" s="327" t="n"/>
      <c r="D48" s="328" t="n"/>
      <c r="E48" s="316" t="n"/>
    </row>
    <row r="49" ht="13.5" customHeight="1" s="304">
      <c r="B49" s="320" t="inlineStr">
        <is>
          <t>oui</t>
        </is>
      </c>
      <c r="C49" s="321">
        <f>COUNTIF(AVRpropriete,$B49)</f>
        <v/>
      </c>
      <c r="D49" s="322">
        <f>SUMIF(AVRpropriete,B49,AVRmontant_solde_euro)</f>
        <v/>
      </c>
      <c r="E49" s="323">
        <f>D49/D$51</f>
        <v/>
      </c>
      <c r="G49" s="324" t="n"/>
    </row>
    <row r="50" ht="13.5" customHeight="1" s="304">
      <c r="B50" s="320" t="inlineStr">
        <is>
          <t>non</t>
        </is>
      </c>
      <c r="C50" s="321">
        <f>COUNTIF(AVRpropriete,$B50)</f>
        <v/>
      </c>
      <c r="D50" s="322">
        <f>SUMIF(AVRpropriete,B50,AVRmontant_solde_euro)</f>
        <v/>
      </c>
      <c r="E50" s="323">
        <f>D50/D$51</f>
        <v/>
      </c>
      <c r="G50" s="324" t="inlineStr">
        <is>
          <t>Banques ou tiers de confiance</t>
        </is>
      </c>
    </row>
    <row r="51" ht="13.5" customHeight="1" s="304">
      <c r="B51" s="325" t="inlineStr">
        <is>
          <t>TOTAL</t>
        </is>
      </c>
      <c r="C51" s="321">
        <f>SUM(C49:C50)</f>
        <v/>
      </c>
      <c r="D51" s="326">
        <f>ROUND(SUM(D49:D50),2)</f>
        <v/>
      </c>
      <c r="E51" s="323" t="n"/>
    </row>
    <row r="55" ht="15.75" customHeight="1" s="304">
      <c r="J55" s="333" t="n"/>
      <c r="K55" s="334" t="inlineStr">
        <is>
          <t>Conventions d’affichage pour tous les onglets</t>
        </is>
      </c>
      <c r="L55" s="335" t="n"/>
      <c r="M55" s="336" t="n"/>
    </row>
    <row r="56" ht="15.75" customHeight="1" s="304">
      <c r="J56" s="333" t="n"/>
      <c r="K56" s="333" t="n"/>
      <c r="L56" s="333" t="n"/>
      <c r="M56" s="336" t="n"/>
    </row>
    <row r="57" ht="15.75" customHeight="1" s="304">
      <c r="J57" s="333" t="n"/>
      <c r="K57" s="337" t="n">
        <v>22.01</v>
      </c>
      <c r="L57" s="338" t="n"/>
      <c r="M57" s="339" t="inlineStr">
        <is>
          <t>Les valeurs à saisir (resaisir) sont en bleu …</t>
        </is>
      </c>
    </row>
    <row r="58" ht="15.75" customHeight="1" s="304">
      <c r="J58" s="333" t="n"/>
      <c r="K58" s="340" t="n">
        <v>22.01</v>
      </c>
      <c r="L58" s="341" t="n"/>
      <c r="M58" s="335" t="inlineStr">
        <is>
          <t>… les autres sont en noir, comme les résultats de calcul</t>
        </is>
      </c>
    </row>
    <row r="59" ht="15.75" customHeight="1" s="304">
      <c r="J59" s="333" t="n"/>
      <c r="K59" s="342" t="n">
        <v>22.01</v>
      </c>
      <c r="L59" s="341" t="n"/>
      <c r="M59" s="339" t="inlineStr">
        <is>
          <t xml:space="preserve">Certaines cellules objet de contrôles sont encadrées … </t>
        </is>
      </c>
    </row>
    <row r="60" ht="15.75" customHeight="1" s="304">
      <c r="J60" s="333" t="n"/>
      <c r="K60" s="343" t="n">
        <v>22.01</v>
      </c>
      <c r="L60" s="341" t="n"/>
      <c r="M60" s="339" t="inlineStr">
        <is>
          <t>… et changent de couleur en cas d’erreur</t>
        </is>
      </c>
    </row>
    <row r="61" ht="15.75" customHeight="1" s="304">
      <c r="J61" s="333" t="n"/>
      <c r="K61" s="344" t="n">
        <v>22.01</v>
      </c>
      <c r="L61" s="341" t="n"/>
      <c r="M61" s="339" t="inlineStr">
        <is>
          <t>Les devises étrangères ont un fond gris</t>
        </is>
      </c>
    </row>
    <row r="62" ht="15.75" customHeight="1" s="304">
      <c r="J62" s="333" t="n"/>
      <c r="K62" s="345" t="n">
        <v>22.01</v>
      </c>
      <c r="L62" s="341" t="n"/>
      <c r="M62" s="339" t="inlineStr">
        <is>
          <t>Fond jaune – signalement</t>
        </is>
      </c>
    </row>
    <row r="63" ht="12.75" customHeight="1" s="304">
      <c r="J63" s="333" t="n"/>
      <c r="K63" s="333" t="n"/>
      <c r="L63" s="333" t="n"/>
      <c r="M63" s="336" t="n"/>
    </row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6" min="1" max="1"/>
    <col width="20.83" customWidth="1" style="346" min="2" max="2"/>
    <col width="17.52" customWidth="1" style="346" min="3" max="3"/>
    <col width="15.13" customWidth="1" style="347" min="4" max="4"/>
    <col width="9.52" customWidth="1" style="347" min="5" max="5"/>
    <col width="10.66" customWidth="1" style="347" min="6" max="6"/>
    <col width="10.16" customWidth="1" style="347" min="7" max="7"/>
    <col width="7" customWidth="1" style="347" min="8" max="8"/>
    <col width="14.16" customWidth="1" style="346" min="9" max="9"/>
    <col width="12.15" customWidth="1" style="347" min="10" max="10"/>
    <col width="15.85" customWidth="1" style="347" min="11" max="11"/>
    <col width="16.16" customWidth="1" style="346" min="12" max="12"/>
    <col width="27.5" customWidth="1" style="346" min="13" max="13"/>
    <col width="15" customWidth="1" style="346" min="14" max="14"/>
    <col width="22" customWidth="1" style="346" min="15" max="15"/>
    <col width="17.16" customWidth="1" style="346" min="16" max="16"/>
    <col width="7" customWidth="1" style="346" min="17" max="17"/>
    <col width="9.67" customWidth="1" style="346" min="18" max="16382"/>
  </cols>
  <sheetData>
    <row r="1" ht="16.5" customHeight="1" s="304">
      <c r="A1" s="348" t="n">
        <v>2026</v>
      </c>
      <c r="B1" s="349" t="inlineStr">
        <is>
          <t>Inventaire des avoirs bancaires, créances, espèces, valeurs précieuses, mobiliers, fonciers.</t>
        </is>
      </c>
      <c r="C1" s="350" t="n"/>
      <c r="D1" s="351" t="n"/>
      <c r="E1" s="351" t="n"/>
      <c r="F1" s="351" t="n"/>
      <c r="G1" s="351" t="n"/>
      <c r="H1" s="351" t="n"/>
      <c r="I1" s="352" t="n"/>
      <c r="J1" s="351" t="n"/>
      <c r="K1" s="351" t="n"/>
      <c r="L1" s="353" t="n"/>
    </row>
    <row r="2" ht="16.5" customHeight="1" s="304">
      <c r="A2" s="354">
        <f>Contrôles!K$45</f>
        <v/>
      </c>
      <c r="B2" s="355" t="n"/>
      <c r="C2" s="308" t="n"/>
      <c r="D2" s="314" t="n"/>
      <c r="E2" s="314" t="n"/>
      <c r="F2" s="356" t="n"/>
      <c r="G2" s="356" t="n"/>
      <c r="H2" s="349" t="inlineStr">
        <is>
          <t>Antériorité</t>
        </is>
      </c>
      <c r="I2" s="357" t="n"/>
      <c r="J2" s="349" t="inlineStr">
        <is>
          <t>Date et solde courant</t>
        </is>
      </c>
      <c r="K2" s="357" t="n"/>
      <c r="L2" s="358">
        <f>L32</f>
        <v/>
      </c>
    </row>
    <row r="3" ht="33.7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61" t="inlineStr">
        <is>
          <t>Sous-type</t>
        </is>
      </c>
      <c r="E3" s="362" t="inlineStr">
        <is>
          <t>Devise</t>
        </is>
      </c>
      <c r="F3" s="361" t="inlineStr">
        <is>
          <t>Titulaire</t>
        </is>
      </c>
      <c r="G3" s="361" t="inlineStr">
        <is>
          <t>Propriété</t>
        </is>
      </c>
      <c r="H3" s="361" t="inlineStr">
        <is>
          <t>Date</t>
        </is>
      </c>
      <c r="I3" s="363" t="inlineStr">
        <is>
          <t>Montant</t>
        </is>
      </c>
      <c r="J3" s="357" t="inlineStr">
        <is>
          <t>Date</t>
        </is>
      </c>
      <c r="K3" s="364" t="inlineStr">
        <is>
          <t>Montant</t>
        </is>
      </c>
      <c r="L3" s="364" t="inlineStr">
        <is>
          <t>Montant €</t>
        </is>
      </c>
    </row>
    <row r="4" ht="14.25" customHeight="1" s="304">
      <c r="A4" s="365" t="inlineStr">
        <is>
          <t>✓</t>
        </is>
      </c>
      <c r="B4" s="366" t="n"/>
      <c r="C4" s="367" t="n"/>
      <c r="D4" s="368" t="n"/>
      <c r="E4" s="368" t="n"/>
      <c r="F4" s="369" t="n"/>
      <c r="G4" s="368" t="n"/>
      <c r="H4" s="368" t="n"/>
      <c r="I4" s="368" t="n"/>
      <c r="J4" s="368" t="n"/>
      <c r="K4" s="368" t="n"/>
      <c r="L4" s="368" t="n"/>
    </row>
    <row r="5" ht="14.25" customHeight="1" s="304">
      <c r="A5" s="365" t="inlineStr">
        <is>
          <t>Assurance vie Alice</t>
        </is>
      </c>
      <c r="B5" s="366" t="inlineStr">
        <is>
          <t>Portefeuilles</t>
        </is>
      </c>
      <c r="C5" s="367" t="inlineStr">
        <is>
          <t>Société Générale</t>
        </is>
      </c>
      <c r="D5" s="368" t="inlineStr">
        <is>
          <t>Titres</t>
        </is>
      </c>
      <c r="E5" s="368" t="inlineStr">
        <is>
          <t>EUR</t>
        </is>
      </c>
      <c r="F5" s="369" t="inlineStr">
        <is>
          <t>Alice</t>
        </is>
      </c>
      <c r="G5" s="370" t="inlineStr">
        <is>
          <t>non</t>
        </is>
      </c>
      <c r="H5" s="371" t="n">
        <v>40664</v>
      </c>
      <c r="I5" s="372" t="n">
        <v>210000</v>
      </c>
      <c r="J5" s="373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4.25" customHeight="1" s="304">
      <c r="A6" s="365" t="inlineStr">
        <is>
          <t>PEE Alice</t>
        </is>
      </c>
      <c r="B6" s="366" t="inlineStr">
        <is>
          <t>Portefeuilles</t>
        </is>
      </c>
      <c r="C6" s="367" t="inlineStr">
        <is>
          <t>Natixis</t>
        </is>
      </c>
      <c r="D6" s="368" t="inlineStr">
        <is>
          <t>Titres</t>
        </is>
      </c>
      <c r="E6" s="368" t="inlineStr">
        <is>
          <t>EUR</t>
        </is>
      </c>
      <c r="F6" s="369" t="inlineStr">
        <is>
          <t>Alice</t>
        </is>
      </c>
      <c r="G6" s="370" t="inlineStr">
        <is>
          <t>non</t>
        </is>
      </c>
      <c r="H6" s="370" t="n"/>
      <c r="I6" s="370" t="n"/>
      <c r="J6" s="373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4.25" customHeight="1" s="304">
      <c r="A7" s="365" t="inlineStr">
        <is>
          <t>Portefeuille BB Titres</t>
        </is>
      </c>
      <c r="B7" s="366" t="inlineStr">
        <is>
          <t>Portefeuilles</t>
        </is>
      </c>
      <c r="C7" s="367" t="inlineStr">
        <is>
          <t>BoursoBank</t>
        </is>
      </c>
      <c r="D7" s="368" t="inlineStr">
        <is>
          <t>Titres</t>
        </is>
      </c>
      <c r="E7" s="368" t="inlineStr">
        <is>
          <t>EUR</t>
        </is>
      </c>
      <c r="F7" s="369" t="inlineStr">
        <is>
          <t>Barnabé</t>
        </is>
      </c>
      <c r="G7" s="370" t="inlineStr">
        <is>
          <t>non</t>
        </is>
      </c>
      <c r="H7" s="371" t="n">
        <v>45485</v>
      </c>
      <c r="I7" s="370" t="n"/>
      <c r="J7" s="373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4.25" customHeight="1" s="304">
      <c r="A8" s="365" t="inlineStr">
        <is>
          <t>Portefeuille DEGIRO Titres</t>
        </is>
      </c>
      <c r="B8" s="366" t="inlineStr">
        <is>
          <t>Portefeuilles</t>
        </is>
      </c>
      <c r="C8" s="367" t="inlineStr">
        <is>
          <t>DEGIRO</t>
        </is>
      </c>
      <c r="D8" s="368" t="inlineStr">
        <is>
          <t>Titres</t>
        </is>
      </c>
      <c r="E8" s="368" t="inlineStr">
        <is>
          <t>EUR</t>
        </is>
      </c>
      <c r="F8" s="369" t="inlineStr">
        <is>
          <t>Barnabé</t>
        </is>
      </c>
      <c r="G8" s="370" t="inlineStr">
        <is>
          <t>non</t>
        </is>
      </c>
      <c r="H8" s="371" t="n">
        <v>45617</v>
      </c>
      <c r="I8" s="370" t="n"/>
      <c r="J8" s="373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4.25" customHeight="1" s="304">
      <c r="A9" s="365" t="inlineStr">
        <is>
          <t>Portefeuille eToro USD Titres</t>
        </is>
      </c>
      <c r="B9" s="366" t="inlineStr">
        <is>
          <t>Portefeuilles</t>
        </is>
      </c>
      <c r="C9" s="367" t="inlineStr">
        <is>
          <t>eToro</t>
        </is>
      </c>
      <c r="D9" s="368" t="inlineStr">
        <is>
          <t>Titres</t>
        </is>
      </c>
      <c r="E9" s="368" t="inlineStr">
        <is>
          <t>USD</t>
        </is>
      </c>
      <c r="F9" s="369" t="inlineStr">
        <is>
          <t>Barnabé</t>
        </is>
      </c>
      <c r="G9" s="370" t="inlineStr">
        <is>
          <t>non</t>
        </is>
      </c>
      <c r="H9" s="371" t="n">
        <v>45622</v>
      </c>
      <c r="I9" s="370" t="n"/>
      <c r="J9" s="373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4.25" customHeight="1" s="304">
      <c r="A10" s="365" t="inlineStr">
        <is>
          <t>Compte Amazon</t>
        </is>
      </c>
      <c r="B10" s="366" t="inlineStr">
        <is>
          <t>Euros</t>
        </is>
      </c>
      <c r="C10" s="367" t="inlineStr">
        <is>
          <t>Amazon</t>
        </is>
      </c>
      <c r="D10" s="368" t="inlineStr">
        <is>
          <t>Euro</t>
        </is>
      </c>
      <c r="E10" s="368" t="inlineStr">
        <is>
          <t>EUR</t>
        </is>
      </c>
      <c r="F10" s="369" t="inlineStr">
        <is>
          <t>Barnabé</t>
        </is>
      </c>
      <c r="G10" s="370" t="inlineStr">
        <is>
          <t>non</t>
        </is>
      </c>
      <c r="H10" s="370" t="n"/>
      <c r="I10" s="370" t="n"/>
      <c r="J10" s="373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4.25" customHeight="1" s="304">
      <c r="A11" s="365" t="inlineStr">
        <is>
          <t>Compte chèque BB</t>
        </is>
      </c>
      <c r="B11" s="366" t="inlineStr">
        <is>
          <t>Euros</t>
        </is>
      </c>
      <c r="C11" s="367" t="inlineStr">
        <is>
          <t>BoursoBank</t>
        </is>
      </c>
      <c r="D11" s="368" t="inlineStr">
        <is>
          <t>Euro</t>
        </is>
      </c>
      <c r="E11" s="368" t="inlineStr">
        <is>
          <t>EUR</t>
        </is>
      </c>
      <c r="F11" s="369" t="inlineStr">
        <is>
          <t>Barnabé</t>
        </is>
      </c>
      <c r="G11" s="370" t="inlineStr">
        <is>
          <t>non</t>
        </is>
      </c>
      <c r="H11" s="371" t="n">
        <v>45292</v>
      </c>
      <c r="I11" s="370" t="n"/>
      <c r="J11" s="373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4.25" customHeight="1" s="304">
      <c r="A12" s="365" t="inlineStr">
        <is>
          <t>Compte chèque commun</t>
        </is>
      </c>
      <c r="B12" s="366" t="inlineStr">
        <is>
          <t>Euros</t>
        </is>
      </c>
      <c r="C12" s="367" t="inlineStr">
        <is>
          <t>Société Générale</t>
        </is>
      </c>
      <c r="D12" s="368" t="inlineStr">
        <is>
          <t>Euro</t>
        </is>
      </c>
      <c r="E12" s="368" t="inlineStr">
        <is>
          <t>EUR</t>
        </is>
      </c>
      <c r="F12" s="369" t="inlineStr">
        <is>
          <t>Commun</t>
        </is>
      </c>
      <c r="G12" s="370" t="inlineStr">
        <is>
          <t>non</t>
        </is>
      </c>
      <c r="H12" s="371" t="n">
        <v>28126</v>
      </c>
      <c r="I12" s="370" t="n"/>
      <c r="J12" s="373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4.25" customHeight="1" s="304">
      <c r="A13" s="365" t="inlineStr">
        <is>
          <t>Espèces</t>
        </is>
      </c>
      <c r="B13" s="366" t="inlineStr">
        <is>
          <t>Euros</t>
        </is>
      </c>
      <c r="C13" s="367" t="inlineStr">
        <is>
          <t>Maison</t>
        </is>
      </c>
      <c r="D13" s="368" t="inlineStr">
        <is>
          <t>Euro</t>
        </is>
      </c>
      <c r="E13" s="368" t="inlineStr">
        <is>
          <t>EUR</t>
        </is>
      </c>
      <c r="F13" s="369" t="inlineStr">
        <is>
          <t>Commun</t>
        </is>
      </c>
      <c r="G13" s="370" t="inlineStr">
        <is>
          <t>oui</t>
        </is>
      </c>
      <c r="H13" s="370" t="n"/>
      <c r="I13" s="370" t="n"/>
      <c r="J13" s="373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4.25" customHeight="1" s="304">
      <c r="A14" s="365" t="inlineStr">
        <is>
          <t>Livret A Barnabé</t>
        </is>
      </c>
      <c r="B14" s="366" t="inlineStr">
        <is>
          <t>Euros</t>
        </is>
      </c>
      <c r="C14" s="367" t="inlineStr">
        <is>
          <t>Société Générale</t>
        </is>
      </c>
      <c r="D14" s="368" t="inlineStr">
        <is>
          <t>Euro</t>
        </is>
      </c>
      <c r="E14" s="368" t="inlineStr">
        <is>
          <t>EUR</t>
        </is>
      </c>
      <c r="F14" s="369" t="inlineStr">
        <is>
          <t>Barnabé</t>
        </is>
      </c>
      <c r="G14" s="370" t="inlineStr">
        <is>
          <t>non</t>
        </is>
      </c>
      <c r="H14" s="370" t="n"/>
      <c r="I14" s="370" t="n"/>
      <c r="J14" s="373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4.25" customHeight="1" s="304">
      <c r="A15" s="365" t="inlineStr">
        <is>
          <t>Compte Paypal</t>
        </is>
      </c>
      <c r="B15" s="366" t="inlineStr">
        <is>
          <t>Euros</t>
        </is>
      </c>
      <c r="C15" s="367" t="inlineStr">
        <is>
          <t>Paypal</t>
        </is>
      </c>
      <c r="D15" s="368" t="inlineStr">
        <is>
          <t>Euro</t>
        </is>
      </c>
      <c r="E15" s="368" t="inlineStr">
        <is>
          <t>EUR</t>
        </is>
      </c>
      <c r="F15" s="369" t="inlineStr">
        <is>
          <t>Barnabé</t>
        </is>
      </c>
      <c r="G15" s="370" t="inlineStr">
        <is>
          <t>non</t>
        </is>
      </c>
      <c r="H15" s="370" t="n"/>
      <c r="I15" s="370" t="n"/>
      <c r="J15" s="373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4.25" customHeight="1" s="304">
      <c r="A16" s="365" t="inlineStr">
        <is>
          <t>Compte Wise EUR</t>
        </is>
      </c>
      <c r="B16" s="366" t="inlineStr">
        <is>
          <t>Euros</t>
        </is>
      </c>
      <c r="C16" s="367" t="inlineStr">
        <is>
          <t>Wise</t>
        </is>
      </c>
      <c r="D16" s="368" t="inlineStr">
        <is>
          <t>Euro</t>
        </is>
      </c>
      <c r="E16" s="368" t="inlineStr">
        <is>
          <t>EUR</t>
        </is>
      </c>
      <c r="F16" s="369" t="inlineStr">
        <is>
          <t>Barnabé</t>
        </is>
      </c>
      <c r="G16" s="370" t="inlineStr">
        <is>
          <t>non</t>
        </is>
      </c>
      <c r="H16" s="371" t="n">
        <v>45627</v>
      </c>
      <c r="I16" s="370" t="n"/>
      <c r="J16" s="373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4.25" customHeight="1" s="304">
      <c r="A17" s="365" t="inlineStr">
        <is>
          <t>Portefeuille DEGIRO Réserve</t>
        </is>
      </c>
      <c r="B17" s="366" t="inlineStr">
        <is>
          <t>Euros</t>
        </is>
      </c>
      <c r="C17" s="367" t="inlineStr">
        <is>
          <t>DEGIRO</t>
        </is>
      </c>
      <c r="D17" s="368" t="inlineStr">
        <is>
          <t>Euro</t>
        </is>
      </c>
      <c r="E17" s="368" t="inlineStr">
        <is>
          <t>EUR</t>
        </is>
      </c>
      <c r="F17" s="369" t="inlineStr">
        <is>
          <t>Barnabé</t>
        </is>
      </c>
      <c r="G17" s="370" t="inlineStr">
        <is>
          <t>non</t>
        </is>
      </c>
      <c r="H17" s="370" t="n"/>
      <c r="I17" s="370" t="n"/>
      <c r="J17" s="373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4.25" customHeight="1" s="304">
      <c r="A18" s="365" t="inlineStr">
        <is>
          <t>Portefeuille BB Réserve</t>
        </is>
      </c>
      <c r="B18" s="366" t="inlineStr">
        <is>
          <t>Euros</t>
        </is>
      </c>
      <c r="C18" s="367" t="inlineStr">
        <is>
          <t>BoursoBank</t>
        </is>
      </c>
      <c r="D18" s="368" t="inlineStr">
        <is>
          <t>Euro</t>
        </is>
      </c>
      <c r="E18" s="368" t="inlineStr">
        <is>
          <t>EUR</t>
        </is>
      </c>
      <c r="F18" s="369" t="inlineStr">
        <is>
          <t>Barnabé</t>
        </is>
      </c>
      <c r="G18" s="370" t="inlineStr">
        <is>
          <t>non</t>
        </is>
      </c>
      <c r="H18" s="370" t="n"/>
      <c r="I18" s="370" t="n"/>
      <c r="J18" s="373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4.25" customHeight="1" s="304">
      <c r="A19" s="365" t="inlineStr">
        <is>
          <t>Compte Wise USD</t>
        </is>
      </c>
      <c r="B19" s="366" t="inlineStr">
        <is>
          <t>Devises étrangères</t>
        </is>
      </c>
      <c r="C19" s="367" t="inlineStr">
        <is>
          <t>Wise</t>
        </is>
      </c>
      <c r="D19" s="368" t="inlineStr">
        <is>
          <t>Dollar US</t>
        </is>
      </c>
      <c r="E19" s="368" t="inlineStr">
        <is>
          <t>USD</t>
        </is>
      </c>
      <c r="F19" s="369" t="inlineStr">
        <is>
          <t>Barnabé</t>
        </is>
      </c>
      <c r="G19" s="370" t="inlineStr">
        <is>
          <t>non</t>
        </is>
      </c>
      <c r="H19" s="371" t="n">
        <v>45653</v>
      </c>
      <c r="I19" s="370" t="n"/>
      <c r="J19" s="373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4.25" customHeight="1" s="304">
      <c r="A20" s="365" t="inlineStr">
        <is>
          <t>Compte Wise SGD</t>
        </is>
      </c>
      <c r="B20" s="366" t="inlineStr">
        <is>
          <t>Devises étrangères</t>
        </is>
      </c>
      <c r="C20" s="367" t="inlineStr">
        <is>
          <t>Wise</t>
        </is>
      </c>
      <c r="D20" s="368" t="inlineStr">
        <is>
          <t>Dollar Singapour</t>
        </is>
      </c>
      <c r="E20" s="368" t="inlineStr">
        <is>
          <t>SGD</t>
        </is>
      </c>
      <c r="F20" s="369" t="inlineStr">
        <is>
          <t>Barnabé</t>
        </is>
      </c>
      <c r="G20" s="370" t="inlineStr">
        <is>
          <t>non</t>
        </is>
      </c>
      <c r="H20" s="371" t="n">
        <v>45631</v>
      </c>
      <c r="I20" s="370" t="n"/>
      <c r="J20" s="373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4.25" customHeight="1" s="304">
      <c r="A21" s="365" t="inlineStr">
        <is>
          <t>Portefeuille eToro USD Réserve</t>
        </is>
      </c>
      <c r="B21" s="366" t="inlineStr">
        <is>
          <t>Devises étrangères</t>
        </is>
      </c>
      <c r="C21" s="367" t="inlineStr">
        <is>
          <t>eToro</t>
        </is>
      </c>
      <c r="D21" s="368" t="inlineStr">
        <is>
          <t>Dollar US</t>
        </is>
      </c>
      <c r="E21" s="368" t="inlineStr">
        <is>
          <t>USD</t>
        </is>
      </c>
      <c r="F21" s="369" t="inlineStr">
        <is>
          <t>Barnabé</t>
        </is>
      </c>
      <c r="G21" s="370" t="inlineStr">
        <is>
          <t>non</t>
        </is>
      </c>
      <c r="H21" s="370" t="n"/>
      <c r="I21" s="370" t="n"/>
      <c r="J21" s="373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4.25" customHeight="1" s="304">
      <c r="A22" s="365" t="inlineStr">
        <is>
          <t>Créance Francine</t>
        </is>
      </c>
      <c r="B22" s="366" t="inlineStr">
        <is>
          <t>Créances</t>
        </is>
      </c>
      <c r="C22" s="367" t="inlineStr">
        <is>
          <t>Francine</t>
        </is>
      </c>
      <c r="D22" s="368" t="inlineStr">
        <is>
          <t>Euro</t>
        </is>
      </c>
      <c r="E22" s="368" t="inlineStr">
        <is>
          <t>EUR</t>
        </is>
      </c>
      <c r="F22" s="369" t="inlineStr">
        <is>
          <t>Commun</t>
        </is>
      </c>
      <c r="G22" s="370" t="inlineStr">
        <is>
          <t>non</t>
        </is>
      </c>
      <c r="H22" s="371" t="n">
        <v>42873</v>
      </c>
      <c r="I22" s="372" t="n">
        <v>156270</v>
      </c>
      <c r="J22" s="373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4.25" customHeight="1" s="304">
      <c r="A23" s="365" t="inlineStr">
        <is>
          <t>BlueWallet BTC</t>
        </is>
      </c>
      <c r="B23" s="366" t="inlineStr">
        <is>
          <t>Crypto monnaies</t>
        </is>
      </c>
      <c r="C23" s="367" t="inlineStr">
        <is>
          <t>Blockchain</t>
        </is>
      </c>
      <c r="D23" s="368" t="inlineStr">
        <is>
          <t>Bitcoin</t>
        </is>
      </c>
      <c r="E23" s="368" t="inlineStr">
        <is>
          <t>SAT</t>
        </is>
      </c>
      <c r="F23" s="369" t="inlineStr">
        <is>
          <t>Commun</t>
        </is>
      </c>
      <c r="G23" s="370" t="inlineStr">
        <is>
          <t>oui</t>
        </is>
      </c>
      <c r="H23" s="371" t="n">
        <v>44967</v>
      </c>
      <c r="I23" s="370" t="n"/>
      <c r="J23" s="373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4.25" customHeight="1" s="304">
      <c r="A24" s="365" t="inlineStr">
        <is>
          <t>Phoenix Lightning BTC</t>
        </is>
      </c>
      <c r="B24" s="366" t="inlineStr">
        <is>
          <t>Crypto monnaies</t>
        </is>
      </c>
      <c r="C24" s="367" t="inlineStr">
        <is>
          <t>Blockchain</t>
        </is>
      </c>
      <c r="D24" s="368" t="inlineStr">
        <is>
          <t>Bitcoin</t>
        </is>
      </c>
      <c r="E24" s="368" t="inlineStr">
        <is>
          <t>SAT</t>
        </is>
      </c>
      <c r="F24" s="369" t="inlineStr">
        <is>
          <t>Commun</t>
        </is>
      </c>
      <c r="G24" s="370" t="inlineStr">
        <is>
          <t>oui</t>
        </is>
      </c>
      <c r="H24" s="371" t="n">
        <v>44967</v>
      </c>
      <c r="I24" s="370" t="n"/>
      <c r="J24" s="373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4.25" customHeight="1" s="304">
      <c r="A25" s="365" t="inlineStr">
        <is>
          <t>Compte Kraken BTC</t>
        </is>
      </c>
      <c r="B25" s="366" t="inlineStr">
        <is>
          <t>Crypto monnaies</t>
        </is>
      </c>
      <c r="C25" s="367" t="inlineStr">
        <is>
          <t>Kraken</t>
        </is>
      </c>
      <c r="D25" s="368" t="inlineStr">
        <is>
          <t>Bitcoin</t>
        </is>
      </c>
      <c r="E25" s="368" t="inlineStr">
        <is>
          <t>SAT</t>
        </is>
      </c>
      <c r="F25" s="369" t="inlineStr">
        <is>
          <t>Commun</t>
        </is>
      </c>
      <c r="G25" s="370" t="inlineStr">
        <is>
          <t>non</t>
        </is>
      </c>
      <c r="H25" s="371" t="n">
        <v>45855</v>
      </c>
      <c r="I25" s="370" t="n"/>
      <c r="J25" s="373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4.25" customHeight="1" s="304">
      <c r="A26" s="365" t="inlineStr">
        <is>
          <t>Cake Wallet XMR</t>
        </is>
      </c>
      <c r="B26" s="366" t="inlineStr">
        <is>
          <t>Crypto monnaies</t>
        </is>
      </c>
      <c r="C26" s="367" t="inlineStr">
        <is>
          <t>Blockchain</t>
        </is>
      </c>
      <c r="D26" s="368" t="inlineStr">
        <is>
          <t>Monero</t>
        </is>
      </c>
      <c r="E26" s="368" t="inlineStr">
        <is>
          <t>XMR</t>
        </is>
      </c>
      <c r="F26" s="369" t="inlineStr">
        <is>
          <t>Commun</t>
        </is>
      </c>
      <c r="G26" s="370" t="inlineStr">
        <is>
          <t>oui</t>
        </is>
      </c>
      <c r="H26" s="371" t="n">
        <v>44999</v>
      </c>
      <c r="I26" s="370" t="n"/>
      <c r="J26" s="373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4.25" customHeight="1" s="304">
      <c r="A27" s="365" t="inlineStr">
        <is>
          <t>Pièces or</t>
        </is>
      </c>
      <c r="B27" s="366" t="inlineStr">
        <is>
          <t>Biens matériels</t>
        </is>
      </c>
      <c r="C27" s="367" t="inlineStr">
        <is>
          <t>Coffre</t>
        </is>
      </c>
      <c r="D27" s="368" t="inlineStr">
        <is>
          <t>Mobilier</t>
        </is>
      </c>
      <c r="E27" s="368" t="inlineStr">
        <is>
          <t>OrPr</t>
        </is>
      </c>
      <c r="F27" s="369" t="inlineStr">
        <is>
          <t>Commun</t>
        </is>
      </c>
      <c r="G27" s="370" t="inlineStr">
        <is>
          <t>oui</t>
        </is>
      </c>
      <c r="H27" s="371" t="n">
        <v>45048</v>
      </c>
      <c r="I27" s="370" t="n"/>
      <c r="J27" s="373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4.25" customHeight="1" s="304">
      <c r="A28" s="365" t="inlineStr">
        <is>
          <t>Maison</t>
        </is>
      </c>
      <c r="B28" s="366" t="inlineStr">
        <is>
          <t>Biens matériels</t>
        </is>
      </c>
      <c r="C28" s="367" t="inlineStr">
        <is>
          <t>Maison</t>
        </is>
      </c>
      <c r="D28" s="368" t="inlineStr">
        <is>
          <t>Foncier</t>
        </is>
      </c>
      <c r="E28" s="368" t="n"/>
      <c r="F28" s="369" t="inlineStr">
        <is>
          <t>Commun</t>
        </is>
      </c>
      <c r="G28" s="370" t="inlineStr">
        <is>
          <t>oui</t>
        </is>
      </c>
      <c r="H28" s="371" t="n">
        <v>43750</v>
      </c>
      <c r="I28" s="372" t="n">
        <v>200000</v>
      </c>
      <c r="J28" s="373" t="n"/>
      <c r="K28" s="372" t="n">
        <v>100000</v>
      </c>
      <c r="L28" s="372">
        <f>K28</f>
        <v/>
      </c>
    </row>
    <row r="29" ht="14.25" customHeight="1" s="304">
      <c r="A29" s="365" t="inlineStr">
        <is>
          <t>Auto</t>
        </is>
      </c>
      <c r="B29" s="366" t="inlineStr">
        <is>
          <t>Biens matériels</t>
        </is>
      </c>
      <c r="C29" s="367" t="inlineStr">
        <is>
          <t>Auto</t>
        </is>
      </c>
      <c r="D29" s="368" t="inlineStr">
        <is>
          <t>Mobilier</t>
        </is>
      </c>
      <c r="E29" s="368" t="n"/>
      <c r="F29" s="369" t="inlineStr">
        <is>
          <t>Commun</t>
        </is>
      </c>
      <c r="G29" s="370" t="inlineStr">
        <is>
          <t>oui</t>
        </is>
      </c>
      <c r="H29" s="371" t="n">
        <v>37773</v>
      </c>
      <c r="I29" s="372" t="n">
        <v>30000</v>
      </c>
      <c r="J29" s="373" t="n"/>
      <c r="K29" s="372" t="n">
        <v>9000</v>
      </c>
      <c r="L29" s="372">
        <f>K29</f>
        <v/>
      </c>
    </row>
    <row r="30" ht="14.25" customHeight="1" s="304">
      <c r="A30" s="365" t="inlineStr">
        <is>
          <t>Mobilier maison</t>
        </is>
      </c>
      <c r="B30" s="366" t="inlineStr">
        <is>
          <t>Biens matériels</t>
        </is>
      </c>
      <c r="C30" s="367" t="inlineStr">
        <is>
          <t>Maison</t>
        </is>
      </c>
      <c r="D30" s="368" t="inlineStr">
        <is>
          <t>Mobilier</t>
        </is>
      </c>
      <c r="E30" s="368" t="n"/>
      <c r="F30" s="369" t="inlineStr">
        <is>
          <t>Commun</t>
        </is>
      </c>
      <c r="G30" s="370" t="inlineStr">
        <is>
          <t>oui</t>
        </is>
      </c>
      <c r="H30" s="370" t="n"/>
      <c r="I30" s="370" t="n"/>
      <c r="J30" s="373" t="n"/>
      <c r="K30" s="372" t="n">
        <v>15000</v>
      </c>
      <c r="L30" s="372">
        <f>K30</f>
        <v/>
      </c>
    </row>
    <row r="31" ht="16.5" customHeight="1" s="304">
      <c r="A31" s="365" t="inlineStr">
        <is>
          <t>✓</t>
        </is>
      </c>
      <c r="B31" s="367" t="n"/>
      <c r="C31" s="367" t="n"/>
      <c r="D31" s="368" t="n"/>
      <c r="E31" s="368" t="n"/>
      <c r="F31" s="370" t="n"/>
      <c r="G31" s="370" t="n"/>
      <c r="H31" s="370" t="n"/>
      <c r="I31" s="370" t="n"/>
      <c r="J31" s="373" t="n"/>
      <c r="K31" s="372" t="n"/>
      <c r="L31" s="372" t="n"/>
    </row>
    <row r="32" ht="17.25" customHeight="1" s="304">
      <c r="A32" s="379" t="inlineStr">
        <is>
          <t>Total</t>
        </is>
      </c>
      <c r="B32" s="380" t="n"/>
      <c r="C32" s="381" t="n"/>
      <c r="D32" s="382" t="n"/>
      <c r="E32" s="382" t="n"/>
      <c r="F32" s="383" t="n"/>
      <c r="G32" s="383" t="n"/>
      <c r="H32" s="383" t="n"/>
      <c r="I32" s="384" t="n"/>
      <c r="J32" s="384" t="n"/>
      <c r="K32" s="384" t="n"/>
      <c r="L32" s="384">
        <f>ROUND(SUM(AVRmontant_solde_euro),2)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6" min="1" max="1"/>
    <col width="11.33" customWidth="1" style="346" min="2" max="2"/>
    <col width="15.33" customWidth="1" style="346" min="3" max="3"/>
    <col width="3" customWidth="1" style="346" min="4" max="4"/>
    <col width="31.68" customWidth="1" style="386" min="5" max="5"/>
    <col width="13.37" customWidth="1" style="386" min="6" max="6"/>
    <col width="12.84" customWidth="1" style="386" min="7" max="14"/>
    <col width="11.12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Contrôles!K$45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6" t="n"/>
      <c r="C2" s="389">
        <f>TODAY()</f>
        <v/>
      </c>
      <c r="D2" s="389" t="n"/>
    </row>
    <row r="3" ht="28.5" customHeight="1" s="304">
      <c r="A3" s="328" t="inlineStr">
        <is>
          <t>Dépenses et revenus</t>
        </is>
      </c>
      <c r="B3" s="328" t="inlineStr">
        <is>
          <t>Type</t>
        </is>
      </c>
      <c r="C3" s="328" t="inlineStr">
        <is>
          <t>Année glissante</t>
        </is>
      </c>
      <c r="D3" s="328" t="n"/>
    </row>
    <row r="4" ht="15" customHeight="1" s="304">
      <c r="A4" s="391" t="inlineStr">
        <is>
          <t>✓</t>
        </is>
      </c>
      <c r="B4" s="322" t="n"/>
      <c r="C4" s="322" t="n"/>
      <c r="D4" s="322" t="n"/>
    </row>
    <row r="5" ht="16.5" customHeight="1" s="304">
      <c r="A5" s="391" t="inlineStr">
        <is>
          <t>Divers</t>
        </is>
      </c>
      <c r="B5" s="392" t="inlineStr">
        <is>
          <t>Fixe</t>
        </is>
      </c>
      <c r="C5" s="322">
        <f>SUMIF(Q20:Q34,A5,P20:P34)</f>
        <v/>
      </c>
      <c r="D5" s="322" t="n"/>
    </row>
    <row r="6" ht="16.5" customHeight="1" s="304">
      <c r="A6" s="391" t="inlineStr">
        <is>
          <t>Produits financiers</t>
        </is>
      </c>
      <c r="B6" s="392" t="inlineStr">
        <is>
          <t>Fixe</t>
        </is>
      </c>
      <c r="C6" s="322">
        <f>SUMIF(Q20:Q34,A6,P20:P34)</f>
        <v/>
      </c>
      <c r="D6" s="322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2">
        <f>SUMIF(Q20:Q34,A7,P20:P34)</f>
        <v/>
      </c>
      <c r="D7" s="322" t="n"/>
    </row>
    <row r="8" ht="16.5" customHeight="1" s="304">
      <c r="A8" s="391" t="inlineStr">
        <is>
          <t>Santé</t>
        </is>
      </c>
      <c r="B8" s="392" t="inlineStr">
        <is>
          <t>Fixe</t>
        </is>
      </c>
      <c r="C8" s="322">
        <f>SUMIF(Q20:Q34,A8,P20:P34)</f>
        <v/>
      </c>
      <c r="D8" s="322" t="n"/>
    </row>
    <row r="9" ht="16.5" customHeight="1" s="304">
      <c r="A9" s="391" t="inlineStr">
        <is>
          <t>Maison</t>
        </is>
      </c>
      <c r="B9" s="392" t="inlineStr">
        <is>
          <t>Fixe</t>
        </is>
      </c>
      <c r="C9" s="322">
        <f>SUMIF(Q20:Q34,A9,P20:P34)</f>
        <v/>
      </c>
      <c r="D9" s="322" t="n"/>
    </row>
    <row r="10" ht="16.5" customHeight="1" s="304">
      <c r="A10" s="391" t="inlineStr">
        <is>
          <t>✓</t>
        </is>
      </c>
      <c r="B10" s="392" t="n"/>
      <c r="C10" s="322" t="n"/>
      <c r="D10" s="322" t="n"/>
    </row>
    <row r="11" ht="17.25" customHeight="1" s="304">
      <c r="A11" s="393" t="inlineStr">
        <is>
          <t>Total = épargne</t>
        </is>
      </c>
      <c r="B11" s="394" t="n"/>
      <c r="C11" s="395">
        <f>SUM(C5:C9)</f>
        <v/>
      </c>
      <c r="D11" s="396" t="n"/>
    </row>
    <row r="12" ht="16.5" customHeight="1" s="304">
      <c r="A12" s="397" t="inlineStr">
        <is>
          <t>Epargne fixe</t>
        </is>
      </c>
      <c r="B12" s="398" t="n"/>
      <c r="C12" s="399">
        <f>SUMIF($B5:$B9,"Fixe",C5:C9)</f>
        <v/>
      </c>
      <c r="D12" s="400" t="n"/>
    </row>
    <row r="13" ht="17.25" customHeight="1" s="304">
      <c r="A13" s="397" t="inlineStr">
        <is>
          <t>Epargne fixe / mois</t>
        </is>
      </c>
      <c r="B13" s="398" t="n"/>
      <c r="C13" s="401">
        <f>C$12/12</f>
        <v/>
      </c>
      <c r="D13" s="402" t="n"/>
    </row>
    <row r="14" ht="16.5" customHeight="1" s="304">
      <c r="A14" s="403" t="inlineStr">
        <is>
          <t>Écart avec tableau Affectation</t>
        </is>
      </c>
      <c r="B14" s="404" t="n"/>
      <c r="C14" s="405">
        <f>ROUND(C$11-P$39,2)</f>
        <v/>
      </c>
      <c r="D14" s="406" t="n"/>
    </row>
    <row r="16" ht="18.75" customHeight="1" s="304">
      <c r="E16" s="407" t="inlineStr">
        <is>
          <t>CATÉGORIES</t>
        </is>
      </c>
    </row>
    <row r="17" ht="37.5" customHeight="1" s="304">
      <c r="E17" s="408" t="inlineStr">
        <is>
          <t>Catégories d’opérations</t>
        </is>
      </c>
      <c r="F17" s="364" t="inlineStr">
        <is>
          <t>EUR</t>
        </is>
      </c>
      <c r="G17" s="364" t="inlineStr">
        <is>
          <t>XAU</t>
        </is>
      </c>
      <c r="H17" s="364" t="inlineStr">
        <is>
          <t>BTC</t>
        </is>
      </c>
      <c r="I17" s="364" t="inlineStr">
        <is>
          <t>USD</t>
        </is>
      </c>
      <c r="J17" s="364" t="inlineStr">
        <is>
          <t>SGD</t>
        </is>
      </c>
      <c r="K17" s="364" t="inlineStr">
        <is>
          <t>OrPr</t>
        </is>
      </c>
      <c r="L17" s="364" t="inlineStr">
        <is>
          <t>SAT</t>
        </is>
      </c>
      <c r="M17" s="364" t="inlineStr">
        <is>
          <t>XMR</t>
        </is>
      </c>
      <c r="N17" s="363" t="inlineStr">
        <is>
          <t>Total € au cours du jour</t>
        </is>
      </c>
      <c r="O17" s="364" t="inlineStr">
        <is>
          <t>Affectation %</t>
        </is>
      </c>
      <c r="P17" s="363" t="inlineStr">
        <is>
          <t>Affectation</t>
        </is>
      </c>
      <c r="Q17" s="363" t="inlineStr">
        <is>
          <t>Dépenses et revenus</t>
        </is>
      </c>
    </row>
    <row r="18" ht="15" customHeight="1" s="304">
      <c r="E18" s="408" t="inlineStr">
        <is>
          <t>(année glissante)</t>
        </is>
      </c>
      <c r="F18" s="409" t="n">
        <v>1</v>
      </c>
      <c r="G18" s="410">
        <f>SUMIF(Cotations!$E$4:$E$5,G$17,Cotations!$F$4:$F$5)</f>
        <v/>
      </c>
      <c r="H18" s="411">
        <f>SUMIF(Cotations!$E$4:$E$7,H$17,Cotations!$F$4:$F$7)</f>
        <v/>
      </c>
      <c r="I18" s="412">
        <f>SUMIF(Cotations!$E$4:$E$10,I$17,Cotations!$F$4:$F$10)</f>
        <v/>
      </c>
      <c r="J18" s="413">
        <f>SUMIF(Cotations!$E$4:$E$11,J$17,Cotations!$F$4:$F$11)</f>
        <v/>
      </c>
      <c r="K18" s="414">
        <f>SUMIF(Cotations!$E$4:$E$11,K$17,Cotations!$F$4:$F$11)</f>
        <v/>
      </c>
      <c r="L18" s="415">
        <f>SUMIF(Cotations!$E$4:$E$11,L$17,Cotations!$F$4:$F$11)</f>
        <v/>
      </c>
      <c r="M18" s="416">
        <f>SUMIF(Cotations!$E$4:$E$11,M$17,Cotations!$F$4:$F$11)</f>
        <v/>
      </c>
      <c r="N18" s="352" t="n"/>
      <c r="O18" s="417" t="n"/>
      <c r="P18" s="418" t="n"/>
      <c r="Q18" s="418" t="n"/>
    </row>
    <row r="19" ht="15" customHeight="1" s="304">
      <c r="E19" s="419" t="inlineStr">
        <is>
          <t>✓</t>
        </is>
      </c>
      <c r="F19" s="420" t="n"/>
      <c r="G19" s="421" t="n"/>
      <c r="H19" s="422" t="n"/>
      <c r="I19" s="423" t="n"/>
      <c r="J19" s="424" t="n"/>
      <c r="K19" s="425" t="n"/>
      <c r="L19" s="426" t="n"/>
      <c r="M19" s="427" t="n"/>
      <c r="N19" s="428" t="n"/>
      <c r="O19" s="429" t="n"/>
      <c r="P19" s="322" t="n"/>
      <c r="Q19" s="430" t="n"/>
    </row>
    <row r="20" ht="16.5" customHeight="1" s="304">
      <c r="E20" s="419" t="inlineStr">
        <is>
          <t>Change</t>
        </is>
      </c>
      <c r="F20" s="420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2" t="n"/>
      <c r="Q20" s="430" t="n"/>
    </row>
    <row r="21" ht="16.5" customHeight="1" s="304">
      <c r="E21" s="438" t="inlineStr">
        <is>
          <t>Achat métaux</t>
        </is>
      </c>
      <c r="F21" s="420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2" t="n"/>
      <c r="Q21" s="430" t="n"/>
    </row>
    <row r="22" ht="16.5" customHeight="1" s="304">
      <c r="E22" s="438" t="inlineStr">
        <is>
          <t>Virement</t>
        </is>
      </c>
      <c r="F22" s="420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2" t="n"/>
      <c r="Q22" s="366" t="n"/>
    </row>
    <row r="23" ht="16.5" customHeight="1" s="304">
      <c r="E23" s="438" t="inlineStr">
        <is>
          <t>Achat titres</t>
        </is>
      </c>
      <c r="F23" s="420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2" t="n"/>
      <c r="Q23" s="366" t="n"/>
    </row>
    <row r="24" ht="16.5" customHeight="1" s="304">
      <c r="E24" s="438" t="inlineStr">
        <is>
          <t>Vente titres</t>
        </is>
      </c>
      <c r="F24" s="420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2" t="n"/>
      <c r="Q24" s="366" t="n"/>
    </row>
    <row r="25" ht="16.5" customHeight="1" s="304">
      <c r="E25" s="419" t="inlineStr">
        <is>
          <t>Arbitrage titres</t>
        </is>
      </c>
      <c r="F25" s="420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28" t="n"/>
      <c r="O25" s="429" t="n"/>
      <c r="P25" s="322" t="n"/>
      <c r="Q25" s="430" t="n"/>
    </row>
    <row r="26" ht="16.5" customHeight="1" s="304">
      <c r="E26" s="419" t="inlineStr">
        <is>
          <t>Ajustement</t>
        </is>
      </c>
      <c r="F26" s="420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28">
        <f>SUMPRODUCT(F26:M26,F$18:M$18)</f>
        <v/>
      </c>
      <c r="O26" s="441" t="n">
        <v>1</v>
      </c>
      <c r="P26" s="322">
        <f>N26*O26</f>
        <v/>
      </c>
      <c r="Q26" s="430" t="inlineStr">
        <is>
          <t>Divers</t>
        </is>
      </c>
    </row>
    <row r="27" ht="16.5" customHeight="1" s="304">
      <c r="E27" s="419" t="inlineStr">
        <is>
          <t>Coupon</t>
        </is>
      </c>
      <c r="F27" s="420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28">
        <f>SUMPRODUCT(F27:M27,F$18:M$18)</f>
        <v/>
      </c>
      <c r="O27" s="441" t="n">
        <v>1</v>
      </c>
      <c r="P27" s="322">
        <f>N27*O27</f>
        <v/>
      </c>
      <c r="Q27" s="430" t="inlineStr">
        <is>
          <t>Produits financiers</t>
        </is>
      </c>
    </row>
    <row r="28" ht="16.5" customHeight="1" s="304">
      <c r="E28" s="419" t="inlineStr">
        <is>
          <t>Frais bancaires</t>
        </is>
      </c>
      <c r="F28" s="420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28">
        <f>SUMPRODUCT(F28:M28,F$18:M$18)</f>
        <v/>
      </c>
      <c r="O28" s="441" t="n">
        <v>1</v>
      </c>
      <c r="P28" s="322">
        <f>N28*O28</f>
        <v/>
      </c>
      <c r="Q28" s="430" t="inlineStr">
        <is>
          <t>Divers</t>
        </is>
      </c>
    </row>
    <row r="29" ht="16.5" customHeight="1" s="304">
      <c r="E29" s="419" t="inlineStr">
        <is>
          <t>Intérêts</t>
        </is>
      </c>
      <c r="F29" s="420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28">
        <f>SUMPRODUCT(F29:M29,F$18:M$18)</f>
        <v/>
      </c>
      <c r="O29" s="441" t="n">
        <v>1</v>
      </c>
      <c r="P29" s="322">
        <f>N29*O29</f>
        <v/>
      </c>
      <c r="Q29" s="430" t="inlineStr">
        <is>
          <t>Produits financiers</t>
        </is>
      </c>
    </row>
    <row r="30" ht="16.5" customHeight="1" s="304">
      <c r="E30" s="419" t="inlineStr">
        <is>
          <t>Loisirs</t>
        </is>
      </c>
      <c r="F30" s="420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28">
        <f>SUMPRODUCT(F30:M30,F$18:M$18)</f>
        <v/>
      </c>
      <c r="O30" s="441" t="n">
        <v>1</v>
      </c>
      <c r="P30" s="322">
        <f>N30*O30</f>
        <v/>
      </c>
      <c r="Q30" s="430" t="inlineStr">
        <is>
          <t>Loisirs et restaurant</t>
        </is>
      </c>
    </row>
    <row r="31" ht="16.5" customHeight="1" s="304">
      <c r="E31" s="419" t="inlineStr">
        <is>
          <t>Maison</t>
        </is>
      </c>
      <c r="F31" s="420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28">
        <f>SUMPRODUCT(F31:M31,F$18:M$18)</f>
        <v/>
      </c>
      <c r="O31" s="441" t="n">
        <v>1</v>
      </c>
      <c r="P31" s="322">
        <f>N31*O31</f>
        <v/>
      </c>
      <c r="Q31" s="430" t="inlineStr">
        <is>
          <t>Maison</t>
        </is>
      </c>
    </row>
    <row r="32" ht="16.5" customHeight="1" s="304">
      <c r="E32" s="419" t="inlineStr">
        <is>
          <t>Restaurant</t>
        </is>
      </c>
      <c r="F32" s="420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28">
        <f>SUMPRODUCT(F32:M32,F$18:M$18)</f>
        <v/>
      </c>
      <c r="O32" s="441" t="n">
        <v>1</v>
      </c>
      <c r="P32" s="322">
        <f>N32*O32</f>
        <v/>
      </c>
      <c r="Q32" s="430" t="inlineStr">
        <is>
          <t>Loisirs et restaurant</t>
        </is>
      </c>
    </row>
    <row r="33" ht="16.5" customHeight="1" s="304">
      <c r="E33" s="419" t="inlineStr">
        <is>
          <t>Santé</t>
        </is>
      </c>
      <c r="F33" s="420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28">
        <f>SUMPRODUCT(F33:M33,F$18:M$18)</f>
        <v/>
      </c>
      <c r="O33" s="441" t="n">
        <v>1</v>
      </c>
      <c r="P33" s="322">
        <f>N33*O33</f>
        <v/>
      </c>
      <c r="Q33" s="430" t="inlineStr">
        <is>
          <t>Santé</t>
        </is>
      </c>
    </row>
    <row r="34" ht="16.5" customHeight="1" s="304">
      <c r="E34" s="438" t="inlineStr">
        <is>
          <t>-</t>
        </is>
      </c>
      <c r="F34" s="420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2">
        <f>N34*O34</f>
        <v/>
      </c>
      <c r="Q34" s="366" t="inlineStr">
        <is>
          <t>Divers</t>
        </is>
      </c>
    </row>
    <row r="35" ht="17.25" customHeight="1" s="304">
      <c r="E35" s="444" t="inlineStr">
        <is>
          <t>✓</t>
        </is>
      </c>
      <c r="F35" s="445" t="n"/>
      <c r="G35" s="446" t="n"/>
      <c r="H35" s="447" t="n"/>
      <c r="I35" s="448" t="n"/>
      <c r="J35" s="449" t="n"/>
      <c r="K35" s="450" t="n"/>
      <c r="L35" s="451" t="n"/>
      <c r="M35" s="452" t="n"/>
      <c r="N35" s="442" t="n"/>
      <c r="O35" s="445" t="n"/>
      <c r="P35" s="445" t="n"/>
      <c r="Q35" s="453" t="n"/>
    </row>
    <row r="36" ht="19.5" customHeight="1" s="304">
      <c r="E36" s="393" t="inlineStr">
        <is>
          <t>Total</t>
        </is>
      </c>
      <c r="F36" s="454">
        <f>SUM(F20:F34)</f>
        <v/>
      </c>
      <c r="G36" s="455">
        <f>SUM(G20:G34)</f>
        <v/>
      </c>
      <c r="H36" s="456">
        <f>SUM(H20:H34)</f>
        <v/>
      </c>
      <c r="I36" s="457">
        <f>SUM(I20:I34)</f>
        <v/>
      </c>
      <c r="J36" s="458">
        <f>SUM(J20:J34)</f>
        <v/>
      </c>
      <c r="K36" s="459">
        <f>SUM(K20:K34)</f>
        <v/>
      </c>
      <c r="L36" s="460">
        <f>SUM(L20:L34)</f>
        <v/>
      </c>
      <c r="M36" s="461">
        <f>SUM(M20:M34)</f>
        <v/>
      </c>
      <c r="N36" s="462">
        <f>SUM(N20:N34)</f>
        <v/>
      </c>
      <c r="O36" s="463" t="n"/>
      <c r="P36" s="462" t="n"/>
      <c r="Q36" s="464" t="n"/>
    </row>
    <row r="37" ht="18" customHeight="1" s="304">
      <c r="E37" s="465" t="inlineStr">
        <is>
          <t>Somme opérations</t>
        </is>
      </c>
      <c r="F37" s="466">
        <f>SUMIFS(OPmontant,OPdevise,F$17,OPdate,"&gt;"&amp;$C$2-365,OPcatégorie,"&lt;&gt;"&amp;Spéciale)</f>
        <v/>
      </c>
      <c r="G37" s="467">
        <f>SUMIFS(OPmontant,OPdevise,G$17,OPdate,"&gt;"&amp;$C$2-365,OPcatégorie,"&lt;&gt;"&amp;Spéciale)</f>
        <v/>
      </c>
      <c r="H37" s="468">
        <f>SUMIFS(OPmontant,OPdevise,H$17,OPdate,"&gt;"&amp;$C$2-365,OPcatégorie,"&lt;&gt;"&amp;Spéciale)</f>
        <v/>
      </c>
      <c r="I37" s="469">
        <f>SUMIFS(OPmontant,OPdevise,I$17,OPdate,"&gt;"&amp;$C$2-365,OPcatégorie,"&lt;&gt;"&amp;Spéciale)</f>
        <v/>
      </c>
      <c r="J37" s="470">
        <f>SUMIFS(OPmontant,OPdevise,J$17,OPdate,"&gt;"&amp;$C$2-365,OPcatégorie,"&lt;&gt;"&amp;Spéciale)</f>
        <v/>
      </c>
      <c r="K37" s="471">
        <f>SUMIFS(OPmontant,OPdevise,K$17,OPdate,"&gt;"&amp;$C$2-365,OPcatégorie,"&lt;&gt;"&amp;Spéciale)</f>
        <v/>
      </c>
      <c r="L37" s="472">
        <f>SUMIFS(OPmontant,OPdevise,L$17,OPdate,"&gt;"&amp;$C$2-365,OPcatégorie,"&lt;&gt;"&amp;Spéciale)</f>
        <v/>
      </c>
      <c r="M37" s="473">
        <f>SUMIFS(OPmontant,OPdevise,M$17,OPdate,"&gt;"&amp;$C$2-365,OPcatégorie,"&lt;&gt;"&amp;Spéciale)</f>
        <v/>
      </c>
      <c r="N37" s="474" t="n"/>
      <c r="O37" s="475" t="n"/>
      <c r="P37" s="476" t="n"/>
      <c r="Q37" s="402" t="n"/>
    </row>
    <row r="38" ht="16.5" customHeight="1" s="304">
      <c r="E38" s="477" t="inlineStr">
        <is>
          <t>Écart</t>
        </is>
      </c>
      <c r="F38" s="405">
        <f>ROUND(F$36-F$37,2)</f>
        <v/>
      </c>
      <c r="G38" s="478">
        <f>G$36-G$37</f>
        <v/>
      </c>
      <c r="H38" s="479">
        <f>H$36-H$37</f>
        <v/>
      </c>
      <c r="I38" s="480">
        <f>I$36-I$37</f>
        <v/>
      </c>
      <c r="J38" s="481">
        <f>J$36-J$37</f>
        <v/>
      </c>
      <c r="K38" s="482">
        <f>K$36-K$37</f>
        <v/>
      </c>
      <c r="L38" s="483">
        <f>L$36-L$37</f>
        <v/>
      </c>
      <c r="M38" s="484">
        <f>M$36-M$37</f>
        <v/>
      </c>
      <c r="N38" s="485" t="n"/>
      <c r="O38" s="475" t="n"/>
      <c r="P38" s="401" t="n"/>
      <c r="Q38" s="402" t="n"/>
    </row>
    <row r="39" ht="21.75" customHeight="1" s="304">
      <c r="E39" s="397" t="inlineStr">
        <is>
          <t>Total hors Changes et Virements</t>
        </is>
      </c>
      <c r="F39" s="399">
        <f>SUM(F26:F34)</f>
        <v/>
      </c>
      <c r="G39" s="486">
        <f>SUM(G26:G34)</f>
        <v/>
      </c>
      <c r="H39" s="487">
        <f>SUM(H26:H34)</f>
        <v/>
      </c>
      <c r="I39" s="488">
        <f>SUM(I26:I34)</f>
        <v/>
      </c>
      <c r="J39" s="489">
        <f>SUM(J26:J34)</f>
        <v/>
      </c>
      <c r="K39" s="490">
        <f>SUM(K26:K34)</f>
        <v/>
      </c>
      <c r="L39" s="491">
        <f>SUM(L26:L34)</f>
        <v/>
      </c>
      <c r="M39" s="492">
        <f>SUM(M26:M34)</f>
        <v/>
      </c>
      <c r="N39" s="405">
        <f>SUM(N26:N34)</f>
        <v/>
      </c>
      <c r="O39" s="493" t="n"/>
      <c r="P39" s="494">
        <f>SUM(P26:P34)</f>
        <v/>
      </c>
      <c r="Q39" s="495" t="n"/>
    </row>
    <row r="40" ht="16.5" customHeight="1" s="304">
      <c r="E40" s="403" t="inlineStr">
        <is>
          <t xml:space="preserve"> Montant Euros</t>
        </is>
      </c>
      <c r="F40" s="466">
        <f>F$39</f>
        <v/>
      </c>
      <c r="G40" s="466">
        <f>G$39*G$18</f>
        <v/>
      </c>
      <c r="H40" s="466">
        <f>H$39*H$18</f>
        <v/>
      </c>
      <c r="I40" s="466">
        <f>I$39*I$18</f>
        <v/>
      </c>
      <c r="J40" s="466">
        <f>J$39*J$18</f>
        <v/>
      </c>
      <c r="K40" s="466">
        <f>K$39*K$18</f>
        <v/>
      </c>
      <c r="L40" s="466">
        <f>L$39*L$18</f>
        <v/>
      </c>
      <c r="M40" s="466">
        <f>M$39*M$18</f>
        <v/>
      </c>
      <c r="N40" s="494">
        <f>SUM(F$40:M$40)</f>
        <v/>
      </c>
      <c r="O40" s="496" t="n"/>
      <c r="P40" s="497" t="n"/>
      <c r="Q40" s="406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6" min="1" max="1"/>
    <col width="27.01" customWidth="1" style="386" min="2" max="2"/>
    <col width="28.57" customWidth="1" style="386" min="3" max="3"/>
    <col width="15.09" customWidth="1" style="386" min="4" max="4"/>
    <col width="14.21" customWidth="1" style="498" min="5" max="5"/>
    <col width="13.67" customWidth="1" style="386" min="6" max="6"/>
    <col width="9.16" customWidth="1" style="498" min="7" max="7"/>
    <col width="15.66" customWidth="1" style="386" min="8" max="10"/>
    <col width="13.67" customWidth="1" style="498" min="11" max="12"/>
    <col width="13.16" customWidth="1" style="386" min="13" max="16379"/>
    <col width="11.53" customWidth="1" style="386" min="16380" max="16384"/>
  </cols>
  <sheetData>
    <row r="1" ht="16.5" customHeight="1" s="304">
      <c r="A1" s="499">
        <f>Contrôles!$K45</f>
        <v/>
      </c>
      <c r="B1" s="360" t="inlineStr">
        <is>
          <t>La plus value latente, PVL, est la différence entre la valorisation au cours du jour (SOLDE) et la somme des opérations passées aux cours d’époque (Montant initial + SIGMA).</t>
        </is>
      </c>
      <c r="C1" s="316" t="n"/>
      <c r="D1" s="500" t="n"/>
      <c r="E1" s="316" t="n"/>
      <c r="F1" s="500" t="n"/>
      <c r="G1" s="316" t="n"/>
      <c r="H1" s="316" t="n"/>
      <c r="I1" s="316" t="n"/>
      <c r="J1" s="500" t="n"/>
      <c r="K1" s="500" t="n"/>
    </row>
    <row r="2" ht="16.5" customHeight="1" s="304">
      <c r="A2" s="360" t="n"/>
      <c r="B2" s="360" t="inlineStr">
        <is>
          <t>Le solde retenu d’un portefeuille correspond au plus récent entre cette feuille (détail des titres) et Opérations (#Solde global)</t>
        </is>
      </c>
      <c r="C2" s="360" t="n"/>
      <c r="D2" s="500" t="n"/>
      <c r="E2" s="316" t="n"/>
      <c r="F2" s="500" t="n"/>
      <c r="G2" s="316" t="n"/>
      <c r="H2" s="316" t="n"/>
      <c r="I2" s="316" t="n"/>
      <c r="J2" s="360" t="n"/>
      <c r="K2" s="316" t="n"/>
    </row>
    <row r="3" ht="16.5" customHeight="1" s="304">
      <c r="A3" s="360" t="n"/>
      <c r="B3" s="360" t="n"/>
      <c r="C3" s="360" t="n"/>
      <c r="D3" s="500" t="n"/>
      <c r="E3" s="315">
        <f>E53</f>
        <v/>
      </c>
      <c r="F3" s="500" t="n"/>
      <c r="G3" s="501">
        <f>G53</f>
        <v/>
      </c>
      <c r="H3" s="360" t="n"/>
      <c r="I3" s="316" t="n"/>
      <c r="J3" s="360" t="n"/>
      <c r="K3" s="316" t="n"/>
    </row>
    <row r="4" ht="24.75" customHeight="1" s="304">
      <c r="A4" s="502" t="inlineStr">
        <is>
          <t>Section</t>
        </is>
      </c>
      <c r="B4" s="328" t="inlineStr">
        <is>
          <t>Compte</t>
        </is>
      </c>
      <c r="C4" s="328" t="inlineStr">
        <is>
          <t>Ligne</t>
        </is>
      </c>
      <c r="D4" s="328" t="inlineStr">
        <is>
          <t>Devise</t>
        </is>
      </c>
      <c r="E4" s="503" t="inlineStr">
        <is>
          <t>PVL</t>
        </is>
      </c>
      <c r="F4" s="328" t="inlineStr">
        <is>
          <t>PVL %</t>
        </is>
      </c>
      <c r="G4" s="362" t="inlineStr">
        <is>
          <t>Date initiale</t>
        </is>
      </c>
      <c r="H4" s="328" t="inlineStr">
        <is>
          <t>Montant initial</t>
        </is>
      </c>
      <c r="I4" s="504" t="inlineStr">
        <is>
          <t>SIGMA</t>
        </is>
      </c>
      <c r="J4" s="362" t="inlineStr">
        <is>
          <t>Date SOLDE</t>
        </is>
      </c>
      <c r="K4" s="504" t="inlineStr">
        <is>
          <t>SOLDE</t>
        </is>
      </c>
    </row>
    <row r="5" ht="16.5" customHeight="1" s="304">
      <c r="A5" s="391" t="inlineStr">
        <is>
          <t>✓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6.5" customHeight="1" s="304">
      <c r="A6" s="505" t="inlineStr">
        <is>
          <t>Les portefeuilles</t>
        </is>
      </c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6.5" customHeight="1" s="304">
      <c r="A7" s="391" t="n"/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</row>
    <row r="8" ht="16.5" customHeight="1" s="304">
      <c r="A8" s="505" t="inlineStr">
        <is>
          <t>portefeuilles</t>
        </is>
      </c>
      <c r="B8" s="391" t="inlineStr">
        <is>
          <t>Assurance vie Alice</t>
        </is>
      </c>
      <c r="C8" s="391" t="inlineStr">
        <is>
          <t>Portefeuille</t>
        </is>
      </c>
      <c r="D8" s="391" t="n"/>
      <c r="E8" s="506" t="n"/>
      <c r="F8" s="391" t="n"/>
      <c r="G8" s="507" t="n"/>
      <c r="H8" s="508" t="n"/>
      <c r="I8" s="508" t="n"/>
      <c r="J8" s="507" t="n"/>
      <c r="K8" s="506" t="n"/>
      <c r="L8" s="498" t="n"/>
    </row>
    <row r="9" ht="16.5" customHeight="1" s="304">
      <c r="A9" s="505" t="inlineStr">
        <is>
          <t>portefeuilles</t>
        </is>
      </c>
      <c r="B9" s="391" t="inlineStr">
        <is>
          <t>Assurance vie Alice</t>
        </is>
      </c>
      <c r="C9" s="391" t="inlineStr">
        <is>
          <t>Total</t>
        </is>
      </c>
      <c r="D9" s="391" t="inlineStr">
        <is>
          <t>EUR</t>
        </is>
      </c>
      <c r="E9" s="506">
        <f>K9-(H9+I9)</f>
        <v/>
      </c>
      <c r="F9" s="391" t="n"/>
      <c r="G9" s="507" t="n">
        <v>0</v>
      </c>
      <c r="H9" s="508" t="n">
        <v>0</v>
      </c>
      <c r="I9" s="508" t="n">
        <v>0</v>
      </c>
      <c r="J9" s="507" t="n"/>
      <c r="K9" s="506" t="n">
        <v>0</v>
      </c>
      <c r="L9" s="498" t="n"/>
    </row>
    <row r="10" ht="16.5" customHeight="1" s="304">
      <c r="A10" s="505" t="inlineStr">
        <is>
          <t>portefeuilles</t>
        </is>
      </c>
      <c r="B10" s="391" t="inlineStr">
        <is>
          <t>Assurance vie Alice</t>
        </is>
      </c>
      <c r="C10" s="391" t="inlineStr">
        <is>
          <t>#Solde Opérations</t>
        </is>
      </c>
      <c r="D10" s="391" t="inlineStr">
        <is>
          <t>EUR</t>
        </is>
      </c>
      <c r="E10" s="506">
        <f>K10-(H10+I10)</f>
        <v/>
      </c>
      <c r="F10" s="391" t="n"/>
      <c r="G10" s="507">
        <f>_xlfn.MINIFS(OPdate,OPcompte,$B10,OPdevise,D10,OPcatégorie,Solde)</f>
        <v/>
      </c>
      <c r="H10" s="508">
        <f>SUMIFS(OPmontant,OPcompte,$B10,OPdevise,$D10,OPdate,$G10,OPcatégorie,Solde)</f>
        <v/>
      </c>
      <c r="I10" s="508">
        <f>I9</f>
        <v/>
      </c>
      <c r="J10" s="507">
        <f>_xlfn.MAXIFS(OPdate,OPcompte,$B10,OPdevise,$D10,OPcatégorie,Solde)</f>
        <v/>
      </c>
      <c r="K10" s="506">
        <f>SUMIFS(OPmontant,OPcompte,$B10,OPdevise,$D10,OPcatégorie,Solde,OPdate,J10)</f>
        <v/>
      </c>
      <c r="L10" s="498" t="n"/>
    </row>
    <row r="11" ht="16.5" customHeight="1" s="304">
      <c r="A11" s="505" t="inlineStr">
        <is>
          <t>portefeuilles</t>
        </is>
      </c>
      <c r="B11" s="391" t="inlineStr">
        <is>
          <t>Assurance vie Alice</t>
        </is>
      </c>
      <c r="C11" s="391" t="inlineStr">
        <is>
          <t>Retenu</t>
        </is>
      </c>
      <c r="D11" s="391" t="inlineStr">
        <is>
          <t>EUR</t>
        </is>
      </c>
      <c r="E11" s="506">
        <f>K11-(H11+I11)</f>
        <v/>
      </c>
      <c r="F11" s="391" t="n"/>
      <c r="G11" s="507">
        <f>G10</f>
        <v/>
      </c>
      <c r="H11" s="508">
        <f>H10</f>
        <v/>
      </c>
      <c r="I11" s="508">
        <f>I10</f>
        <v/>
      </c>
      <c r="J11" s="507">
        <f>IF(J9&gt;J10,J9,J10)</f>
        <v/>
      </c>
      <c r="K11" s="506">
        <f>IF(J9&gt;J10,K9,K10)</f>
        <v/>
      </c>
      <c r="L11" s="498" t="n"/>
    </row>
    <row r="12" ht="16.5" customHeight="1" s="304">
      <c r="A12" s="391" t="n"/>
      <c r="B12" s="391" t="n"/>
      <c r="C12" s="391" t="n"/>
      <c r="D12" s="391" t="n"/>
      <c r="E12" s="391" t="n"/>
      <c r="F12" s="391" t="n"/>
      <c r="G12" s="391" t="n"/>
      <c r="H12" s="391" t="n"/>
      <c r="I12" s="391" t="n"/>
      <c r="J12" s="391" t="n"/>
      <c r="K12" s="391" t="n"/>
    </row>
    <row r="13" ht="16.5" customHeight="1" s="304">
      <c r="A13" s="505" t="inlineStr">
        <is>
          <t>portefeuilles</t>
        </is>
      </c>
      <c r="B13" s="391" t="inlineStr">
        <is>
          <t>PEE Alice</t>
        </is>
      </c>
      <c r="C13" s="391" t="inlineStr">
        <is>
          <t>Portefeuille</t>
        </is>
      </c>
      <c r="D13" s="391" t="n"/>
      <c r="E13" s="506" t="n"/>
      <c r="F13" s="391" t="n"/>
      <c r="G13" s="507" t="n"/>
      <c r="H13" s="508" t="n"/>
      <c r="I13" s="508" t="n"/>
      <c r="J13" s="507" t="n"/>
      <c r="K13" s="506" t="n"/>
      <c r="L13" s="498" t="n"/>
    </row>
    <row r="14" ht="16.5" customHeight="1" s="304">
      <c r="A14" s="505" t="inlineStr">
        <is>
          <t>portefeuilles</t>
        </is>
      </c>
      <c r="B14" s="391" t="inlineStr">
        <is>
          <t>PEE Alice</t>
        </is>
      </c>
      <c r="C14" s="391" t="inlineStr">
        <is>
          <t>Total</t>
        </is>
      </c>
      <c r="D14" s="391" t="inlineStr">
        <is>
          <t>EUR</t>
        </is>
      </c>
      <c r="E14" s="506">
        <f>K14-(H14+I14)</f>
        <v/>
      </c>
      <c r="F14" s="391" t="n"/>
      <c r="G14" s="507" t="n">
        <v>0</v>
      </c>
      <c r="H14" s="508" t="n">
        <v>0</v>
      </c>
      <c r="I14" s="508" t="n">
        <v>0</v>
      </c>
      <c r="J14" s="507" t="n"/>
      <c r="K14" s="506" t="n">
        <v>0</v>
      </c>
      <c r="L14" s="498" t="n"/>
    </row>
    <row r="15" ht="16.5" customHeight="1" s="304">
      <c r="A15" s="505" t="inlineStr">
        <is>
          <t>portefeuilles</t>
        </is>
      </c>
      <c r="B15" s="391" t="inlineStr">
        <is>
          <t>PEE Alice</t>
        </is>
      </c>
      <c r="C15" s="391" t="inlineStr">
        <is>
          <t>#Solde Opérations</t>
        </is>
      </c>
      <c r="D15" s="391" t="inlineStr">
        <is>
          <t>EUR</t>
        </is>
      </c>
      <c r="E15" s="506">
        <f>K15-(H15+I15)</f>
        <v/>
      </c>
      <c r="F15" s="391" t="n"/>
      <c r="G15" s="507">
        <f>_xlfn.MINIFS(OPdate,OPcompte,$B15,OPdevise,D15,OPcatégorie,Solde)</f>
        <v/>
      </c>
      <c r="H15" s="508">
        <f>SUMIFS(OPmontant,OPcompte,$B15,OPdevise,$D15,OPdate,$G15,OPcatégorie,Solde)</f>
        <v/>
      </c>
      <c r="I15" s="508">
        <f>I14</f>
        <v/>
      </c>
      <c r="J15" s="507">
        <f>_xlfn.MAXIFS(OPdate,OPcompte,$B15,OPdevise,$D15,OPcatégorie,Solde)</f>
        <v/>
      </c>
      <c r="K15" s="506">
        <f>SUMIFS(OPmontant,OPcompte,$B15,OPdevise,$D15,OPcatégorie,Solde,OPdate,J15)</f>
        <v/>
      </c>
      <c r="L15" s="498" t="n"/>
    </row>
    <row r="16" ht="16.5" customHeight="1" s="304">
      <c r="A16" s="505" t="inlineStr">
        <is>
          <t>portefeuilles</t>
        </is>
      </c>
      <c r="B16" s="391" t="inlineStr">
        <is>
          <t>PEE Alice</t>
        </is>
      </c>
      <c r="C16" s="391" t="inlineStr">
        <is>
          <t>Retenu</t>
        </is>
      </c>
      <c r="D16" s="391" t="inlineStr">
        <is>
          <t>EUR</t>
        </is>
      </c>
      <c r="E16" s="506">
        <f>K16-(H16+I16)</f>
        <v/>
      </c>
      <c r="F16" s="391" t="n"/>
      <c r="G16" s="507">
        <f>G15</f>
        <v/>
      </c>
      <c r="H16" s="508">
        <f>H15</f>
        <v/>
      </c>
      <c r="I16" s="508">
        <f>I15</f>
        <v/>
      </c>
      <c r="J16" s="507">
        <f>IF(J14&gt;J15,J14,J15)</f>
        <v/>
      </c>
      <c r="K16" s="506">
        <f>IF(J14&gt;J15,K14,K15)</f>
        <v/>
      </c>
      <c r="L16" s="498" t="n"/>
    </row>
    <row r="17" ht="16.5" customHeight="1" s="304">
      <c r="A17" s="391" t="n"/>
      <c r="B17" s="391" t="n"/>
      <c r="C17" s="391" t="n"/>
      <c r="D17" s="391" t="n"/>
      <c r="E17" s="391" t="n"/>
      <c r="F17" s="391" t="n"/>
      <c r="G17" s="391" t="n"/>
      <c r="H17" s="391" t="n"/>
      <c r="I17" s="391" t="n"/>
      <c r="J17" s="391" t="n"/>
      <c r="K17" s="391" t="n"/>
    </row>
    <row r="18" ht="16.5" customHeight="1" s="304">
      <c r="A18" s="505" t="inlineStr">
        <is>
          <t>portefeuilles</t>
        </is>
      </c>
      <c r="B18" s="391" t="inlineStr">
        <is>
          <t>Portefeuille BB Titres</t>
        </is>
      </c>
      <c r="C18" s="391" t="inlineStr">
        <is>
          <t>Portefeuille</t>
        </is>
      </c>
      <c r="D18" s="391" t="n"/>
      <c r="E18" s="506" t="n"/>
      <c r="F18" s="391" t="n"/>
      <c r="G18" s="507" t="n"/>
      <c r="H18" s="508" t="n"/>
      <c r="I18" s="508" t="n"/>
      <c r="J18" s="507" t="n"/>
      <c r="K18" s="506" t="n"/>
      <c r="L18" s="498" t="n"/>
    </row>
    <row r="19" ht="16.5" customHeight="1" s="304">
      <c r="A19" s="505" t="inlineStr">
        <is>
          <t>portefeuilles</t>
        </is>
      </c>
      <c r="B19" s="391" t="inlineStr">
        <is>
          <t>Portefeuille BB Titres</t>
        </is>
      </c>
      <c r="C19" s="391" t="inlineStr">
        <is>
          <t>Total</t>
        </is>
      </c>
      <c r="D19" s="391" t="inlineStr">
        <is>
          <t>EUR</t>
        </is>
      </c>
      <c r="E19" s="506">
        <f>K19-(H19+I19)</f>
        <v/>
      </c>
      <c r="F19" s="391" t="n"/>
      <c r="G19" s="507" t="n">
        <v>0</v>
      </c>
      <c r="H19" s="508" t="n">
        <v>0</v>
      </c>
      <c r="I19" s="508" t="n">
        <v>0</v>
      </c>
      <c r="J19" s="507" t="n"/>
      <c r="K19" s="506" t="n">
        <v>0</v>
      </c>
      <c r="L19" s="498" t="n"/>
    </row>
    <row r="20" ht="16.5" customHeight="1" s="304">
      <c r="A20" s="505" t="inlineStr">
        <is>
          <t>portefeuilles</t>
        </is>
      </c>
      <c r="B20" s="391" t="inlineStr">
        <is>
          <t>Portefeuille BB Titres</t>
        </is>
      </c>
      <c r="C20" s="391" t="inlineStr">
        <is>
          <t>#Solde Opérations</t>
        </is>
      </c>
      <c r="D20" s="391" t="inlineStr">
        <is>
          <t>EUR</t>
        </is>
      </c>
      <c r="E20" s="506">
        <f>K20-(H20+I20)</f>
        <v/>
      </c>
      <c r="F20" s="391" t="n"/>
      <c r="G20" s="507">
        <f>_xlfn.MINIFS(OPdate,OPcompte,$B20,OPdevise,D20,OPcatégorie,Solde)</f>
        <v/>
      </c>
      <c r="H20" s="508">
        <f>SUMIFS(OPmontant,OPcompte,$B20,OPdevise,$D20,OPdate,$G20,OPcatégorie,Solde)</f>
        <v/>
      </c>
      <c r="I20" s="508">
        <f>I19</f>
        <v/>
      </c>
      <c r="J20" s="507">
        <f>_xlfn.MAXIFS(OPdate,OPcompte,$B20,OPdevise,$D20,OPcatégorie,Solde)</f>
        <v/>
      </c>
      <c r="K20" s="506">
        <f>SUMIFS(OPmontant,OPcompte,$B20,OPdevise,$D20,OPcatégorie,Solde,OPdate,J20)</f>
        <v/>
      </c>
      <c r="L20" s="498" t="n"/>
    </row>
    <row r="21" ht="16.5" customHeight="1" s="304">
      <c r="A21" s="505" t="inlineStr">
        <is>
          <t>portefeuilles</t>
        </is>
      </c>
      <c r="B21" s="391" t="inlineStr">
        <is>
          <t>Portefeuille BB Titres</t>
        </is>
      </c>
      <c r="C21" s="391" t="inlineStr">
        <is>
          <t>Retenu</t>
        </is>
      </c>
      <c r="D21" s="391" t="inlineStr">
        <is>
          <t>EUR</t>
        </is>
      </c>
      <c r="E21" s="506">
        <f>K21-(H21+I21)</f>
        <v/>
      </c>
      <c r="F21" s="391" t="n"/>
      <c r="G21" s="507">
        <f>G20</f>
        <v/>
      </c>
      <c r="H21" s="508">
        <f>H20</f>
        <v/>
      </c>
      <c r="I21" s="508">
        <f>I20</f>
        <v/>
      </c>
      <c r="J21" s="507">
        <f>IF(J19&gt;J20,J19,J20)</f>
        <v/>
      </c>
      <c r="K21" s="506">
        <f>IF(J19&gt;J20,K19,K20)</f>
        <v/>
      </c>
      <c r="L21" s="498" t="n"/>
    </row>
    <row r="22" ht="16.5" customHeight="1" s="304">
      <c r="A22" s="391" t="n"/>
      <c r="B22" s="391" t="n"/>
      <c r="C22" s="391" t="n"/>
      <c r="D22" s="391" t="n"/>
      <c r="E22" s="391" t="n"/>
      <c r="F22" s="391" t="n"/>
      <c r="G22" s="391" t="n"/>
      <c r="H22" s="391" t="n"/>
      <c r="I22" s="391" t="n"/>
      <c r="J22" s="391" t="n"/>
      <c r="K22" s="391" t="n"/>
    </row>
    <row r="23" ht="16.5" customHeight="1" s="304">
      <c r="A23" s="505" t="inlineStr">
        <is>
          <t>portefeuilles</t>
        </is>
      </c>
      <c r="B23" s="391" t="inlineStr">
        <is>
          <t>Portefeuille DEGIRO Titres</t>
        </is>
      </c>
      <c r="C23" s="391" t="inlineStr">
        <is>
          <t>Portefeuille</t>
        </is>
      </c>
      <c r="D23" s="391" t="n"/>
      <c r="E23" s="506" t="n"/>
      <c r="F23" s="391" t="n"/>
      <c r="G23" s="507" t="n"/>
      <c r="H23" s="508" t="n"/>
      <c r="I23" s="508" t="n"/>
      <c r="J23" s="507" t="n"/>
      <c r="K23" s="506" t="n"/>
      <c r="L23" s="498" t="n"/>
    </row>
    <row r="24" ht="16.5" customHeight="1" s="304">
      <c r="A24" s="505" t="inlineStr">
        <is>
          <t>portefeuilles</t>
        </is>
      </c>
      <c r="B24" s="391" t="inlineStr">
        <is>
          <t>Portefeuille DEGIRO Titres</t>
        </is>
      </c>
      <c r="C24" s="391" t="inlineStr">
        <is>
          <t>Total</t>
        </is>
      </c>
      <c r="D24" s="391" t="inlineStr">
        <is>
          <t>EUR</t>
        </is>
      </c>
      <c r="E24" s="506">
        <f>K24-(H24+I24)</f>
        <v/>
      </c>
      <c r="F24" s="391" t="n"/>
      <c r="G24" s="507" t="n">
        <v>0</v>
      </c>
      <c r="H24" s="508" t="n">
        <v>0</v>
      </c>
      <c r="I24" s="508" t="n">
        <v>0</v>
      </c>
      <c r="J24" s="507" t="n"/>
      <c r="K24" s="506" t="n">
        <v>0</v>
      </c>
      <c r="L24" s="498" t="n"/>
    </row>
    <row r="25" ht="16.5" customHeight="1" s="304">
      <c r="A25" s="505" t="inlineStr">
        <is>
          <t>portefeuilles</t>
        </is>
      </c>
      <c r="B25" s="391" t="inlineStr">
        <is>
          <t>Portefeuille DEGIRO Titres</t>
        </is>
      </c>
      <c r="C25" s="391" t="inlineStr">
        <is>
          <t>#Solde Opérations</t>
        </is>
      </c>
      <c r="D25" s="391" t="inlineStr">
        <is>
          <t>EUR</t>
        </is>
      </c>
      <c r="E25" s="506">
        <f>K25-(H25+I25)</f>
        <v/>
      </c>
      <c r="F25" s="391" t="n"/>
      <c r="G25" s="507">
        <f>_xlfn.MINIFS(OPdate,OPcompte,$B25,OPdevise,D25,OPcatégorie,Solde)</f>
        <v/>
      </c>
      <c r="H25" s="508">
        <f>SUMIFS(OPmontant,OPcompte,$B25,OPdevise,$D25,OPdate,$G25,OPcatégorie,Solde)</f>
        <v/>
      </c>
      <c r="I25" s="508">
        <f>I24</f>
        <v/>
      </c>
      <c r="J25" s="507">
        <f>_xlfn.MAXIFS(OPdate,OPcompte,$B25,OPdevise,$D25,OPcatégorie,Solde)</f>
        <v/>
      </c>
      <c r="K25" s="506">
        <f>SUMIFS(OPmontant,OPcompte,$B25,OPdevise,$D25,OPcatégorie,Solde,OPdate,J25)</f>
        <v/>
      </c>
      <c r="L25" s="498" t="n"/>
    </row>
    <row r="26" ht="16.5" customHeight="1" s="304">
      <c r="A26" s="505" t="inlineStr">
        <is>
          <t>portefeuilles</t>
        </is>
      </c>
      <c r="B26" s="391" t="inlineStr">
        <is>
          <t>Portefeuille DEGIRO Titres</t>
        </is>
      </c>
      <c r="C26" s="391" t="inlineStr">
        <is>
          <t>Retenu</t>
        </is>
      </c>
      <c r="D26" s="391" t="inlineStr">
        <is>
          <t>EUR</t>
        </is>
      </c>
      <c r="E26" s="506">
        <f>K26-(H26+I26)</f>
        <v/>
      </c>
      <c r="F26" s="391" t="n"/>
      <c r="G26" s="507">
        <f>G25</f>
        <v/>
      </c>
      <c r="H26" s="508">
        <f>H25</f>
        <v/>
      </c>
      <c r="I26" s="508">
        <f>I25</f>
        <v/>
      </c>
      <c r="J26" s="507">
        <f>IF(J24&gt;J25,J24,J25)</f>
        <v/>
      </c>
      <c r="K26" s="506">
        <f>IF(J24&gt;J25,K24,K25)</f>
        <v/>
      </c>
      <c r="L26" s="498" t="n"/>
    </row>
    <row r="27" ht="16.5" customHeight="1" s="304">
      <c r="A27" s="391" t="n"/>
      <c r="B27" s="391" t="n"/>
      <c r="C27" s="391" t="n"/>
      <c r="D27" s="391" t="n"/>
      <c r="E27" s="391" t="n"/>
      <c r="F27" s="391" t="n"/>
      <c r="G27" s="391" t="n"/>
      <c r="H27" s="391" t="n"/>
      <c r="I27" s="391" t="n"/>
      <c r="J27" s="391" t="n"/>
      <c r="K27" s="391" t="n"/>
    </row>
    <row r="28" ht="16.5" customHeight="1" s="304">
      <c r="A28" s="505" t="inlineStr">
        <is>
          <t>portefeuilles</t>
        </is>
      </c>
      <c r="B28" s="391" t="inlineStr">
        <is>
          <t>Portefeuille eToro USD Titres</t>
        </is>
      </c>
      <c r="C28" s="391" t="inlineStr">
        <is>
          <t>Portefeuille</t>
        </is>
      </c>
      <c r="D28" s="391" t="n"/>
      <c r="E28" s="509" t="n"/>
      <c r="F28" s="391" t="n"/>
      <c r="G28" s="507" t="n"/>
      <c r="H28" s="510" t="n"/>
      <c r="I28" s="510" t="n"/>
      <c r="J28" s="507" t="n"/>
      <c r="K28" s="509" t="n"/>
      <c r="L28" s="498" t="n"/>
    </row>
    <row r="29" ht="16.5" customHeight="1" s="304">
      <c r="A29" s="505" t="inlineStr">
        <is>
          <t>portefeuilles</t>
        </is>
      </c>
      <c r="B29" s="391" t="inlineStr">
        <is>
          <t>Portefeuille eToro USD Titres</t>
        </is>
      </c>
      <c r="C29" s="366" t="inlineStr">
        <is>
          <t>*AI.PA*</t>
        </is>
      </c>
      <c r="D29" s="366" t="inlineStr">
        <is>
          <t>USD</t>
        </is>
      </c>
      <c r="E29" s="511">
        <f>K29-(H29+I29)</f>
        <v/>
      </c>
      <c r="F29" s="366" t="n"/>
      <c r="G29" s="512" t="n">
        <v>0</v>
      </c>
      <c r="H29" s="513" t="n">
        <v>10</v>
      </c>
      <c r="I29" s="513">
        <f>SUMIFS(OPmontant,OPcompte,$B29,OPdevise,$D29,OPcatégorie,"&lt;&gt;"&amp;Spéciale,OPlibellé,$C29,OPdate,"&gt;="&amp;$G29)</f>
        <v/>
      </c>
      <c r="J29" s="512" t="n">
        <v>46083</v>
      </c>
      <c r="K29" s="511" t="n">
        <v>12.62</v>
      </c>
      <c r="L29" s="498" t="n"/>
    </row>
    <row r="30" ht="16.5" customHeight="1" s="304">
      <c r="A30" s="505" t="inlineStr">
        <is>
          <t>portefeuilles</t>
        </is>
      </c>
      <c r="B30" s="391" t="inlineStr">
        <is>
          <t>Portefeuille eToro USD Titres</t>
        </is>
      </c>
      <c r="C30" s="366" t="inlineStr">
        <is>
          <t>*SPX500*</t>
        </is>
      </c>
      <c r="D30" s="366" t="inlineStr">
        <is>
          <t>USD</t>
        </is>
      </c>
      <c r="E30" s="511">
        <f>K30-(H30+I30)</f>
        <v/>
      </c>
      <c r="F30" s="366" t="n"/>
      <c r="G30" s="512" t="n">
        <v>45715</v>
      </c>
      <c r="H30" s="513" t="n">
        <v>0</v>
      </c>
      <c r="I30" s="513">
        <f>SUMIFS(OPmontant,OPcompte,$B30,OPdevise,$D30,OPcatégorie,"&lt;&gt;"&amp;Spéciale,OPlibellé,$C30,OPdate,"&gt;="&amp;$G30)</f>
        <v/>
      </c>
      <c r="J30" s="512" t="n">
        <v>45924</v>
      </c>
      <c r="K30" s="511" t="n">
        <v>0</v>
      </c>
      <c r="L30" s="498" t="n"/>
    </row>
    <row r="31" ht="16.5" customHeight="1" s="304">
      <c r="A31" s="505" t="inlineStr">
        <is>
          <t>portefeuilles</t>
        </is>
      </c>
      <c r="B31" s="391" t="inlineStr">
        <is>
          <t>Portefeuille eToro USD Titres</t>
        </is>
      </c>
      <c r="C31" s="366" t="inlineStr">
        <is>
          <t>*BTC/USD*</t>
        </is>
      </c>
      <c r="D31" s="366" t="inlineStr">
        <is>
          <t>USD</t>
        </is>
      </c>
      <c r="E31" s="511">
        <f>K31-(H31+I31)</f>
        <v/>
      </c>
      <c r="F31" s="366" t="n"/>
      <c r="G31" s="512" t="n">
        <v>45924</v>
      </c>
      <c r="H31" s="513" t="n">
        <v>0</v>
      </c>
      <c r="I31" s="513">
        <f>SUMIFS(OPmontant,OPcompte,$B31,OPdevise,$D31,OPcatégorie,"&lt;&gt;"&amp;Spéciale,OPlibellé,$C31,OPdate,"&gt;="&amp;$G31)</f>
        <v/>
      </c>
      <c r="J31" s="512" t="n">
        <v>46083</v>
      </c>
      <c r="K31" s="511" t="n">
        <v>586.98</v>
      </c>
      <c r="L31" s="498" t="n"/>
    </row>
    <row r="32" ht="16.5" customHeight="1" s="304">
      <c r="A32" s="505" t="inlineStr">
        <is>
          <t>portefeuilles</t>
        </is>
      </c>
      <c r="B32" s="391" t="inlineStr">
        <is>
          <t>Portefeuille eToro USD Titres</t>
        </is>
      </c>
      <c r="C32" s="366" t="inlineStr">
        <is>
          <t>*COMT*</t>
        </is>
      </c>
      <c r="D32" s="366" t="inlineStr">
        <is>
          <t>USD</t>
        </is>
      </c>
      <c r="E32" s="511">
        <f>K32-(H32+I32)</f>
        <v/>
      </c>
      <c r="F32" s="366" t="n"/>
      <c r="G32" s="512" t="n">
        <v>46048</v>
      </c>
      <c r="H32" s="513" t="n">
        <v>0</v>
      </c>
      <c r="I32" s="513">
        <f>SUMIFS(OPmontant,OPcompte,$B32,OPdevise,$D32,OPcatégorie,"&lt;&gt;"&amp;Spéciale,OPlibellé,$C32,OPdate,"&gt;="&amp;$G32)</f>
        <v/>
      </c>
      <c r="J32" s="512" t="n">
        <v>46083</v>
      </c>
      <c r="K32" s="511" t="n">
        <v>2607.14</v>
      </c>
      <c r="L32" s="498" t="n"/>
    </row>
    <row r="33" ht="16.5" customHeight="1" s="304">
      <c r="A33" s="505" t="inlineStr">
        <is>
          <t>portefeuilles</t>
        </is>
      </c>
      <c r="B33" s="391" t="inlineStr">
        <is>
          <t>Portefeuille eToro USD Titres</t>
        </is>
      </c>
      <c r="C33" s="366" t="inlineStr">
        <is>
          <t>*KWEB*</t>
        </is>
      </c>
      <c r="D33" s="366" t="inlineStr">
        <is>
          <t>USD</t>
        </is>
      </c>
      <c r="E33" s="511">
        <f>K33-(H33+I33)</f>
        <v/>
      </c>
      <c r="F33" s="366" t="n"/>
      <c r="G33" s="512" t="n">
        <v>45783</v>
      </c>
      <c r="H33" s="513" t="n">
        <v>0</v>
      </c>
      <c r="I33" s="513">
        <f>SUMIFS(OPmontant,OPcompte,$B33,OPdevise,$D33,OPcatégorie,"&lt;&gt;"&amp;Spéciale,OPlibellé,$C33,OPdate,"&gt;="&amp;$G33)</f>
        <v/>
      </c>
      <c r="J33" s="512" t="n">
        <v>46083</v>
      </c>
      <c r="K33" s="511" t="n">
        <v>181.99</v>
      </c>
      <c r="L33" s="498" t="n"/>
    </row>
    <row r="34" ht="16.5" customHeight="1" s="304">
      <c r="A34" s="505" t="inlineStr">
        <is>
          <t>portefeuilles</t>
        </is>
      </c>
      <c r="B34" s="391" t="inlineStr">
        <is>
          <t>Portefeuille eToro USD Titres</t>
        </is>
      </c>
      <c r="C34" s="391" t="inlineStr">
        <is>
          <t>Total</t>
        </is>
      </c>
      <c r="D34" s="391" t="inlineStr">
        <is>
          <t>USD</t>
        </is>
      </c>
      <c r="E34" s="514">
        <f>K34-(H34+I34)</f>
        <v/>
      </c>
      <c r="F34" s="391" t="n"/>
      <c r="G34" s="507">
        <f>MIN(G29:G33)</f>
        <v/>
      </c>
      <c r="H34" s="515">
        <f>SUM(H29:H33)</f>
        <v/>
      </c>
      <c r="I34" s="515">
        <f>SUM(I29:I33)</f>
        <v/>
      </c>
      <c r="J34" s="507">
        <f>J29</f>
        <v/>
      </c>
      <c r="K34" s="514">
        <f>SUM(K29:K33)</f>
        <v/>
      </c>
      <c r="L34" s="498" t="n"/>
    </row>
    <row r="35" ht="16.5" customHeight="1" s="304">
      <c r="A35" s="505" t="inlineStr">
        <is>
          <t>portefeuilles</t>
        </is>
      </c>
      <c r="B35" s="391" t="inlineStr">
        <is>
          <t>Portefeuille eToro USD Titres</t>
        </is>
      </c>
      <c r="C35" s="391" t="inlineStr">
        <is>
          <t>#Solde Opérations</t>
        </is>
      </c>
      <c r="D35" s="391" t="inlineStr">
        <is>
          <t>USD</t>
        </is>
      </c>
      <c r="E35" s="514">
        <f>K35-(H35+I35)</f>
        <v/>
      </c>
      <c r="F35" s="391" t="n"/>
      <c r="G35" s="507">
        <f>_xlfn.MINIFS(OPdate,OPcompte,$B35,OPdevise,D35,OPcatégorie,Solde)</f>
        <v/>
      </c>
      <c r="H35" s="515">
        <f>SUMIFS(OPmontant,OPcompte,$B35,OPdevise,$D35,OPdate,$G35,OPcatégorie,Solde)</f>
        <v/>
      </c>
      <c r="I35" s="515">
        <f>I34</f>
        <v/>
      </c>
      <c r="J35" s="507">
        <f>_xlfn.MAXIFS(OPdate,OPcompte,$B35,OPdevise,$D35,OPcatégorie,Solde)</f>
        <v/>
      </c>
      <c r="K35" s="514">
        <f>SUMIFS(OPmontant,OPcompte,$B35,OPdevise,$D35,OPcatégorie,Solde,OPdate,J35)</f>
        <v/>
      </c>
      <c r="L35" s="498" t="n"/>
    </row>
    <row r="36" ht="16.5" customHeight="1" s="304">
      <c r="A36" s="505" t="inlineStr">
        <is>
          <t>portefeuilles</t>
        </is>
      </c>
      <c r="B36" s="391" t="inlineStr">
        <is>
          <t>Portefeuille eToro USD Titres</t>
        </is>
      </c>
      <c r="C36" s="391" t="inlineStr">
        <is>
          <t>Retenu</t>
        </is>
      </c>
      <c r="D36" s="391" t="inlineStr">
        <is>
          <t>USD</t>
        </is>
      </c>
      <c r="E36" s="514">
        <f>K36-(H36+I36)</f>
        <v/>
      </c>
      <c r="F36" s="391" t="n"/>
      <c r="G36" s="507">
        <f>G35</f>
        <v/>
      </c>
      <c r="H36" s="515">
        <f>H35</f>
        <v/>
      </c>
      <c r="I36" s="515">
        <f>I35</f>
        <v/>
      </c>
      <c r="J36" s="507">
        <f>IF(J34&gt;J35,J34,J35)</f>
        <v/>
      </c>
      <c r="K36" s="514">
        <f>IF(J34&gt;J35,K34,K35)</f>
        <v/>
      </c>
      <c r="L36" s="498" t="n"/>
    </row>
    <row r="37" ht="16.5" customHeight="1" s="304">
      <c r="A37" s="391" t="n"/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6.5" customHeight="1" s="304">
      <c r="A38" s="505" t="inlineStr">
        <is>
          <t>Les métaux</t>
        </is>
      </c>
      <c r="B38" s="391" t="n"/>
      <c r="C38" s="391" t="n"/>
      <c r="D38" s="391" t="n"/>
      <c r="E38" s="391" t="n"/>
      <c r="F38" s="391" t="n"/>
      <c r="G38" s="391" t="n"/>
      <c r="H38" s="391" t="n"/>
      <c r="I38" s="391" t="n"/>
      <c r="J38" s="391" t="n"/>
      <c r="K38" s="391" t="n"/>
    </row>
    <row r="39" ht="16.5" customHeight="1" s="304">
      <c r="A39" s="505" t="inlineStr">
        <is>
          <t>métaux</t>
        </is>
      </c>
      <c r="B39" s="391" t="inlineStr">
        <is>
          <t>Pièces or</t>
        </is>
      </c>
      <c r="C39" s="391" t="n"/>
      <c r="D39" s="366" t="inlineStr">
        <is>
          <t>OrPr</t>
        </is>
      </c>
      <c r="E39" s="516">
        <f>K39-(H39+I39)</f>
        <v/>
      </c>
      <c r="F39" s="366" t="n"/>
      <c r="G39" s="512">
        <f>_xlfn.MINIFS(OPdate,OPcompte,B39,OPdevise,D39,OPcatégorie,Solde)</f>
        <v/>
      </c>
      <c r="H39" s="517" t="n">
        <v>0</v>
      </c>
      <c r="I39" s="517">
        <f>SUMIFS(OPequiv_euro,OPcompte,B39,OPdevise,D39,OPcatégorie,"&lt;&gt;"&amp;Spéciale,OPdate,"&gt;="&amp;G39)</f>
        <v/>
      </c>
      <c r="J39" s="512">
        <f>SUMIF(AVRintitulé,$B39,AVRdate_solde)</f>
        <v/>
      </c>
      <c r="K39" s="516">
        <f>SUMIF(AVRintitulé,$B39,AVRmontant_solde_euro)</f>
        <v/>
      </c>
      <c r="L39" s="498" t="n"/>
    </row>
    <row r="40" ht="16.5" customHeight="1" s="304">
      <c r="A40" s="391" t="n"/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6.5" customHeight="1" s="304">
      <c r="A41" s="505" t="inlineStr">
        <is>
          <t>Les cryptos</t>
        </is>
      </c>
      <c r="B41" s="391" t="n"/>
      <c r="C41" s="391" t="n"/>
      <c r="D41" s="391" t="n"/>
      <c r="E41" s="391" t="n"/>
      <c r="F41" s="391" t="n"/>
      <c r="G41" s="391" t="n"/>
      <c r="H41" s="391" t="n"/>
      <c r="I41" s="391" t="n"/>
      <c r="J41" s="391" t="n"/>
      <c r="K41" s="391" t="n"/>
    </row>
    <row r="42" ht="16.5" customHeight="1" s="304">
      <c r="A42" s="505" t="inlineStr">
        <is>
          <t>crypto</t>
        </is>
      </c>
      <c r="B42" s="391" t="inlineStr">
        <is>
          <t>BlueWallet BTC</t>
        </is>
      </c>
      <c r="C42" s="391" t="n"/>
      <c r="D42" s="366" t="inlineStr">
        <is>
          <t>SAT</t>
        </is>
      </c>
      <c r="E42" s="518">
        <f>K42-(H42+I42)</f>
        <v/>
      </c>
      <c r="F42" s="366" t="n"/>
      <c r="G42" s="512">
        <f>_xlfn.MINIFS(OPdate,OPcompte,B42,OPdevise,D42,OPcatégorie,Solde)</f>
        <v/>
      </c>
      <c r="H42" s="517" t="n">
        <v>0</v>
      </c>
      <c r="I42" s="517">
        <f>SUMIFS(OPequiv_euro,OPcompte,B42,OPdevise,D42,OPcatégorie,"&lt;&gt;"&amp;Spéciale,OPdate,"&gt;="&amp;G42)</f>
        <v/>
      </c>
      <c r="J42" s="512">
        <f>SUMIF(AVRintitulé,$B42,AVRdate_solde)</f>
        <v/>
      </c>
      <c r="K42" s="518">
        <f>SUMIF(AVRintitulé,$B42,AVRmontant_solde_euro)</f>
        <v/>
      </c>
      <c r="L42" s="498" t="n"/>
    </row>
    <row r="43" ht="16.5" customHeight="1" s="304">
      <c r="A43" s="505" t="inlineStr">
        <is>
          <t>crypto</t>
        </is>
      </c>
      <c r="B43" s="391" t="inlineStr">
        <is>
          <t>Phoenix Lightning BTC</t>
        </is>
      </c>
      <c r="C43" s="391" t="n"/>
      <c r="D43" s="366" t="inlineStr">
        <is>
          <t>SAT</t>
        </is>
      </c>
      <c r="E43" s="518">
        <f>K43-(H43+I43)</f>
        <v/>
      </c>
      <c r="F43" s="366" t="n"/>
      <c r="G43" s="512">
        <f>_xlfn.MINIFS(OPdate,OPcompte,B43,OPdevise,D43,OPcatégorie,Solde)</f>
        <v/>
      </c>
      <c r="H43" s="517" t="n">
        <v>0</v>
      </c>
      <c r="I43" s="517">
        <f>SUMIFS(OPequiv_euro,OPcompte,B43,OPdevise,D43,OPcatégorie,"&lt;&gt;"&amp;Spéciale,OPdate,"&gt;="&amp;G43)</f>
        <v/>
      </c>
      <c r="J43" s="512">
        <f>SUMIF(AVRintitulé,$B43,AVRdate_solde)</f>
        <v/>
      </c>
      <c r="K43" s="518">
        <f>SUMIF(AVRintitulé,$B43,AVRmontant_solde_euro)</f>
        <v/>
      </c>
      <c r="L43" s="498" t="n"/>
    </row>
    <row r="44" ht="16.5" customHeight="1" s="304">
      <c r="A44" s="505" t="inlineStr">
        <is>
          <t>crypto</t>
        </is>
      </c>
      <c r="B44" s="391" t="inlineStr">
        <is>
          <t>Compte Kraken BTC</t>
        </is>
      </c>
      <c r="C44" s="391" t="n"/>
      <c r="D44" s="366" t="inlineStr">
        <is>
          <t>SAT</t>
        </is>
      </c>
      <c r="E44" s="518">
        <f>K44-(H44+I44)</f>
        <v/>
      </c>
      <c r="F44" s="366" t="n"/>
      <c r="G44" s="512">
        <f>_xlfn.MINIFS(OPdate,OPcompte,B44,OPdevise,D44,OPcatégorie,Solde)</f>
        <v/>
      </c>
      <c r="H44" s="517" t="n">
        <v>0</v>
      </c>
      <c r="I44" s="517">
        <f>SUMIFS(OPequiv_euro,OPcompte,B44,OPdevise,D44,OPcatégorie,"&lt;&gt;"&amp;Spéciale,OPdate,"&gt;="&amp;G44)</f>
        <v/>
      </c>
      <c r="J44" s="512">
        <f>SUMIF(AVRintitulé,$B44,AVRdate_solde)</f>
        <v/>
      </c>
      <c r="K44" s="518">
        <f>SUMIF(AVRintitulé,$B44,AVRmontant_solde_euro)</f>
        <v/>
      </c>
      <c r="L44" s="498" t="n"/>
    </row>
    <row r="45" ht="16.5" customHeight="1" s="304">
      <c r="A45" s="505" t="inlineStr">
        <is>
          <t>crypto</t>
        </is>
      </c>
      <c r="B45" s="391" t="inlineStr">
        <is>
          <t>Cake Wallet XMR</t>
        </is>
      </c>
      <c r="C45" s="391" t="n"/>
      <c r="D45" s="366" t="inlineStr">
        <is>
          <t>XMR</t>
        </is>
      </c>
      <c r="E45" s="519">
        <f>K45-(H45+I45)</f>
        <v/>
      </c>
      <c r="F45" s="366" t="n"/>
      <c r="G45" s="512">
        <f>_xlfn.MINIFS(OPdate,OPcompte,B45,OPdevise,D45,OPcatégorie,Solde)</f>
        <v/>
      </c>
      <c r="H45" s="517" t="n">
        <v>0</v>
      </c>
      <c r="I45" s="517">
        <f>SUMIFS(OPequiv_euro,OPcompte,B45,OPdevise,D45,OPcatégorie,"&lt;&gt;"&amp;Spéciale,OPdate,"&gt;="&amp;G45)</f>
        <v/>
      </c>
      <c r="J45" s="512">
        <f>SUMIF(AVRintitulé,$B45,AVRdate_solde)</f>
        <v/>
      </c>
      <c r="K45" s="519">
        <f>SUMIF(AVRintitulé,$B45,AVRmontant_solde_euro)</f>
        <v/>
      </c>
      <c r="L45" s="498" t="n"/>
    </row>
    <row r="46" ht="16.5" customHeight="1" s="304">
      <c r="A46" s="391" t="n"/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6.5" customHeight="1" s="304">
      <c r="A47" s="505" t="inlineStr">
        <is>
          <t>Les devises</t>
        </is>
      </c>
      <c r="B47" s="391" t="n"/>
      <c r="C47" s="391" t="n"/>
      <c r="D47" s="391" t="n"/>
      <c r="E47" s="391" t="n"/>
      <c r="F47" s="391" t="n"/>
      <c r="G47" s="391" t="n"/>
      <c r="H47" s="391" t="n"/>
      <c r="I47" s="391" t="n"/>
      <c r="J47" s="391" t="n"/>
      <c r="K47" s="391" t="n"/>
    </row>
    <row r="48" ht="16.5" customHeight="1" s="304">
      <c r="A48" s="505" t="inlineStr">
        <is>
          <t>devises</t>
        </is>
      </c>
      <c r="B48" s="391" t="inlineStr">
        <is>
          <t>Compte Wise USD</t>
        </is>
      </c>
      <c r="C48" s="391" t="n"/>
      <c r="D48" s="366" t="inlineStr">
        <is>
          <t>USD</t>
        </is>
      </c>
      <c r="E48" s="511">
        <f>K48-(H48+I48)</f>
        <v/>
      </c>
      <c r="F48" s="366" t="n"/>
      <c r="G48" s="512">
        <f>_xlfn.MINIFS(OPdate,OPcompte,B48,OPdevise,D48,OPcatégorie,Solde)</f>
        <v/>
      </c>
      <c r="H48" s="517" t="n">
        <v>0</v>
      </c>
      <c r="I48" s="517">
        <f>SUMIFS(OPequiv_euro,OPcompte,B48,OPdevise,D48,OPcatégorie,"&lt;&gt;"&amp;Spéciale,OPdate,"&gt;="&amp;G48)</f>
        <v/>
      </c>
      <c r="J48" s="512">
        <f>SUMIF(AVRintitulé,$B48,AVRdate_solde)</f>
        <v/>
      </c>
      <c r="K48" s="511">
        <f>SUMIF(AVRintitulé,$B48,AVRmontant_solde_euro)</f>
        <v/>
      </c>
      <c r="L48" s="498" t="n"/>
    </row>
    <row r="49" ht="16.5" customHeight="1" s="304">
      <c r="A49" s="505" t="inlineStr">
        <is>
          <t>devises</t>
        </is>
      </c>
      <c r="B49" s="391" t="inlineStr">
        <is>
          <t>Compte Wise SGD</t>
        </is>
      </c>
      <c r="C49" s="391" t="n"/>
      <c r="D49" s="366" t="inlineStr">
        <is>
          <t>SGD</t>
        </is>
      </c>
      <c r="E49" s="520">
        <f>K49-(H49+I49)</f>
        <v/>
      </c>
      <c r="F49" s="366" t="n"/>
      <c r="G49" s="512">
        <f>_xlfn.MINIFS(OPdate,OPcompte,B49,OPdevise,D49,OPcatégorie,Solde)</f>
        <v/>
      </c>
      <c r="H49" s="517" t="n">
        <v>0</v>
      </c>
      <c r="I49" s="517">
        <f>SUMIFS(OPequiv_euro,OPcompte,B49,OPdevise,D49,OPcatégorie,"&lt;&gt;"&amp;Spéciale,OPdate,"&gt;="&amp;G49)</f>
        <v/>
      </c>
      <c r="J49" s="512">
        <f>SUMIF(AVRintitulé,$B49,AVRdate_solde)</f>
        <v/>
      </c>
      <c r="K49" s="520">
        <f>SUMIF(AVRintitulé,$B49,AVRmontant_solde_euro)</f>
        <v/>
      </c>
      <c r="L49" s="498" t="n"/>
    </row>
    <row r="50" ht="16.5" customHeight="1" s="304">
      <c r="A50" s="505" t="inlineStr">
        <is>
          <t>devises</t>
        </is>
      </c>
      <c r="B50" s="391" t="inlineStr">
        <is>
          <t>Portefeuille eToro USD Réserve</t>
        </is>
      </c>
      <c r="C50" s="391" t="n"/>
      <c r="D50" s="366" t="inlineStr">
        <is>
          <t>USD</t>
        </is>
      </c>
      <c r="E50" s="511">
        <f>K50-(H50+I50)</f>
        <v/>
      </c>
      <c r="F50" s="366" t="n"/>
      <c r="G50" s="512">
        <f>_xlfn.MINIFS(OPdate,OPcompte,B50,OPdevise,D50,OPcatégorie,Solde)</f>
        <v/>
      </c>
      <c r="H50" s="517" t="n">
        <v>0</v>
      </c>
      <c r="I50" s="517">
        <f>SUMIFS(OPequiv_euro,OPcompte,B50,OPdevise,D50,OPcatégorie,"&lt;&gt;"&amp;Spéciale,OPdate,"&gt;="&amp;G50)</f>
        <v/>
      </c>
      <c r="J50" s="512">
        <f>SUMIF(AVRintitulé,$B50,AVRdate_solde)</f>
        <v/>
      </c>
      <c r="K50" s="511">
        <f>SUMIF(AVRintitulé,$B50,AVRmontant_solde_euro)</f>
        <v/>
      </c>
      <c r="L50" s="498" t="n"/>
    </row>
    <row r="51" ht="16.5" customHeight="1" s="304">
      <c r="A51" s="391" t="n"/>
      <c r="B51" s="391" t="n"/>
      <c r="C51" s="391" t="n"/>
      <c r="D51" s="391" t="n"/>
      <c r="E51" s="391" t="n"/>
      <c r="F51" s="391" t="n"/>
      <c r="G51" s="391" t="n"/>
      <c r="H51" s="391" t="n"/>
      <c r="I51" s="391" t="n"/>
      <c r="J51" s="391" t="n"/>
      <c r="K51" s="391" t="n"/>
    </row>
    <row r="52" ht="16.5" customHeight="1" s="304">
      <c r="A52" s="521" t="inlineStr">
        <is>
          <t>✓</t>
        </is>
      </c>
      <c r="B52" s="521" t="n"/>
      <c r="C52" s="522" t="n"/>
      <c r="D52" s="523" t="n"/>
      <c r="E52" s="522" t="n"/>
      <c r="F52" s="524" t="n"/>
      <c r="G52" s="525" t="n"/>
      <c r="H52" s="522" t="n"/>
      <c r="I52" s="522" t="n"/>
      <c r="J52" s="522" t="n"/>
      <c r="K52" s="522" t="n"/>
    </row>
    <row r="53" ht="16.5" customHeight="1" s="304">
      <c r="A53" s="391" t="inlineStr">
        <is>
          <t>GRAND TOTAL</t>
        </is>
      </c>
      <c r="B53" s="391" t="n"/>
      <c r="C53" s="391" t="n"/>
      <c r="D53" s="392" t="inlineStr">
        <is>
          <t>EUR</t>
        </is>
      </c>
      <c r="E53" s="526">
        <f>SUM(E54:E57)</f>
        <v/>
      </c>
      <c r="F53" s="527">
        <f>E53/(I53+K53)</f>
        <v/>
      </c>
      <c r="G53" s="528">
        <f>MIN(G54:G57)</f>
        <v/>
      </c>
      <c r="H53" s="322">
        <f>SUM(H54:H57)</f>
        <v/>
      </c>
      <c r="I53" s="322">
        <f>SUM(I54:I57)</f>
        <v/>
      </c>
      <c r="J53" s="512" t="n"/>
      <c r="K53" s="526">
        <f>SUM(K54:K57)</f>
        <v/>
      </c>
    </row>
    <row r="54" ht="16.5" customHeight="1" s="304">
      <c r="A54" s="391" t="inlineStr">
        <is>
          <t>TOTAL portefeuilles</t>
        </is>
      </c>
      <c r="B54" s="391" t="n"/>
      <c r="C54" s="391" t="n"/>
      <c r="D54" s="392" t="inlineStr">
        <is>
          <t>EUR</t>
        </is>
      </c>
      <c r="E54" s="526">
        <f>K54-(H54+I54)</f>
        <v/>
      </c>
      <c r="F54" s="529">
        <f>E54/(I54+K54)</f>
        <v/>
      </c>
      <c r="G54" s="528">
        <f>MIN(_xlfn.MINIFS(G:G,A:A,"portefeuilles",C:C,"Retenu",G:G,"&gt;0"))</f>
        <v/>
      </c>
      <c r="H54" s="322">
        <f>SUMPRODUCT((PVLsection="portefeuilles")*(PVLtitre="Retenu")*PVLmontant_init*IFERROR(INDEX(COTcours,MATCH(PVLdevise,COTcode,0)),1))</f>
        <v/>
      </c>
      <c r="I54" s="322">
        <f>SUMPRODUCT((PVLsection="portefeuilles")*(PVLtitre="Retenu")*PVLsigma*IFERROR(INDEX(COTcours,MATCH(PVLdevise,COTcode,0)),1))</f>
        <v/>
      </c>
      <c r="J54" s="528">
        <f>_xlfn.MAXIFS(J:J,A:A,"portefeuilles",C:C,"Retenu")</f>
        <v/>
      </c>
      <c r="K54" s="526">
        <f>SUMPRODUCT((PVLsection="portefeuilles")*(PVLtitre="Retenu")*PVLmontant*IFERROR(INDEX(COTcours,MATCH(PVLdevise,COTcode,0)),1))</f>
        <v/>
      </c>
    </row>
    <row r="55" ht="16.5" customHeight="1" s="304">
      <c r="A55" s="391" t="inlineStr">
        <is>
          <t>TOTAL métaux</t>
        </is>
      </c>
      <c r="B55" s="391" t="n"/>
      <c r="C55" s="391" t="n"/>
      <c r="D55" s="392" t="inlineStr">
        <is>
          <t>EUR</t>
        </is>
      </c>
      <c r="E55" s="526">
        <f>K55-(H55+I55)</f>
        <v/>
      </c>
      <c r="F55" s="529">
        <f>E55/(I55+K55)</f>
        <v/>
      </c>
      <c r="G55" s="528">
        <f>MIN(_xlfn.MINIFS(G:G,A:A,"métaux",G:G,"&gt;0"))</f>
        <v/>
      </c>
      <c r="H55" s="322">
        <f>SUMIFS(H:H,A:A,"métaux")</f>
        <v/>
      </c>
      <c r="I55" s="322">
        <f>SUMIFS(I:I,A:A,"métaux")</f>
        <v/>
      </c>
      <c r="J55" s="528">
        <f>_xlfn.MAXIFS(J:J,A:A,"métaux")</f>
        <v/>
      </c>
      <c r="K55" s="526">
        <f>SUMIFS(K:K,A:A,"métaux")</f>
        <v/>
      </c>
    </row>
    <row r="56" ht="16.5" customHeight="1" s="304">
      <c r="A56" s="391" t="inlineStr">
        <is>
          <t>TOTAL crypto-monnaies</t>
        </is>
      </c>
      <c r="B56" s="391" t="n"/>
      <c r="C56" s="391" t="n"/>
      <c r="D56" s="392" t="inlineStr">
        <is>
          <t>EUR</t>
        </is>
      </c>
      <c r="E56" s="526">
        <f>K56-(H56+I56)</f>
        <v/>
      </c>
      <c r="F56" s="529">
        <f>E56/(I56+K56)</f>
        <v/>
      </c>
      <c r="G56" s="528">
        <f>MIN(_xlfn.MINIFS(G:G,A:A,"crypto",G:G,"&gt;0"))</f>
        <v/>
      </c>
      <c r="H56" s="322">
        <f>SUMIFS(H:H,A:A,"crypto")</f>
        <v/>
      </c>
      <c r="I56" s="322">
        <f>SUMIFS(I:I,A:A,"crypto")</f>
        <v/>
      </c>
      <c r="J56" s="528">
        <f>_xlfn.MAXIFS(J:J,A:A,"crypto")</f>
        <v/>
      </c>
      <c r="K56" s="526">
        <f>SUMIFS(K:K,A:A,"crypto")</f>
        <v/>
      </c>
    </row>
    <row r="57" ht="16.5" customHeight="1" s="304">
      <c r="A57" s="391" t="inlineStr">
        <is>
          <t>TOTAL devises</t>
        </is>
      </c>
      <c r="B57" s="391" t="n"/>
      <c r="C57" s="391" t="n"/>
      <c r="D57" s="392" t="inlineStr">
        <is>
          <t>EUR</t>
        </is>
      </c>
      <c r="E57" s="526">
        <f>K57-(H57+I57)</f>
        <v/>
      </c>
      <c r="F57" s="530">
        <f>E57/(I57+K57)</f>
        <v/>
      </c>
      <c r="G57" s="528">
        <f>MIN(_xlfn.MINIFS(G:G,A:A,"devises",G:G,"&gt;0"))</f>
        <v/>
      </c>
      <c r="H57" s="322">
        <f>SUMIFS(H:H,A:A,"devises")</f>
        <v/>
      </c>
      <c r="I57" s="322">
        <f>SUMIFS(I:I,A:A,"devises")</f>
        <v/>
      </c>
      <c r="J57" s="528">
        <f>_xlfn.MAXIFS(J:J,A:A,"devises")</f>
        <v/>
      </c>
      <c r="K57" s="526">
        <f>SUMIFS(K:K,A:A,"devises")</f>
        <v/>
      </c>
    </row>
    <row r="58" ht="17.25" customHeight="1" s="304"/>
    <row r="59" ht="17.2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1" min="1" max="1"/>
    <col width="34.31" customWidth="1" style="346" min="2" max="2"/>
    <col width="17" customWidth="1" style="346" min="3" max="3"/>
    <col width="10.33" customWidth="1" style="346" min="4" max="4"/>
    <col width="12.61" customWidth="1" style="346" min="5" max="5"/>
    <col width="8.130000000000001" customWidth="1" style="346" min="6" max="6"/>
    <col width="26.88" customWidth="1" style="346" min="7" max="7"/>
    <col width="24.9" customWidth="1" style="346" min="8" max="8"/>
    <col width="32" customWidth="1" style="346" min="9" max="9"/>
    <col width="29.83" customWidth="1" style="346" min="10" max="10"/>
    <col width="22.83" customWidth="1" style="346" min="11" max="11"/>
    <col width="6" customWidth="1" style="346" min="12" max="16379"/>
    <col width="11.5" customWidth="1" style="303" min="16380" max="16380"/>
    <col width="11.53" customWidth="1" style="303" min="16381" max="16384"/>
  </cols>
  <sheetData>
    <row r="1" ht="16.5" customHeight="1" s="304">
      <c r="A1" s="532" t="inlineStr">
        <is>
          <t>Aujourd‘hui</t>
        </is>
      </c>
      <c r="B1" s="308" t="n"/>
      <c r="C1" s="308" t="n"/>
      <c r="D1" s="308" t="n"/>
      <c r="E1" s="533" t="n"/>
      <c r="F1" s="314" t="inlineStr">
        <is>
          <t>Compteur Réf.</t>
        </is>
      </c>
      <c r="G1" s="308" t="n"/>
      <c r="H1" s="308" t="n"/>
      <c r="I1" s="308" t="n"/>
    </row>
    <row r="2" ht="16.5" customHeight="1" s="304">
      <c r="A2" s="534">
        <f>TODAY()</f>
        <v/>
      </c>
      <c r="B2" s="535">
        <f>Contrôles!K$45</f>
        <v/>
      </c>
      <c r="C2" s="536" t="n"/>
      <c r="D2" s="308" t="n"/>
      <c r="E2" s="533" t="n"/>
      <c r="F2" s="537" t="n">
        <v>0</v>
      </c>
      <c r="G2" s="314">
        <f>"Opérations : "&amp;COUNTIF(OPdate,"&lt;"&amp;DATE(année_courante,12,31))</f>
        <v/>
      </c>
      <c r="H2" s="308" t="n"/>
      <c r="I2" s="308" t="n"/>
    </row>
    <row r="3" ht="37.5" customHeight="1" s="304">
      <c r="A3" s="538" t="inlineStr">
        <is>
          <t>Date</t>
        </is>
      </c>
      <c r="B3" s="539" t="inlineStr">
        <is>
          <t>Libellé</t>
        </is>
      </c>
      <c r="C3" s="361" t="inlineStr">
        <is>
          <t>Montant</t>
        </is>
      </c>
      <c r="D3" s="361" t="inlineStr">
        <is>
          <t>Devise</t>
        </is>
      </c>
      <c r="E3" s="361" t="inlineStr">
        <is>
          <t>Eq. €</t>
        </is>
      </c>
      <c r="F3" s="362" t="inlineStr">
        <is>
          <t>Réf.</t>
        </is>
      </c>
      <c r="G3" s="361" t="inlineStr">
        <is>
          <t>Catégorie</t>
        </is>
      </c>
      <c r="H3" s="361" t="inlineStr">
        <is>
          <t>Compte</t>
        </is>
      </c>
      <c r="I3" s="360" t="inlineStr">
        <is>
          <t>Commentaire</t>
        </is>
      </c>
    </row>
    <row r="4" ht="14.25" customHeight="1" s="304">
      <c r="A4" s="540" t="inlineStr">
        <is>
          <t>✓</t>
        </is>
      </c>
      <c r="B4" s="541" t="n"/>
      <c r="C4" s="542" t="n"/>
      <c r="D4" s="543" t="n"/>
      <c r="E4" s="542" t="n"/>
      <c r="F4" s="544" t="n"/>
      <c r="G4" s="545" t="n"/>
      <c r="H4" s="545" t="n"/>
      <c r="I4" s="541" t="n"/>
    </row>
    <row r="5" ht="16.5" customHeight="1" s="304">
      <c r="A5" s="540" t="n">
        <v>44927</v>
      </c>
      <c r="B5" s="545" t="inlineStr">
        <is>
          <t>Relevé compte</t>
        </is>
      </c>
      <c r="C5" s="546" t="n">
        <v>503110</v>
      </c>
      <c r="D5" s="543" t="inlineStr">
        <is>
          <t>SAT</t>
        </is>
      </c>
      <c r="E5" s="542" t="n"/>
      <c r="F5" s="544" t="n"/>
      <c r="G5" s="545" t="inlineStr">
        <is>
          <t>#Solde</t>
        </is>
      </c>
      <c r="H5" s="545" t="inlineStr">
        <is>
          <t>BlueWallet BTC</t>
        </is>
      </c>
      <c r="I5" s="545" t="inlineStr">
        <is>
          <t>SAT = 1 / 100 000 000 Bitcoin</t>
        </is>
      </c>
    </row>
    <row r="6" ht="16.5" customHeight="1" s="304">
      <c r="A6" s="540" t="n">
        <v>44927</v>
      </c>
      <c r="B6" s="545" t="inlineStr">
        <is>
          <t>Relevé compte</t>
        </is>
      </c>
      <c r="C6" s="542" t="n">
        <v>5000</v>
      </c>
      <c r="D6" s="543" t="inlineStr">
        <is>
          <t>EUR</t>
        </is>
      </c>
      <c r="E6" s="542" t="n"/>
      <c r="F6" s="544" t="n"/>
      <c r="G6" s="545" t="inlineStr">
        <is>
          <t>#Solde</t>
        </is>
      </c>
      <c r="H6" s="545" t="inlineStr">
        <is>
          <t>Compte chèque commun</t>
        </is>
      </c>
      <c r="I6" s="545" t="n"/>
    </row>
    <row r="7" ht="16.5" customHeight="1" s="304">
      <c r="A7" s="540" t="n">
        <v>44968</v>
      </c>
      <c r="B7" s="545" t="inlineStr">
        <is>
          <t>Transfert bitcoin -&gt; lightning</t>
        </is>
      </c>
      <c r="C7" s="546" t="n">
        <v>-280000</v>
      </c>
      <c r="D7" s="543" t="inlineStr">
        <is>
          <t>SAT</t>
        </is>
      </c>
      <c r="E7" s="542" t="n">
        <v>-50</v>
      </c>
      <c r="F7" s="544" t="inlineStr">
        <is>
          <t>V1</t>
        </is>
      </c>
      <c r="G7" s="545" t="inlineStr">
        <is>
          <t>Virement</t>
        </is>
      </c>
      <c r="H7" s="545" t="inlineStr">
        <is>
          <t>BlueWallet BTC</t>
        </is>
      </c>
      <c r="I7" s="545" t="n"/>
    </row>
    <row r="8" ht="16.5" customHeight="1" s="304">
      <c r="A8" s="540" t="n">
        <v>44968</v>
      </c>
      <c r="B8" s="545" t="inlineStr">
        <is>
          <t>Id</t>
        </is>
      </c>
      <c r="C8" s="546" t="n">
        <v>-584</v>
      </c>
      <c r="D8" s="543" t="inlineStr">
        <is>
          <t>SAT</t>
        </is>
      </c>
      <c r="E8" s="542" t="n"/>
      <c r="F8" s="544" t="n"/>
      <c r="G8" s="545" t="inlineStr">
        <is>
          <t>Frais bancaires</t>
        </is>
      </c>
      <c r="H8" s="545" t="inlineStr">
        <is>
          <t>BlueWallet BTC</t>
        </is>
      </c>
      <c r="I8" s="545" t="n"/>
    </row>
    <row r="9" ht="16.5" customHeight="1" s="304">
      <c r="A9" s="540" t="n">
        <v>44983</v>
      </c>
      <c r="B9" s="545" t="inlineStr">
        <is>
          <t>Id</t>
        </is>
      </c>
      <c r="C9" s="546" t="n">
        <v>280000</v>
      </c>
      <c r="D9" s="543" t="inlineStr">
        <is>
          <t>SAT</t>
        </is>
      </c>
      <c r="E9" s="542" t="n">
        <v>50</v>
      </c>
      <c r="F9" s="544" t="inlineStr">
        <is>
          <t>V1</t>
        </is>
      </c>
      <c r="G9" s="545" t="inlineStr">
        <is>
          <t>Virement</t>
        </is>
      </c>
      <c r="H9" s="545" t="inlineStr">
        <is>
          <t>Phoenix Lightning BTC</t>
        </is>
      </c>
      <c r="I9" s="545" t="n"/>
    </row>
    <row r="10" ht="16.5" customHeight="1" s="304">
      <c r="A10" s="540" t="n">
        <v>44983</v>
      </c>
      <c r="B10" s="545" t="inlineStr">
        <is>
          <t>Id</t>
        </is>
      </c>
      <c r="C10" s="546" t="n">
        <v>-1200</v>
      </c>
      <c r="D10" s="543" t="inlineStr">
        <is>
          <t>SAT</t>
        </is>
      </c>
      <c r="E10" s="542" t="n"/>
      <c r="F10" s="544" t="n"/>
      <c r="G10" s="545" t="inlineStr">
        <is>
          <t>Frais bancaires</t>
        </is>
      </c>
      <c r="H10" s="545" t="inlineStr">
        <is>
          <t>Phoenix Lightning BTC</t>
        </is>
      </c>
      <c r="I10" s="545" t="n"/>
    </row>
    <row r="11" ht="16.5" customHeight="1" s="304">
      <c r="A11" s="540" t="n">
        <v>45000</v>
      </c>
      <c r="B11" s="545" t="inlineStr">
        <is>
          <t xml:space="preserve">Achat carte cadeau Amazon </t>
        </is>
      </c>
      <c r="C11" s="546" t="n">
        <v>-218292</v>
      </c>
      <c r="D11" s="543" t="inlineStr">
        <is>
          <t>SAT</t>
        </is>
      </c>
      <c r="E11" s="542" t="n">
        <v>-50</v>
      </c>
      <c r="F11" s="544" t="inlineStr">
        <is>
          <t>eur2</t>
        </is>
      </c>
      <c r="G11" s="545" t="inlineStr">
        <is>
          <t>Change</t>
        </is>
      </c>
      <c r="H11" s="545" t="inlineStr">
        <is>
          <t>BlueWallet BTC</t>
        </is>
      </c>
      <c r="I11" s="545" t="n"/>
    </row>
    <row r="12" ht="16.5" customHeight="1" s="304">
      <c r="A12" s="540" t="n">
        <v>45000</v>
      </c>
      <c r="B12" s="545" t="inlineStr">
        <is>
          <t>Id</t>
        </is>
      </c>
      <c r="C12" s="546" t="n">
        <v>-4234</v>
      </c>
      <c r="D12" s="543" t="inlineStr">
        <is>
          <t>SAT</t>
        </is>
      </c>
      <c r="E12" s="542" t="n"/>
      <c r="F12" s="544" t="n"/>
      <c r="G12" s="545" t="inlineStr">
        <is>
          <t>Frais bancaires</t>
        </is>
      </c>
      <c r="H12" s="545" t="inlineStr">
        <is>
          <t>BlueWallet BTC</t>
        </is>
      </c>
      <c r="I12" s="545" t="n"/>
    </row>
    <row r="13" ht="16.5" customHeight="1" s="304">
      <c r="A13" s="540" t="n">
        <v>45000</v>
      </c>
      <c r="B13" s="545" t="inlineStr">
        <is>
          <t>Id</t>
        </is>
      </c>
      <c r="C13" s="542" t="n">
        <v>50</v>
      </c>
      <c r="D13" s="543" t="inlineStr">
        <is>
          <t>EUR</t>
        </is>
      </c>
      <c r="E13" s="542" t="n">
        <v>50</v>
      </c>
      <c r="F13" s="544" t="inlineStr">
        <is>
          <t>eur2</t>
        </is>
      </c>
      <c r="G13" s="545" t="inlineStr">
        <is>
          <t>Change</t>
        </is>
      </c>
      <c r="H13" s="545" t="inlineStr">
        <is>
          <t>Compte Amazon</t>
        </is>
      </c>
      <c r="I13" s="545" t="n"/>
    </row>
    <row r="14" ht="16.5" customHeight="1" s="304">
      <c r="A14" s="540" t="n">
        <v>45048</v>
      </c>
      <c r="B14" s="545" t="inlineStr">
        <is>
          <t>CMA</t>
        </is>
      </c>
      <c r="C14" s="547" t="n">
        <v>14.09344</v>
      </c>
      <c r="D14" s="543" t="inlineStr">
        <is>
          <t>OrPr</t>
        </is>
      </c>
      <c r="E14" s="542" t="n">
        <v>990</v>
      </c>
      <c r="F14" s="544" t="inlineStr">
        <is>
          <t>OrPr3</t>
        </is>
      </c>
      <c r="G14" s="545" t="inlineStr">
        <is>
          <t>Change</t>
        </is>
      </c>
      <c r="H14" s="545" t="inlineStr">
        <is>
          <t>Pièces or</t>
        </is>
      </c>
      <c r="I14" s="545" t="n"/>
    </row>
    <row r="15" ht="16.5" customHeight="1" s="304">
      <c r="A15" s="540" t="n">
        <v>45048</v>
      </c>
      <c r="B15" s="545" t="inlineStr">
        <is>
          <t>Commission CMA</t>
        </is>
      </c>
      <c r="C15" s="542" t="n">
        <v>-39.6</v>
      </c>
      <c r="D15" s="543" t="inlineStr">
        <is>
          <t>EUR</t>
        </is>
      </c>
      <c r="E15" s="542" t="n"/>
      <c r="F15" s="544" t="n"/>
      <c r="G15" s="545" t="inlineStr">
        <is>
          <t>#Info</t>
        </is>
      </c>
      <c r="H15" s="545" t="inlineStr">
        <is>
          <t>Pièces or</t>
        </is>
      </c>
      <c r="I15" s="545" t="inlineStr">
        <is>
          <t>Opération non comptabilisée</t>
        </is>
      </c>
    </row>
    <row r="16" ht="16.5" customHeight="1" s="304">
      <c r="A16" s="540" t="n">
        <v>45048</v>
      </c>
      <c r="B16" s="545" t="inlineStr">
        <is>
          <t>VIR. LOGITEL</t>
        </is>
      </c>
      <c r="C16" s="542" t="n">
        <v>-990</v>
      </c>
      <c r="D16" s="543" t="inlineStr">
        <is>
          <t>EUR</t>
        </is>
      </c>
      <c r="E16" s="542" t="n">
        <v>-990</v>
      </c>
      <c r="F16" s="544" t="inlineStr">
        <is>
          <t>OrPr3</t>
        </is>
      </c>
      <c r="G16" s="545" t="inlineStr">
        <is>
          <t>Change</t>
        </is>
      </c>
      <c r="H16" s="545" t="inlineStr">
        <is>
          <t>Compte chèque commun</t>
        </is>
      </c>
      <c r="I16" s="545" t="n"/>
    </row>
    <row r="17" ht="16.5" customHeight="1" s="304">
      <c r="A17" s="540" t="n">
        <v>45292</v>
      </c>
      <c r="B17" s="545" t="inlineStr">
        <is>
          <t>Relevé compte</t>
        </is>
      </c>
      <c r="C17" s="546" t="n">
        <v>0</v>
      </c>
      <c r="D17" s="543" t="inlineStr">
        <is>
          <t>SAT</t>
        </is>
      </c>
      <c r="E17" s="542" t="n"/>
      <c r="F17" s="544" t="n"/>
      <c r="G17" s="545" t="inlineStr">
        <is>
          <t>#Solde</t>
        </is>
      </c>
      <c r="H17" s="545" t="inlineStr">
        <is>
          <t>BlueWallet BTC</t>
        </is>
      </c>
      <c r="I17" s="545" t="n"/>
    </row>
    <row r="18" ht="16.5" customHeight="1" s="304">
      <c r="A18" s="540" t="n">
        <v>45292</v>
      </c>
      <c r="B18" s="545" t="inlineStr">
        <is>
          <t>Relevé compte</t>
        </is>
      </c>
      <c r="C18" s="546" t="n">
        <v>278800</v>
      </c>
      <c r="D18" s="543" t="inlineStr">
        <is>
          <t>SAT</t>
        </is>
      </c>
      <c r="E18" s="542" t="n"/>
      <c r="F18" s="544" t="n"/>
      <c r="G18" s="545" t="inlineStr">
        <is>
          <t>#Solde</t>
        </is>
      </c>
      <c r="H18" s="545" t="inlineStr">
        <is>
          <t>Phoenix Lightning BTC</t>
        </is>
      </c>
      <c r="I18" s="545" t="n"/>
    </row>
    <row r="19" ht="16.5" customHeight="1" s="304">
      <c r="A19" s="540" t="n">
        <v>45457</v>
      </c>
      <c r="B19" s="545" t="inlineStr">
        <is>
          <t>Relevé compte</t>
        </is>
      </c>
      <c r="C19" s="547" t="n">
        <v>14.09344</v>
      </c>
      <c r="D19" s="543" t="inlineStr">
        <is>
          <t>OrPr</t>
        </is>
      </c>
      <c r="E19" s="542" t="n"/>
      <c r="F19" s="544" t="n"/>
      <c r="G19" s="545" t="inlineStr">
        <is>
          <t>#Solde</t>
        </is>
      </c>
      <c r="H19" s="545" t="inlineStr">
        <is>
          <t>Pièces or</t>
        </is>
      </c>
      <c r="I19" s="545" t="n"/>
    </row>
    <row r="20" ht="16.5" customHeight="1" s="304">
      <c r="A20" s="540" t="n">
        <v>45621</v>
      </c>
      <c r="B20" s="545" t="inlineStr">
        <is>
          <t>Relevé compte</t>
        </is>
      </c>
      <c r="C20" s="548" t="n">
        <v>2500</v>
      </c>
      <c r="D20" s="543" t="inlineStr">
        <is>
          <t>USD</t>
        </is>
      </c>
      <c r="E20" s="542" t="n"/>
      <c r="F20" s="544" t="n"/>
      <c r="G20" s="545" t="inlineStr">
        <is>
          <t>#Solde</t>
        </is>
      </c>
      <c r="H20" s="545" t="inlineStr">
        <is>
          <t>Portefeuille eToro USD Réserve</t>
        </is>
      </c>
      <c r="I20" s="545" t="n"/>
    </row>
    <row r="21" ht="16.5" customHeight="1" s="304">
      <c r="A21" s="540" t="n">
        <v>45622</v>
      </c>
      <c r="B21" s="545" t="inlineStr">
        <is>
          <t>Action Air Liquide offert</t>
        </is>
      </c>
      <c r="C21" s="548" t="n">
        <v>10</v>
      </c>
      <c r="D21" s="543" t="inlineStr">
        <is>
          <t>USD</t>
        </is>
      </c>
      <c r="E21" s="542" t="n">
        <v>9.6</v>
      </c>
      <c r="F21" s="544" t="n"/>
      <c r="G21" s="545" t="inlineStr">
        <is>
          <t>Intérêts</t>
        </is>
      </c>
      <c r="H21" s="545" t="inlineStr">
        <is>
          <t>Portefeuille eToro USD Titres</t>
        </is>
      </c>
      <c r="I21" s="545" t="n"/>
    </row>
    <row r="22" ht="16.5" customHeight="1" s="304">
      <c r="A22" s="540" t="n">
        <v>45657</v>
      </c>
      <c r="B22" s="545" t="inlineStr">
        <is>
          <t>Relevé compte</t>
        </is>
      </c>
      <c r="C22" s="542" t="n">
        <v>50</v>
      </c>
      <c r="D22" s="543" t="inlineStr">
        <is>
          <t>EUR</t>
        </is>
      </c>
      <c r="E22" s="542" t="n"/>
      <c r="F22" s="544" t="n"/>
      <c r="G22" s="545" t="inlineStr">
        <is>
          <t>#Solde</t>
        </is>
      </c>
      <c r="H22" s="545" t="inlineStr">
        <is>
          <t>Compte Amazon</t>
        </is>
      </c>
      <c r="I22" s="545" t="n"/>
    </row>
    <row r="23" ht="16.5" customHeight="1" s="304">
      <c r="A23" s="540" t="n">
        <v>45657</v>
      </c>
      <c r="B23" s="545" t="inlineStr">
        <is>
          <t>Relevé compte</t>
        </is>
      </c>
      <c r="C23" s="542" t="n">
        <v>10965</v>
      </c>
      <c r="D23" s="543" t="inlineStr">
        <is>
          <t>EUR</t>
        </is>
      </c>
      <c r="E23" s="542" t="n"/>
      <c r="F23" s="544" t="n"/>
      <c r="G23" s="545" t="inlineStr">
        <is>
          <t>#Solde</t>
        </is>
      </c>
      <c r="H23" s="545" t="inlineStr">
        <is>
          <t>Créance Francine</t>
        </is>
      </c>
      <c r="I23" s="545" t="n"/>
    </row>
    <row r="24" ht="16.5" customHeight="1" s="304">
      <c r="A24" s="540" t="n">
        <v>45657</v>
      </c>
      <c r="B24" s="545" t="inlineStr">
        <is>
          <t>Relevé compte</t>
        </is>
      </c>
      <c r="C24" s="542" t="n">
        <v>2500</v>
      </c>
      <c r="D24" s="543" t="inlineStr">
        <is>
          <t>EUR</t>
        </is>
      </c>
      <c r="E24" s="542" t="n"/>
      <c r="F24" s="544" t="n"/>
      <c r="G24" s="545" t="inlineStr">
        <is>
          <t>#Solde</t>
        </is>
      </c>
      <c r="H24" s="545" t="inlineStr">
        <is>
          <t>Espèces</t>
        </is>
      </c>
      <c r="I24" s="545" t="n"/>
    </row>
    <row r="25" ht="16.5" customHeight="1" s="304">
      <c r="A25" s="540" t="n">
        <v>45661</v>
      </c>
      <c r="B25" s="545" t="inlineStr">
        <is>
          <t xml:space="preserve">Nettoyage  </t>
        </is>
      </c>
      <c r="C25" s="542" t="n">
        <v>-1000</v>
      </c>
      <c r="D25" s="543" t="inlineStr">
        <is>
          <t>EUR</t>
        </is>
      </c>
      <c r="E25" s="542" t="n"/>
      <c r="F25" s="544" t="n"/>
      <c r="G25" s="545" t="inlineStr">
        <is>
          <t>Maison</t>
        </is>
      </c>
      <c r="H25" s="545" t="inlineStr">
        <is>
          <t>Espèces</t>
        </is>
      </c>
      <c r="I25" s="545" t="n"/>
    </row>
    <row r="26" ht="16.5" customHeight="1" s="304">
      <c r="A26" s="540" t="n">
        <v>45663</v>
      </c>
      <c r="B26" s="545" t="inlineStr">
        <is>
          <t>VIR. LOGITEL</t>
        </is>
      </c>
      <c r="C26" s="542" t="n">
        <v>500</v>
      </c>
      <c r="D26" s="543" t="inlineStr">
        <is>
          <t>EUR</t>
        </is>
      </c>
      <c r="E26" s="542" t="n"/>
      <c r="F26" s="544" t="inlineStr">
        <is>
          <t>V4</t>
        </is>
      </c>
      <c r="G26" s="545" t="inlineStr">
        <is>
          <t>Virement</t>
        </is>
      </c>
      <c r="H26" s="545" t="inlineStr">
        <is>
          <t>Compte chèque commun</t>
        </is>
      </c>
      <c r="I26" s="545" t="n"/>
    </row>
    <row r="27" ht="16.5" customHeight="1" s="304">
      <c r="A27" s="540" t="n">
        <v>45663</v>
      </c>
      <c r="B27" s="545" t="n"/>
      <c r="C27" s="542" t="n">
        <v>-500</v>
      </c>
      <c r="D27" s="543" t="inlineStr">
        <is>
          <t>EUR</t>
        </is>
      </c>
      <c r="E27" s="542" t="n"/>
      <c r="F27" s="544" t="inlineStr">
        <is>
          <t>V4</t>
        </is>
      </c>
      <c r="G27" s="545" t="inlineStr">
        <is>
          <t>Virement</t>
        </is>
      </c>
      <c r="H27" s="545" t="inlineStr">
        <is>
          <t>Créance Francine</t>
        </is>
      </c>
      <c r="I27" s="545" t="n"/>
    </row>
    <row r="28" ht="16.5" customHeight="1" s="304">
      <c r="A28" s="540" t="n">
        <v>45679</v>
      </c>
      <c r="B28" s="545" t="inlineStr">
        <is>
          <t>Ramonage</t>
        </is>
      </c>
      <c r="C28" s="542" t="n">
        <v>-180</v>
      </c>
      <c r="D28" s="543" t="inlineStr">
        <is>
          <t>EUR</t>
        </is>
      </c>
      <c r="E28" s="542" t="n"/>
      <c r="F28" s="544" t="n"/>
      <c r="G28" s="545" t="inlineStr">
        <is>
          <t>Maison</t>
        </is>
      </c>
      <c r="H28" s="545" t="inlineStr">
        <is>
          <t>Espèces</t>
        </is>
      </c>
      <c r="I28" s="545" t="n"/>
    </row>
    <row r="29" ht="16.5" customHeight="1" s="304">
      <c r="A29" s="540" t="n">
        <v>45705</v>
      </c>
      <c r="B29" s="545" t="inlineStr">
        <is>
          <t>retrait DAB</t>
        </is>
      </c>
      <c r="C29" s="542" t="n">
        <v>-300</v>
      </c>
      <c r="D29" s="543" t="inlineStr">
        <is>
          <t>EUR</t>
        </is>
      </c>
      <c r="E29" s="542" t="n"/>
      <c r="F29" s="544" t="inlineStr">
        <is>
          <t>V5</t>
        </is>
      </c>
      <c r="G29" s="545" t="inlineStr">
        <is>
          <t>Virement</t>
        </is>
      </c>
      <c r="H29" s="545" t="inlineStr">
        <is>
          <t>Compte chèque commun</t>
        </is>
      </c>
      <c r="I29" s="545" t="n"/>
    </row>
    <row r="30" ht="16.5" customHeight="1" s="304">
      <c r="A30" s="540" t="n">
        <v>45705</v>
      </c>
      <c r="B30" s="545" t="inlineStr">
        <is>
          <t>retrait DAB</t>
        </is>
      </c>
      <c r="C30" s="542" t="n">
        <v>300</v>
      </c>
      <c r="D30" s="543" t="inlineStr">
        <is>
          <t>EUR</t>
        </is>
      </c>
      <c r="E30" s="542" t="n"/>
      <c r="F30" s="544" t="inlineStr">
        <is>
          <t>V5</t>
        </is>
      </c>
      <c r="G30" s="545" t="inlineStr">
        <is>
          <t>Virement</t>
        </is>
      </c>
      <c r="H30" s="545" t="inlineStr">
        <is>
          <t>Espèces</t>
        </is>
      </c>
      <c r="I30" s="545" t="n"/>
    </row>
    <row r="31" ht="16.5" customHeight="1" s="304">
      <c r="A31" s="540" t="n">
        <v>45715</v>
      </c>
      <c r="B31" s="545" t="inlineStr">
        <is>
          <t>VIR. LOGITEL</t>
        </is>
      </c>
      <c r="C31" s="542" t="n">
        <v>-500</v>
      </c>
      <c r="D31" s="543" t="inlineStr">
        <is>
          <t>EUR</t>
        </is>
      </c>
      <c r="E31" s="542" t="n">
        <v>-500</v>
      </c>
      <c r="F31" s="544" t="inlineStr">
        <is>
          <t>usd6</t>
        </is>
      </c>
      <c r="G31" s="545" t="inlineStr">
        <is>
          <t>Change</t>
        </is>
      </c>
      <c r="H31" s="545" t="inlineStr">
        <is>
          <t>Compte chèque commun</t>
        </is>
      </c>
      <c r="I31" s="545" t="n"/>
    </row>
    <row r="32" ht="16.5" customHeight="1" s="304">
      <c r="A32" s="540" t="n">
        <v>45715</v>
      </c>
      <c r="B32" s="545" t="inlineStr">
        <is>
          <t xml:space="preserve">Dépôt </t>
        </is>
      </c>
      <c r="C32" s="548" t="n">
        <v>520.1</v>
      </c>
      <c r="D32" s="543" t="inlineStr">
        <is>
          <t>USD</t>
        </is>
      </c>
      <c r="E32" s="542" t="n">
        <v>500</v>
      </c>
      <c r="F32" s="544" t="inlineStr">
        <is>
          <t>usd6</t>
        </is>
      </c>
      <c r="G32" s="545" t="inlineStr">
        <is>
          <t>Change</t>
        </is>
      </c>
      <c r="H32" s="545" t="inlineStr">
        <is>
          <t>Portefeuille eToro USD Réserve</t>
        </is>
      </c>
      <c r="I32" s="545" t="n"/>
    </row>
    <row r="33" ht="16.5" customHeight="1" s="304">
      <c r="A33" s="540" t="n">
        <v>45715</v>
      </c>
      <c r="B33" s="545" t="inlineStr">
        <is>
          <t>Position ouverte SPX500/USD</t>
        </is>
      </c>
      <c r="C33" s="548" t="n">
        <v>60</v>
      </c>
      <c r="D33" s="543" t="inlineStr">
        <is>
          <t>USD</t>
        </is>
      </c>
      <c r="E33" s="542" t="n">
        <v>57.25</v>
      </c>
      <c r="F33" s="544" t="inlineStr">
        <is>
          <t>V7</t>
        </is>
      </c>
      <c r="G33" s="545" t="inlineStr">
        <is>
          <t>Achat titres</t>
        </is>
      </c>
      <c r="H33" s="545" t="inlineStr">
        <is>
          <t>Portefeuille eToro USD Titres</t>
        </is>
      </c>
      <c r="I33" s="545" t="n"/>
    </row>
    <row r="34" ht="16.5" customHeight="1" s="304">
      <c r="A34" s="540" t="n">
        <v>45715</v>
      </c>
      <c r="B34" s="545" t="inlineStr">
        <is>
          <t>Position ouverte SPX500/USD</t>
        </is>
      </c>
      <c r="C34" s="548" t="n">
        <v>-60</v>
      </c>
      <c r="D34" s="543" t="inlineStr">
        <is>
          <t>USD</t>
        </is>
      </c>
      <c r="E34" s="542" t="n">
        <v>-57.25</v>
      </c>
      <c r="F34" s="544" t="inlineStr">
        <is>
          <t>V7</t>
        </is>
      </c>
      <c r="G34" s="545" t="inlineStr">
        <is>
          <t>Achat titres</t>
        </is>
      </c>
      <c r="H34" s="545" t="inlineStr">
        <is>
          <t>Portefeuille eToro USD Réserve</t>
        </is>
      </c>
      <c r="I34" s="545" t="n"/>
    </row>
    <row r="35" ht="16.5" customHeight="1" s="304">
      <c r="A35" s="540" t="n">
        <v>45716</v>
      </c>
      <c r="B35" s="545" t="inlineStr">
        <is>
          <t>Bénéfice/Perte du trade SPX500/USD</t>
        </is>
      </c>
      <c r="C35" s="548" t="n">
        <v>-29.97</v>
      </c>
      <c r="D35" s="543" t="inlineStr">
        <is>
          <t>USD</t>
        </is>
      </c>
      <c r="E35" s="542" t="n">
        <v>-28.85</v>
      </c>
      <c r="F35" s="544" t="inlineStr">
        <is>
          <t>t8</t>
        </is>
      </c>
      <c r="G35" s="545" t="inlineStr">
        <is>
          <t>Vente titres</t>
        </is>
      </c>
      <c r="H35" s="545" t="inlineStr">
        <is>
          <t>Portefeuille eToro USD Titres</t>
        </is>
      </c>
      <c r="I35" s="545" t="n"/>
    </row>
    <row r="36" ht="16.5" customHeight="1" s="304">
      <c r="A36" s="540" t="n">
        <v>45716</v>
      </c>
      <c r="B36" s="545" t="inlineStr">
        <is>
          <t>Bénéfice/Perte du trade SPX500/USD</t>
        </is>
      </c>
      <c r="C36" s="548" t="n">
        <v>29.97</v>
      </c>
      <c r="D36" s="543" t="inlineStr">
        <is>
          <t>USD</t>
        </is>
      </c>
      <c r="E36" s="542" t="n">
        <v>28.85</v>
      </c>
      <c r="F36" s="544" t="inlineStr">
        <is>
          <t>t8</t>
        </is>
      </c>
      <c r="G36" s="545" t="inlineStr">
        <is>
          <t>Vente titres</t>
        </is>
      </c>
      <c r="H36" s="545" t="inlineStr">
        <is>
          <t>Portefeuille eToro USD Réserve</t>
        </is>
      </c>
      <c r="I36" s="545" t="n"/>
    </row>
    <row r="37" ht="16.5" customHeight="1" s="304">
      <c r="A37" s="540" t="n">
        <v>45716</v>
      </c>
      <c r="B37" s="545" t="inlineStr">
        <is>
          <t>Ajustement du prix de l’indice SPX500/USD</t>
        </is>
      </c>
      <c r="C37" s="548" t="n">
        <v>0.15</v>
      </c>
      <c r="D37" s="543" t="inlineStr">
        <is>
          <t>USD</t>
        </is>
      </c>
      <c r="E37" s="542" t="n"/>
      <c r="F37" s="544" t="n"/>
      <c r="G37" s="545" t="inlineStr">
        <is>
          <t>Ajustement</t>
        </is>
      </c>
      <c r="H37" s="545" t="inlineStr">
        <is>
          <t>Portefeuille eToro USD Réserve</t>
        </is>
      </c>
      <c r="I37" s="545" t="n"/>
    </row>
    <row r="38" ht="16.5" customHeight="1" s="304">
      <c r="A38" s="540" t="n">
        <v>45715</v>
      </c>
      <c r="B38" s="545" t="inlineStr">
        <is>
          <t>Frais overnight Quotidien</t>
        </is>
      </c>
      <c r="C38" s="548" t="n">
        <v>-0.29</v>
      </c>
      <c r="D38" s="543" t="inlineStr">
        <is>
          <t>USD</t>
        </is>
      </c>
      <c r="E38" s="542" t="n"/>
      <c r="F38" s="544" t="n"/>
      <c r="G38" s="545" t="inlineStr">
        <is>
          <t>Frais bancaires</t>
        </is>
      </c>
      <c r="H38" s="545" t="inlineStr">
        <is>
          <t>Portefeuille eToro USD Réserve</t>
        </is>
      </c>
      <c r="I38" s="545" t="n"/>
    </row>
    <row r="39" ht="16.5" customHeight="1" s="304">
      <c r="A39" s="540" t="n">
        <v>45763</v>
      </c>
      <c r="B39" s="545" t="n"/>
      <c r="C39" s="542" t="n">
        <v>-33</v>
      </c>
      <c r="D39" s="543" t="inlineStr">
        <is>
          <t>EUR</t>
        </is>
      </c>
      <c r="E39" s="542" t="n"/>
      <c r="F39" s="544" t="n"/>
      <c r="G39" s="545" t="inlineStr">
        <is>
          <t>Restaurant</t>
        </is>
      </c>
      <c r="H39" s="545" t="inlineStr">
        <is>
          <t>Espèces</t>
        </is>
      </c>
      <c r="I39" s="545" t="n"/>
    </row>
    <row r="40" ht="16.5" customHeight="1" s="304">
      <c r="A40" s="540" t="n">
        <v>45783</v>
      </c>
      <c r="B40" s="545" t="inlineStr">
        <is>
          <t>Position ouverte KWEB/USD</t>
        </is>
      </c>
      <c r="C40" s="548" t="n">
        <v>200</v>
      </c>
      <c r="D40" s="543" t="inlineStr">
        <is>
          <t>USD</t>
        </is>
      </c>
      <c r="E40" s="542" t="n">
        <v>176</v>
      </c>
      <c r="F40" s="544" t="n"/>
      <c r="G40" s="545" t="inlineStr">
        <is>
          <t>Achat titres</t>
        </is>
      </c>
      <c r="H40" s="545" t="inlineStr">
        <is>
          <t>Portefeuille eToro USD Titres</t>
        </is>
      </c>
      <c r="I40" s="545" t="n"/>
    </row>
    <row r="41" ht="16.5" customHeight="1" s="304">
      <c r="A41" s="540" t="n">
        <v>45783</v>
      </c>
      <c r="B41" s="545" t="inlineStr">
        <is>
          <t>Position ouverte KWEB/USD</t>
        </is>
      </c>
      <c r="C41" s="548" t="n">
        <v>-200</v>
      </c>
      <c r="D41" s="543" t="inlineStr">
        <is>
          <t>USD</t>
        </is>
      </c>
      <c r="E41" s="542" t="n">
        <v>-176</v>
      </c>
      <c r="F41" s="544" t="n"/>
      <c r="G41" s="545" t="inlineStr">
        <is>
          <t>Achat titres</t>
        </is>
      </c>
      <c r="H41" s="545" t="inlineStr">
        <is>
          <t>Portefeuille eToro USD Réserve</t>
        </is>
      </c>
      <c r="I41" s="545" t="n"/>
    </row>
    <row r="42" ht="16.5" customHeight="1" s="304">
      <c r="A42" s="540" t="n">
        <v>45809</v>
      </c>
      <c r="B42" s="545" t="inlineStr">
        <is>
          <t>Dividende AI.PA/EUR</t>
        </is>
      </c>
      <c r="C42" s="548" t="n">
        <v>0.17</v>
      </c>
      <c r="D42" s="543" t="inlineStr">
        <is>
          <t>USD</t>
        </is>
      </c>
      <c r="E42" s="542" t="n"/>
      <c r="F42" s="544" t="n"/>
      <c r="G42" s="545" t="inlineStr">
        <is>
          <t>Coupon</t>
        </is>
      </c>
      <c r="H42" s="545" t="inlineStr">
        <is>
          <t>Portefeuille eToro USD Réserve</t>
        </is>
      </c>
      <c r="I42" s="545" t="n"/>
    </row>
    <row r="43" ht="16.5" customHeight="1" s="304">
      <c r="A43" s="540" t="n">
        <v>45809</v>
      </c>
      <c r="B43" s="545" t="n"/>
      <c r="C43" s="548" t="n">
        <v>0.79</v>
      </c>
      <c r="D43" s="543" t="inlineStr">
        <is>
          <t>USD</t>
        </is>
      </c>
      <c r="E43" s="542" t="n"/>
      <c r="F43" s="544" t="n"/>
      <c r="G43" s="545" t="inlineStr">
        <is>
          <t>Ajustement</t>
        </is>
      </c>
      <c r="H43" s="545" t="inlineStr">
        <is>
          <t>Portefeuille eToro USD Réserve</t>
        </is>
      </c>
      <c r="I43" s="545" t="n"/>
    </row>
    <row r="44" ht="16.5" customHeight="1" s="304">
      <c r="A44" s="540" t="n">
        <v>45822</v>
      </c>
      <c r="B44" s="545" t="n"/>
      <c r="C44" s="542" t="n">
        <v>-90</v>
      </c>
      <c r="D44" s="543" t="inlineStr">
        <is>
          <t>EUR</t>
        </is>
      </c>
      <c r="E44" s="542" t="n"/>
      <c r="F44" s="544" t="n"/>
      <c r="G44" s="545" t="inlineStr">
        <is>
          <t>Santé</t>
        </is>
      </c>
      <c r="H44" s="545" t="inlineStr">
        <is>
          <t>Espèces</t>
        </is>
      </c>
      <c r="I44" s="545" t="n"/>
    </row>
    <row r="45" ht="16.5" customHeight="1" s="304">
      <c r="A45" s="540" t="n">
        <v>45923</v>
      </c>
      <c r="B45" s="545" t="inlineStr">
        <is>
          <t>Relevé compte</t>
        </is>
      </c>
      <c r="C45" s="546" t="n">
        <v>51277</v>
      </c>
      <c r="D45" s="543" t="inlineStr">
        <is>
          <t>SAT</t>
        </is>
      </c>
      <c r="E45" s="542" t="n"/>
      <c r="F45" s="544" t="n"/>
      <c r="G45" s="545" t="inlineStr">
        <is>
          <t>#Solde</t>
        </is>
      </c>
      <c r="H45" s="545" t="inlineStr">
        <is>
          <t>Compte Kraken BTC</t>
        </is>
      </c>
      <c r="I45" s="545" t="n"/>
    </row>
    <row r="46" ht="16.5" customHeight="1" s="304">
      <c r="A46" s="540" t="n">
        <v>45924</v>
      </c>
      <c r="B46" s="545" t="inlineStr">
        <is>
          <t>VIR. LOGITEL</t>
        </is>
      </c>
      <c r="C46" s="542" t="n">
        <v>-900</v>
      </c>
      <c r="D46" s="543" t="inlineStr">
        <is>
          <t>EUR</t>
        </is>
      </c>
      <c r="E46" s="542" t="n">
        <v>-900</v>
      </c>
      <c r="F46" s="544" t="inlineStr">
        <is>
          <t>usd9</t>
        </is>
      </c>
      <c r="G46" s="545" t="inlineStr">
        <is>
          <t>Change</t>
        </is>
      </c>
      <c r="H46" s="545" t="inlineStr">
        <is>
          <t>Compte chèque commun</t>
        </is>
      </c>
      <c r="I46" s="545" t="n"/>
    </row>
    <row r="47" ht="16.5" customHeight="1" s="304">
      <c r="A47" s="540" t="n">
        <v>45924</v>
      </c>
      <c r="B47" s="545" t="inlineStr">
        <is>
          <t>Dépôt</t>
        </is>
      </c>
      <c r="C47" s="548" t="n">
        <v>1050.06</v>
      </c>
      <c r="D47" s="543" t="inlineStr">
        <is>
          <t>USD</t>
        </is>
      </c>
      <c r="E47" s="542" t="n">
        <v>900</v>
      </c>
      <c r="F47" s="544" t="inlineStr">
        <is>
          <t>usd9</t>
        </is>
      </c>
      <c r="G47" s="545" t="inlineStr">
        <is>
          <t>Change</t>
        </is>
      </c>
      <c r="H47" s="545" t="inlineStr">
        <is>
          <t>Portefeuille eToro USD Réserve</t>
        </is>
      </c>
      <c r="I47" s="545" t="n"/>
    </row>
    <row r="48" ht="16.5" customHeight="1" s="304">
      <c r="A48" s="540" t="n">
        <v>45924</v>
      </c>
      <c r="B48" s="545" t="inlineStr">
        <is>
          <t>Frais de conversion de dépôt -</t>
        </is>
      </c>
      <c r="C48" s="548" t="n">
        <v>-0.76</v>
      </c>
      <c r="D48" s="543" t="inlineStr">
        <is>
          <t>USD</t>
        </is>
      </c>
      <c r="E48" s="542" t="n"/>
      <c r="F48" s="544" t="inlineStr">
        <is>
          <t>usd9</t>
        </is>
      </c>
      <c r="G48" s="545" t="inlineStr">
        <is>
          <t>Ajustement</t>
        </is>
      </c>
      <c r="H48" s="545" t="inlineStr">
        <is>
          <t>Portefeuille eToro USD Réserve</t>
        </is>
      </c>
      <c r="I48" s="545" t="n"/>
    </row>
    <row r="49" ht="16.5" customHeight="1" s="304">
      <c r="A49" s="540" t="n">
        <v>45924</v>
      </c>
      <c r="B49" s="545" t="inlineStr">
        <is>
          <t>Position ouverte BTC/USD</t>
        </is>
      </c>
      <c r="C49" s="548" t="n">
        <v>-1000</v>
      </c>
      <c r="D49" s="543" t="inlineStr">
        <is>
          <t>USD</t>
        </is>
      </c>
      <c r="E49" s="542" t="n">
        <v>-1175.09</v>
      </c>
      <c r="F49" s="544" t="inlineStr">
        <is>
          <t>t10</t>
        </is>
      </c>
      <c r="G49" s="545" t="inlineStr">
        <is>
          <t>Achat titres</t>
        </is>
      </c>
      <c r="H49" s="545" t="inlineStr">
        <is>
          <t>Portefeuille eToro USD Réserve</t>
        </is>
      </c>
      <c r="I49" s="545" t="n"/>
    </row>
    <row r="50" ht="16.5" customHeight="1" s="304">
      <c r="A50" s="540" t="n">
        <v>45924</v>
      </c>
      <c r="B50" s="545" t="inlineStr">
        <is>
          <t>Commission À l'ouverture</t>
        </is>
      </c>
      <c r="C50" s="548" t="n">
        <v>-10</v>
      </c>
      <c r="D50" s="543" t="inlineStr">
        <is>
          <t>USD</t>
        </is>
      </c>
      <c r="E50" s="542" t="n"/>
      <c r="F50" s="544" t="inlineStr">
        <is>
          <t>t10</t>
        </is>
      </c>
      <c r="G50" s="545" t="inlineStr">
        <is>
          <t>Frais bancaires</t>
        </is>
      </c>
      <c r="H50" s="545" t="inlineStr">
        <is>
          <t>Portefeuille eToro USD Réserve</t>
        </is>
      </c>
      <c r="I50" s="545" t="n"/>
    </row>
    <row r="51" ht="16.5" customHeight="1" s="304">
      <c r="A51" s="540" t="n">
        <v>45924</v>
      </c>
      <c r="B51" s="545" t="inlineStr">
        <is>
          <t>Position ouverte BTC/USD</t>
        </is>
      </c>
      <c r="C51" s="548" t="n">
        <v>1000</v>
      </c>
      <c r="D51" s="543" t="inlineStr">
        <is>
          <t>USD</t>
        </is>
      </c>
      <c r="E51" s="542" t="n">
        <v>1175.09</v>
      </c>
      <c r="F51" s="544" t="inlineStr">
        <is>
          <t>t10</t>
        </is>
      </c>
      <c r="G51" s="545" t="inlineStr">
        <is>
          <t>Achat titres</t>
        </is>
      </c>
      <c r="H51" s="545" t="inlineStr">
        <is>
          <t>Portefeuille eToro USD Titres</t>
        </is>
      </c>
      <c r="I51" s="545" t="n"/>
    </row>
    <row r="52" ht="16.5" customHeight="1" s="304">
      <c r="A52" s="540" t="n">
        <v>45933</v>
      </c>
      <c r="B52" s="545" t="inlineStr">
        <is>
          <t>Rome taxi</t>
        </is>
      </c>
      <c r="C52" s="542" t="n">
        <v>-120</v>
      </c>
      <c r="D52" s="543" t="inlineStr">
        <is>
          <t>EUR</t>
        </is>
      </c>
      <c r="E52" s="542" t="n"/>
      <c r="F52" s="544" t="n"/>
      <c r="G52" s="545" t="inlineStr">
        <is>
          <t>Loisirs</t>
        </is>
      </c>
      <c r="H52" s="545" t="inlineStr">
        <is>
          <t>Espèces</t>
        </is>
      </c>
      <c r="I52" s="545" t="n"/>
    </row>
    <row r="53" ht="16.5" customHeight="1" s="304">
      <c r="A53" s="540" t="n">
        <v>45939</v>
      </c>
      <c r="B53" s="545" t="inlineStr">
        <is>
          <t>Fendage bois</t>
        </is>
      </c>
      <c r="C53" s="542" t="n">
        <v>-970</v>
      </c>
      <c r="D53" s="543" t="inlineStr">
        <is>
          <t>EUR</t>
        </is>
      </c>
      <c r="E53" s="542" t="n"/>
      <c r="F53" s="544" t="n"/>
      <c r="G53" s="545" t="inlineStr">
        <is>
          <t>Maison</t>
        </is>
      </c>
      <c r="H53" s="545" t="inlineStr">
        <is>
          <t>Espèces</t>
        </is>
      </c>
      <c r="I53" s="545" t="n"/>
    </row>
    <row r="54" ht="16.5" customHeight="1" s="304">
      <c r="A54" s="540" t="n">
        <v>45940</v>
      </c>
      <c r="B54" s="545" t="inlineStr">
        <is>
          <t>VIR. LOGITEL</t>
        </is>
      </c>
      <c r="C54" s="542" t="n">
        <v>500</v>
      </c>
      <c r="D54" s="543" t="inlineStr">
        <is>
          <t>EUR</t>
        </is>
      </c>
      <c r="E54" s="542" t="n"/>
      <c r="F54" s="544" t="inlineStr">
        <is>
          <t>V11</t>
        </is>
      </c>
      <c r="G54" s="545" t="inlineStr">
        <is>
          <t>Virement</t>
        </is>
      </c>
      <c r="H54" s="545" t="inlineStr">
        <is>
          <t>Compte chèque commun</t>
        </is>
      </c>
      <c r="I54" s="545" t="n"/>
    </row>
    <row r="55" ht="16.5" customHeight="1" s="304">
      <c r="A55" s="540" t="n">
        <v>45940</v>
      </c>
      <c r="B55" s="545" t="inlineStr">
        <is>
          <t>Créance</t>
        </is>
      </c>
      <c r="C55" s="542" t="n">
        <v>-500</v>
      </c>
      <c r="D55" s="543" t="inlineStr">
        <is>
          <t>EUR</t>
        </is>
      </c>
      <c r="E55" s="542" t="n"/>
      <c r="F55" s="544" t="inlineStr">
        <is>
          <t>V11</t>
        </is>
      </c>
      <c r="G55" s="545" t="inlineStr">
        <is>
          <t>Virement</t>
        </is>
      </c>
      <c r="H55" s="545" t="inlineStr">
        <is>
          <t>Créance Francine</t>
        </is>
      </c>
      <c r="I55" s="545" t="n"/>
    </row>
    <row r="56" ht="16.5" customHeight="1" s="304">
      <c r="A56" s="540" t="n">
        <v>45945</v>
      </c>
      <c r="B56" s="545" t="inlineStr">
        <is>
          <t>VIR. LOGITEL</t>
        </is>
      </c>
      <c r="C56" s="542" t="n">
        <v>-300</v>
      </c>
      <c r="D56" s="543" t="inlineStr">
        <is>
          <t>EUR</t>
        </is>
      </c>
      <c r="E56" s="542" t="n"/>
      <c r="F56" s="544" t="inlineStr">
        <is>
          <t>V12</t>
        </is>
      </c>
      <c r="G56" s="545" t="inlineStr">
        <is>
          <t>Virement</t>
        </is>
      </c>
      <c r="H56" s="545" t="inlineStr">
        <is>
          <t>Compte chèque commun</t>
        </is>
      </c>
      <c r="I56" s="545" t="n"/>
    </row>
    <row r="57" ht="16.5" customHeight="1" s="304">
      <c r="A57" s="540" t="n">
        <v>45945</v>
      </c>
      <c r="B57" s="545" t="inlineStr">
        <is>
          <t>retrait DAB</t>
        </is>
      </c>
      <c r="C57" s="542" t="n">
        <v>300</v>
      </c>
      <c r="D57" s="543" t="inlineStr">
        <is>
          <t>EUR</t>
        </is>
      </c>
      <c r="E57" s="542" t="n"/>
      <c r="F57" s="544" t="inlineStr">
        <is>
          <t>V12</t>
        </is>
      </c>
      <c r="G57" s="545" t="inlineStr">
        <is>
          <t>Virement</t>
        </is>
      </c>
      <c r="H57" s="545" t="inlineStr">
        <is>
          <t>Espèces</t>
        </is>
      </c>
      <c r="I57" s="545" t="n"/>
    </row>
    <row r="58" ht="16.5" customHeight="1" s="304">
      <c r="A58" s="540" t="n">
        <v>45951</v>
      </c>
      <c r="B58" s="545" t="inlineStr">
        <is>
          <t xml:space="preserve">Nettoyage  </t>
        </is>
      </c>
      <c r="C58" s="542" t="n">
        <v>-700</v>
      </c>
      <c r="D58" s="543" t="inlineStr">
        <is>
          <t>EUR</t>
        </is>
      </c>
      <c r="E58" s="542" t="n"/>
      <c r="F58" s="544" t="n"/>
      <c r="G58" s="545" t="inlineStr">
        <is>
          <t>Maison</t>
        </is>
      </c>
      <c r="H58" s="545" t="inlineStr">
        <is>
          <t>Espèces</t>
        </is>
      </c>
      <c r="I58" s="545" t="n"/>
    </row>
    <row r="59" ht="16.5" customHeight="1" s="304">
      <c r="A59" s="540" t="n">
        <v>45967</v>
      </c>
      <c r="B59" s="545" t="inlineStr">
        <is>
          <t>Relevé compte</t>
        </is>
      </c>
      <c r="C59" s="546" t="n">
        <v>51277</v>
      </c>
      <c r="D59" s="543" t="inlineStr">
        <is>
          <t>SAT</t>
        </is>
      </c>
      <c r="E59" s="542" t="n"/>
      <c r="F59" s="544" t="n"/>
      <c r="G59" s="545" t="inlineStr">
        <is>
          <t>#Solde</t>
        </is>
      </c>
      <c r="H59" s="545" t="inlineStr">
        <is>
          <t>Compte Kraken BTC</t>
        </is>
      </c>
      <c r="I59" s="545" t="n"/>
    </row>
    <row r="60" ht="16.5" customHeight="1" s="304">
      <c r="A60" s="540" t="n">
        <v>46014</v>
      </c>
      <c r="B60" s="545" t="inlineStr">
        <is>
          <t>VIR. LOGITEL</t>
        </is>
      </c>
      <c r="C60" s="542" t="n">
        <v>-118.08</v>
      </c>
      <c r="D60" s="543" t="inlineStr">
        <is>
          <t>EUR</t>
        </is>
      </c>
      <c r="E60" s="542" t="n">
        <v>-118.08</v>
      </c>
      <c r="F60" s="544" t="inlineStr">
        <is>
          <t>usd13</t>
        </is>
      </c>
      <c r="G60" s="545" t="inlineStr">
        <is>
          <t>Change</t>
        </is>
      </c>
      <c r="H60" s="545" t="inlineStr">
        <is>
          <t>Compte chèque commun</t>
        </is>
      </c>
      <c r="I60" s="545" t="n"/>
    </row>
    <row r="61" ht="16.5" customHeight="1" s="304">
      <c r="A61" s="540" t="n">
        <v>46014</v>
      </c>
      <c r="B61" s="545" t="inlineStr">
        <is>
          <t>Dividende KWEB/USD</t>
        </is>
      </c>
      <c r="C61" s="548" t="n">
        <v>10.44</v>
      </c>
      <c r="D61" s="543" t="inlineStr">
        <is>
          <t>USD</t>
        </is>
      </c>
      <c r="E61" s="542" t="n"/>
      <c r="F61" s="544" t="n"/>
      <c r="G61" s="545" t="inlineStr">
        <is>
          <t>Coupon</t>
        </is>
      </c>
      <c r="H61" s="545" t="inlineStr">
        <is>
          <t>Portefeuille eToro USD Réserve</t>
        </is>
      </c>
      <c r="I61" s="545" t="n"/>
    </row>
    <row r="62" ht="16.5" customHeight="1" s="304">
      <c r="A62" s="540" t="n">
        <v>46048</v>
      </c>
      <c r="B62" s="545" t="inlineStr">
        <is>
          <t>Transfer: EUR &gt; USD EUR</t>
        </is>
      </c>
      <c r="C62" s="548" t="n">
        <v>138.95</v>
      </c>
      <c r="D62" s="543" t="inlineStr">
        <is>
          <t>USD</t>
        </is>
      </c>
      <c r="E62" s="542" t="n">
        <v>118.08</v>
      </c>
      <c r="F62" s="544" t="inlineStr">
        <is>
          <t>usd13</t>
        </is>
      </c>
      <c r="G62" s="545" t="inlineStr">
        <is>
          <t>Change</t>
        </is>
      </c>
      <c r="H62" s="545" t="inlineStr">
        <is>
          <t>Portefeuille eToro USD Réserve</t>
        </is>
      </c>
      <c r="I62" s="545" t="n"/>
    </row>
    <row r="63" ht="16.5" customHeight="1" s="304">
      <c r="A63" s="540" t="n">
        <v>46048</v>
      </c>
      <c r="B63" s="545" t="inlineStr">
        <is>
          <t>Position ouverte COMT/USD</t>
        </is>
      </c>
      <c r="C63" s="548" t="n">
        <v>-138.93</v>
      </c>
      <c r="D63" s="543" t="inlineStr">
        <is>
          <t>USD</t>
        </is>
      </c>
      <c r="E63" s="542" t="n">
        <v>-117.38</v>
      </c>
      <c r="F63" s="544" t="inlineStr">
        <is>
          <t>t14</t>
        </is>
      </c>
      <c r="G63" s="545" t="inlineStr">
        <is>
          <t>Achat titres</t>
        </is>
      </c>
      <c r="H63" s="545" t="inlineStr">
        <is>
          <t>Portefeuille eToro USD Réserve</t>
        </is>
      </c>
      <c r="I63" s="545" t="n"/>
    </row>
    <row r="64" ht="16.5" customHeight="1" s="304">
      <c r="A64" s="540" t="n">
        <v>46048</v>
      </c>
      <c r="B64" s="545" t="inlineStr">
        <is>
          <t>Position ouverte COMT/USD</t>
        </is>
      </c>
      <c r="C64" s="548" t="n">
        <v>138.93</v>
      </c>
      <c r="D64" s="543" t="inlineStr">
        <is>
          <t>USD</t>
        </is>
      </c>
      <c r="E64" s="542" t="n">
        <v>117.38</v>
      </c>
      <c r="F64" s="544" t="inlineStr">
        <is>
          <t>t14</t>
        </is>
      </c>
      <c r="G64" s="545" t="inlineStr">
        <is>
          <t>Achat titres</t>
        </is>
      </c>
      <c r="H64" s="545" t="inlineStr">
        <is>
          <t>Portefeuille eToro USD Titres</t>
        </is>
      </c>
      <c r="I64" s="545" t="n"/>
    </row>
    <row r="65" ht="16.5" customHeight="1" s="304">
      <c r="A65" s="540" t="n">
        <v>46048</v>
      </c>
      <c r="B65" s="545" t="inlineStr">
        <is>
          <t>Position ouverte COMT/USD</t>
        </is>
      </c>
      <c r="C65" s="548" t="n">
        <v>-2353.06</v>
      </c>
      <c r="D65" s="543" t="inlineStr">
        <is>
          <t>USD</t>
        </is>
      </c>
      <c r="E65" s="542" t="n">
        <v>-1988.05</v>
      </c>
      <c r="F65" s="544" t="inlineStr">
        <is>
          <t>t15</t>
        </is>
      </c>
      <c r="G65" s="545" t="inlineStr">
        <is>
          <t>Achat titres</t>
        </is>
      </c>
      <c r="H65" s="545" t="inlineStr">
        <is>
          <t>Portefeuille eToro USD Réserve</t>
        </is>
      </c>
      <c r="I65" s="545" t="n"/>
    </row>
    <row r="66" ht="16.5" customHeight="1" s="304">
      <c r="A66" s="540" t="n">
        <v>46048</v>
      </c>
      <c r="B66" s="545" t="inlineStr">
        <is>
          <t>Position ouverte COMT/USD</t>
        </is>
      </c>
      <c r="C66" s="548" t="n">
        <v>2353.06</v>
      </c>
      <c r="D66" s="543" t="inlineStr">
        <is>
          <t>USD</t>
        </is>
      </c>
      <c r="E66" s="542" t="n">
        <v>1988.05</v>
      </c>
      <c r="F66" s="544" t="inlineStr">
        <is>
          <t>t15</t>
        </is>
      </c>
      <c r="G66" s="545" t="inlineStr">
        <is>
          <t>Achat titres</t>
        </is>
      </c>
      <c r="H66" s="545" t="inlineStr">
        <is>
          <t>Portefeuille eToro USD Titres</t>
        </is>
      </c>
      <c r="I66" s="545" t="n"/>
    </row>
    <row r="67" ht="16.5" customHeight="1" s="304">
      <c r="A67" s="540" t="n">
        <v>46050</v>
      </c>
      <c r="B67" s="545" t="inlineStr">
        <is>
          <t>Relevé compte</t>
        </is>
      </c>
      <c r="C67" s="548" t="n">
        <v>487.59</v>
      </c>
      <c r="D67" s="543" t="inlineStr">
        <is>
          <t>USD</t>
        </is>
      </c>
      <c r="E67" s="542" t="n"/>
      <c r="F67" s="544" t="n"/>
      <c r="G67" s="545" t="inlineStr">
        <is>
          <t>#Solde</t>
        </is>
      </c>
      <c r="H67" s="545" t="inlineStr">
        <is>
          <t>Portefeuille eToro USD Réserve</t>
        </is>
      </c>
      <c r="I67" s="545" t="n"/>
    </row>
    <row r="68" ht="16.5" customHeight="1" s="304">
      <c r="A68" s="540" t="n">
        <v>46050</v>
      </c>
      <c r="B68" s="545" t="inlineStr">
        <is>
          <t>Relevé compte</t>
        </is>
      </c>
      <c r="C68" s="548" t="n">
        <v>3549.43</v>
      </c>
      <c r="D68" s="543" t="inlineStr">
        <is>
          <t>USD</t>
        </is>
      </c>
      <c r="E68" s="542" t="n"/>
      <c r="F68" s="544" t="n"/>
      <c r="G68" s="545" t="inlineStr">
        <is>
          <t>#Solde</t>
        </is>
      </c>
      <c r="H68" s="545" t="inlineStr">
        <is>
          <t>Portefeuille eToro USD Titres</t>
        </is>
      </c>
      <c r="I68" s="545" t="n"/>
    </row>
    <row r="69" ht="16.5" customHeight="1" s="304">
      <c r="A69" s="540" t="n">
        <v>46058</v>
      </c>
      <c r="B69" s="545" t="inlineStr">
        <is>
          <t>Relevé compte</t>
        </is>
      </c>
      <c r="C69" s="542" t="n">
        <v>9965</v>
      </c>
      <c r="D69" s="543" t="inlineStr">
        <is>
          <t>EUR</t>
        </is>
      </c>
      <c r="E69" s="542" t="n"/>
      <c r="F69" s="544" t="n"/>
      <c r="G69" s="545" t="inlineStr">
        <is>
          <t>#Solde</t>
        </is>
      </c>
      <c r="H69" s="545" t="inlineStr">
        <is>
          <t>Créance Francine</t>
        </is>
      </c>
      <c r="I69" s="545" t="n"/>
    </row>
    <row r="70" ht="16.5" customHeight="1" s="304">
      <c r="A70" s="540" t="n">
        <v>46084</v>
      </c>
      <c r="B70" s="545" t="inlineStr">
        <is>
          <t>Relevé compte</t>
        </is>
      </c>
      <c r="C70" s="542" t="n">
        <v>7</v>
      </c>
      <c r="D70" s="543" t="inlineStr">
        <is>
          <t>EUR</t>
        </is>
      </c>
      <c r="E70" s="542" t="n"/>
      <c r="F70" s="544" t="n"/>
      <c r="G70" s="545" t="inlineStr">
        <is>
          <t>#Solde</t>
        </is>
      </c>
      <c r="H70" s="545" t="inlineStr">
        <is>
          <t>Espèces</t>
        </is>
      </c>
      <c r="I70" s="545" t="n"/>
    </row>
    <row r="71" ht="16.5" customHeight="1" s="304">
      <c r="A71" s="540" t="n">
        <v>46091</v>
      </c>
      <c r="B71" s="545" t="inlineStr">
        <is>
          <t>VIR. LOGITEL</t>
        </is>
      </c>
      <c r="C71" s="542" t="n">
        <v>-10</v>
      </c>
      <c r="D71" s="543" t="inlineStr">
        <is>
          <t>EUR</t>
        </is>
      </c>
      <c r="E71" s="542" t="n"/>
      <c r="F71" s="544" t="inlineStr">
        <is>
          <t>V16</t>
        </is>
      </c>
      <c r="G71" s="545" t="inlineStr">
        <is>
          <t>Virement</t>
        </is>
      </c>
      <c r="H71" s="545" t="inlineStr">
        <is>
          <t>Compte chèque commun</t>
        </is>
      </c>
      <c r="I71" s="545" t="n"/>
    </row>
    <row r="72" ht="16.5" customHeight="1" s="304">
      <c r="A72" s="540" t="n">
        <v>46091</v>
      </c>
      <c r="B72" s="545" t="inlineStr">
        <is>
          <t>Approvisionnement pour virement électronique PayPal Inc.</t>
        </is>
      </c>
      <c r="C72" s="542" t="n">
        <v>10</v>
      </c>
      <c r="D72" s="543" t="inlineStr">
        <is>
          <t>EUR</t>
        </is>
      </c>
      <c r="E72" s="542" t="n"/>
      <c r="F72" s="544" t="inlineStr">
        <is>
          <t>V16</t>
        </is>
      </c>
      <c r="G72" s="545" t="inlineStr">
        <is>
          <t>Virement</t>
        </is>
      </c>
      <c r="H72" s="545" t="inlineStr">
        <is>
          <t>Compte Paypal</t>
        </is>
      </c>
      <c r="I72" s="545" t="n"/>
    </row>
    <row r="73" ht="16.5" customHeight="1" s="304">
      <c r="A73" s="540" t="n">
        <v>46091</v>
      </c>
      <c r="B73" s="545" t="inlineStr">
        <is>
          <t>Relevé compte</t>
        </is>
      </c>
      <c r="C73" s="542" t="n">
        <v>10</v>
      </c>
      <c r="D73" s="543" t="inlineStr">
        <is>
          <t>EUR</t>
        </is>
      </c>
      <c r="E73" s="542" t="n"/>
      <c r="F73" s="544" t="n"/>
      <c r="G73" s="545" t="inlineStr">
        <is>
          <t>#Solde</t>
        </is>
      </c>
      <c r="H73" s="545" t="inlineStr">
        <is>
          <t>Compte Paypal</t>
        </is>
      </c>
      <c r="I73" s="545" t="n"/>
    </row>
    <row r="74" ht="16.5" customHeight="1" s="304">
      <c r="A74" s="540" t="n">
        <v>46092</v>
      </c>
      <c r="B74" s="545" t="inlineStr">
        <is>
          <t>Relevé compte</t>
        </is>
      </c>
      <c r="C74" s="542" t="n">
        <v>2881.92</v>
      </c>
      <c r="D74" s="543" t="inlineStr">
        <is>
          <t>EUR</t>
        </is>
      </c>
      <c r="E74" s="542" t="n"/>
      <c r="F74" s="544" t="n"/>
      <c r="G74" s="545" t="inlineStr">
        <is>
          <t>#Solde</t>
        </is>
      </c>
      <c r="H74" s="545" t="inlineStr">
        <is>
          <t>Compte chèque commun</t>
        </is>
      </c>
      <c r="I74" s="545" t="n"/>
    </row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83" ht="16.5" customHeight="1" s="304"/>
    <row r="84" ht="16.5" customHeight="1" s="304"/>
    <row r="85" ht="16.5" customHeight="1" s="304"/>
    <row r="86" ht="16.5" customHeight="1" s="304"/>
    <row r="87" ht="16.5" customHeight="1" s="304"/>
    <row r="88" ht="16.5" customHeight="1" s="304"/>
    <row r="89" ht="16.5" customHeight="1" s="304"/>
    <row r="90" ht="16.5" customHeight="1" s="304"/>
    <row r="91" ht="16.5" customHeight="1" s="304"/>
    <row r="92" ht="16.5" customHeight="1" s="304"/>
    <row r="93" ht="16.5" customHeight="1" s="304"/>
    <row r="94" ht="16.5" customHeight="1" s="304"/>
    <row r="95" ht="16.5" customHeight="1" s="304"/>
    <row r="96" ht="16.5" customHeight="1" s="304"/>
    <row r="97" ht="16.5" customHeight="1" s="304"/>
    <row r="98" ht="16.5" customHeight="1" s="304"/>
    <row r="99" ht="16.5" customHeight="1" s="304"/>
    <row r="100" ht="16.5" customHeight="1" s="304"/>
    <row r="101" ht="16.5" customHeight="1" s="304"/>
    <row r="102" ht="16.5" customHeight="1" s="304"/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1044421" ht="12.75" customHeight="1" s="304"/>
    <row r="1044422" ht="12.75" customHeight="1" s="304"/>
    <row r="1044423" ht="12.75" customHeight="1" s="304"/>
    <row r="1044424" ht="12.75" customHeight="1" s="304"/>
    <row r="1044425" ht="12.75" customHeight="1" s="304"/>
    <row r="1044426" ht="12.75" customHeight="1" s="304"/>
    <row r="1044427" ht="12.75" customHeight="1" s="304"/>
    <row r="1044428" ht="12.75" customHeight="1" s="304"/>
    <row r="1044429" ht="12.75" customHeight="1" s="304"/>
    <row r="1044430" ht="12.75" customHeight="1" s="304"/>
    <row r="1044431" ht="12.75" customHeight="1" s="304"/>
    <row r="1044432" ht="12.75" customHeight="1" s="304"/>
    <row r="1044433" ht="12.75" customHeight="1" s="304"/>
    <row r="1044434" ht="12.75" customHeight="1" s="304"/>
    <row r="1044435" ht="12.75" customHeight="1" s="304"/>
    <row r="1044436" ht="12.75" customHeight="1" s="304"/>
    <row r="1044437" ht="12.75" customHeight="1" s="304"/>
    <row r="1044438" ht="12.75" customHeight="1" s="304"/>
    <row r="1044439" ht="12.75" customHeight="1" s="304"/>
    <row r="1044440" ht="12.75" customHeight="1" s="304"/>
    <row r="1044441" ht="12.75" customHeight="1" s="304"/>
    <row r="1044442" ht="12.75" customHeight="1" s="304"/>
    <row r="1044443" ht="12.75" customHeight="1" s="304"/>
    <row r="1044444" ht="12.75" customHeight="1" s="304"/>
    <row r="1044445" ht="12.75" customHeight="1" s="304"/>
    <row r="1044446" ht="12.75" customHeight="1" s="304"/>
    <row r="1044447" ht="12.75" customHeight="1" s="304"/>
    <row r="1044448" ht="12.75" customHeight="1" s="304"/>
    <row r="1044449" ht="12.75" customHeight="1" s="304"/>
    <row r="1044450" ht="12.75" customHeight="1" s="304"/>
    <row r="1044451" ht="12.75" customHeight="1" s="304"/>
    <row r="1044452" ht="12.75" customHeight="1" s="304"/>
    <row r="1044453" ht="12.75" customHeight="1" s="304"/>
    <row r="1044454" ht="12.75" customHeight="1" s="304"/>
    <row r="1044455" ht="12.75" customHeight="1" s="304"/>
    <row r="1044456" ht="12.75" customHeight="1" s="304"/>
    <row r="1044457" ht="12.75" customHeight="1" s="304"/>
    <row r="1044458" ht="12.75" customHeight="1" s="304"/>
    <row r="1044459" ht="12.75" customHeight="1" s="304"/>
    <row r="1044460" ht="12.75" customHeight="1" s="304"/>
    <row r="1044461" ht="12.75" customHeight="1" s="304"/>
    <row r="1044462" ht="12.75" customHeight="1" s="304"/>
    <row r="1044463" ht="12.75" customHeight="1" s="304"/>
    <row r="1044464" ht="12.75" customHeight="1" s="304"/>
    <row r="1044465" ht="12.75" customHeight="1" s="304"/>
    <row r="1044466" ht="12.75" customHeight="1" s="304"/>
    <row r="1044467" ht="12.75" customHeight="1" s="304"/>
    <row r="1044468" ht="12.75" customHeight="1" s="304"/>
    <row r="1044469" ht="12.75" customHeight="1" s="304"/>
    <row r="1044470" ht="12.75" customHeight="1" s="304"/>
    <row r="1044471" ht="12.75" customHeight="1" s="304"/>
    <row r="1044472" ht="12.75" customHeight="1" s="304"/>
    <row r="1044473" ht="12.75" customHeight="1" s="304"/>
    <row r="1044474" ht="12.75" customHeight="1" s="304"/>
    <row r="1044475" ht="12.75" customHeight="1" s="304"/>
    <row r="1044476" ht="12.75" customHeight="1" s="304"/>
    <row r="1044477" ht="12.75" customHeight="1" s="304"/>
    <row r="1044478" ht="12.75" customHeight="1" s="304"/>
    <row r="1044479" ht="12.75" customHeight="1" s="304"/>
    <row r="1044480" ht="12.75" customHeight="1" s="304"/>
    <row r="1044481" ht="12.75" customHeight="1" s="304"/>
    <row r="1044482" ht="12.75" customHeight="1" s="304"/>
    <row r="1044483" ht="12.75" customHeight="1" s="304"/>
    <row r="1044484" ht="12.75" customHeight="1" s="304"/>
    <row r="1044485" ht="12.75" customHeight="1" s="304"/>
    <row r="1044486" ht="12.75" customHeight="1" s="304"/>
    <row r="1044487" ht="12.75" customHeight="1" s="304"/>
    <row r="1044488" ht="12.75" customHeight="1" s="304"/>
    <row r="1044489" ht="12.75" customHeight="1" s="304"/>
    <row r="1044490" ht="12.75" customHeight="1" s="304"/>
    <row r="1044491" ht="12.75" customHeight="1" s="304"/>
    <row r="1044492" ht="12.75" customHeight="1" s="304"/>
    <row r="1044493" ht="12.75" customHeight="1" s="304"/>
    <row r="1044494" ht="12.75" customHeight="1" s="304"/>
    <row r="1044495" ht="12.75" customHeight="1" s="304"/>
    <row r="1044496" ht="12.75" customHeight="1" s="304"/>
    <row r="1044497" ht="12.75" customHeight="1" s="304"/>
    <row r="1044498" ht="12.75" customHeight="1" s="304"/>
    <row r="1044499" ht="12.75" customHeight="1" s="304"/>
    <row r="1044500" ht="12.75" customHeight="1" s="304"/>
    <row r="1044501" ht="12.75" customHeight="1" s="304"/>
    <row r="1044502" ht="12.75" customHeight="1" s="304"/>
    <row r="1044503" ht="12.75" customHeight="1" s="304"/>
    <row r="1044504" ht="12.75" customHeight="1" s="304"/>
    <row r="1044505" ht="12.75" customHeight="1" s="304"/>
    <row r="1044506" ht="12.75" customHeight="1" s="304"/>
    <row r="1044507" ht="12.75" customHeight="1" s="304"/>
    <row r="1044508" ht="12.75" customHeight="1" s="304"/>
    <row r="1044509" ht="12.75" customHeight="1" s="304"/>
    <row r="1044510" ht="12.75" customHeight="1" s="304"/>
    <row r="1044511" ht="12.75" customHeight="1" s="304"/>
    <row r="1044512" ht="12.75" customHeight="1" s="304"/>
    <row r="1044513" ht="12.75" customHeight="1" s="304"/>
    <row r="1044514" ht="12.75" customHeight="1" s="304"/>
    <row r="1044515" ht="12.75" customHeight="1" s="304"/>
    <row r="1044516" ht="12.75" customHeight="1" s="304"/>
    <row r="1044517" ht="12.75" customHeight="1" s="304"/>
    <row r="1044518" ht="12.75" customHeight="1" s="304"/>
    <row r="1044519" ht="12.75" customHeight="1" s="304"/>
    <row r="1044520" ht="12.75" customHeight="1" s="304"/>
    <row r="1044521" ht="12.75" customHeight="1" s="304"/>
    <row r="1044522" ht="12.75" customHeight="1" s="304"/>
    <row r="1044523" ht="12.75" customHeight="1" s="304"/>
    <row r="1044524" ht="12.75" customHeight="1" s="304"/>
    <row r="1044525" ht="12.75" customHeight="1" s="304"/>
    <row r="1044526" ht="12.75" customHeight="1" s="304"/>
    <row r="1044527" ht="12.75" customHeight="1" s="304"/>
    <row r="1044528" ht="12.75" customHeight="1" s="304"/>
    <row r="1044529" ht="12.75" customHeight="1" s="304"/>
    <row r="1044530" ht="12.75" customHeight="1" s="304"/>
    <row r="1044531" ht="12.75" customHeight="1" s="304"/>
    <row r="1044532" ht="12.75" customHeight="1" s="304"/>
    <row r="1044533" ht="12.75" customHeight="1" s="304"/>
    <row r="1044534" ht="12.75" customHeight="1" s="304"/>
    <row r="1044535" ht="12.75" customHeight="1" s="304"/>
    <row r="1044536" ht="12.75" customHeight="1" s="304"/>
    <row r="1044537" ht="12.75" customHeight="1" s="304"/>
    <row r="1044538" ht="12.75" customHeight="1" s="304"/>
    <row r="1044539" ht="12.75" customHeight="1" s="304"/>
    <row r="1044540" ht="12.75" customHeight="1" s="304"/>
    <row r="1044541" ht="12.75" customHeight="1" s="304"/>
    <row r="1044542" ht="12.75" customHeight="1" s="304"/>
    <row r="1044543" ht="12.75" customHeight="1" s="304"/>
    <row r="1044544" ht="12.75" customHeight="1" s="304"/>
    <row r="1044545" ht="12.75" customHeight="1" s="304"/>
    <row r="1044546" ht="12.75" customHeight="1" s="304"/>
    <row r="1044547" ht="12.75" customHeight="1" s="304"/>
    <row r="1044548" ht="12.75" customHeight="1" s="304"/>
    <row r="1044549" ht="12.75" customHeight="1" s="304"/>
    <row r="1044550" ht="12.75" customHeight="1" s="304"/>
    <row r="1044551" ht="12.75" customHeight="1" s="304"/>
    <row r="1044552" ht="12.75" customHeight="1" s="304"/>
    <row r="1044553" ht="12.75" customHeight="1" s="304"/>
    <row r="1044554" ht="12.75" customHeight="1" s="304"/>
    <row r="1044555" ht="12.75" customHeight="1" s="304"/>
    <row r="1044556" ht="12.75" customHeight="1" s="304"/>
    <row r="1044557" ht="12.75" customHeight="1" s="304"/>
    <row r="1044558" ht="12.75" customHeight="1" s="304"/>
    <row r="1044559" ht="12.75" customHeight="1" s="304"/>
    <row r="1044560" ht="12.75" customHeight="1" s="304"/>
    <row r="1044561" ht="12.75" customHeight="1" s="304"/>
    <row r="1044562" ht="12.75" customHeight="1" s="304"/>
    <row r="1044563" ht="12.75" customHeight="1" s="304"/>
    <row r="1044564" ht="12.75" customHeight="1" s="304"/>
    <row r="1044565" ht="12.75" customHeight="1" s="304"/>
    <row r="1044566" ht="12.75" customHeight="1" s="304"/>
    <row r="1044567" ht="12.75" customHeight="1" s="304"/>
    <row r="1044568" ht="12.75" customHeight="1" s="304"/>
    <row r="1044569" ht="12.75" customHeight="1" s="304"/>
    <row r="1044570" ht="12.75" customHeight="1" s="304"/>
    <row r="1044571" ht="12.75" customHeight="1" s="304"/>
    <row r="1044572" ht="12.75" customHeight="1" s="304"/>
    <row r="1044573" ht="12.75" customHeight="1" s="304"/>
    <row r="1044574" ht="12.75" customHeight="1" s="304"/>
    <row r="1044575" ht="12.75" customHeight="1" s="304"/>
    <row r="1044576" ht="12.75" customHeight="1" s="304"/>
    <row r="1044577" ht="12.75" customHeight="1" s="304"/>
    <row r="1044578" ht="12.75" customHeight="1" s="304"/>
    <row r="1044579" ht="12.75" customHeight="1" s="304"/>
    <row r="1044580" ht="12.75" customHeight="1" s="304"/>
    <row r="1044581" ht="12.75" customHeight="1" s="304"/>
    <row r="1044582" ht="12.75" customHeight="1" s="304"/>
    <row r="1044583" ht="12.75" customHeight="1" s="304"/>
    <row r="1044584" ht="12.75" customHeight="1" s="304"/>
    <row r="1044585" ht="12.75" customHeight="1" s="304"/>
    <row r="1044586" ht="12.75" customHeight="1" s="304"/>
    <row r="1044587" ht="12.75" customHeight="1" s="304"/>
    <row r="1044588" ht="12.75" customHeight="1" s="304"/>
    <row r="1044589" ht="12.75" customHeight="1" s="304"/>
    <row r="1044590" ht="12.75" customHeight="1" s="304"/>
    <row r="1044591" ht="12.75" customHeight="1" s="304"/>
    <row r="1044592" ht="12.75" customHeight="1" s="304"/>
    <row r="1044593" ht="12.75" customHeight="1" s="304"/>
    <row r="1044594" ht="12.75" customHeight="1" s="304"/>
    <row r="1044595" ht="12.75" customHeight="1" s="304"/>
    <row r="1044596" ht="12.75" customHeight="1" s="304"/>
    <row r="1044597" ht="12.75" customHeight="1" s="304"/>
    <row r="1044598" ht="12.75" customHeight="1" s="304"/>
    <row r="1044599" ht="12.75" customHeight="1" s="304"/>
    <row r="1044600" ht="12.75" customHeight="1" s="304"/>
    <row r="1044601" ht="12.75" customHeight="1" s="304"/>
    <row r="1044602" ht="12.75" customHeight="1" s="304"/>
    <row r="1044603" ht="12.75" customHeight="1" s="304"/>
    <row r="1044604" ht="12.75" customHeight="1" s="304"/>
    <row r="1044605" ht="12.75" customHeight="1" s="304"/>
    <row r="1044606" ht="12.75" customHeight="1" s="304"/>
    <row r="1044607" ht="12.75" customHeight="1" s="304"/>
    <row r="1044608" ht="12.75" customHeight="1" s="304"/>
    <row r="1044609" ht="12.75" customHeight="1" s="304"/>
    <row r="1044610" ht="12.75" customHeight="1" s="304"/>
    <row r="1044611" ht="12.75" customHeight="1" s="304"/>
    <row r="1044612" ht="12.75" customHeight="1" s="304"/>
    <row r="1044613" ht="12.75" customHeight="1" s="304"/>
    <row r="1044614" ht="12.75" customHeight="1" s="304"/>
    <row r="1044615" ht="12.75" customHeight="1" s="304"/>
    <row r="1044616" ht="12.75" customHeight="1" s="304"/>
    <row r="1044617" ht="12.75" customHeight="1" s="304"/>
    <row r="1044618" ht="12.75" customHeight="1" s="304"/>
    <row r="1044619" ht="12.75" customHeight="1" s="304"/>
    <row r="1044620" ht="12.75" customHeight="1" s="304"/>
    <row r="1044621" ht="12.75" customHeight="1" s="304"/>
    <row r="1044622" ht="12.75" customHeight="1" s="304"/>
    <row r="1044623" ht="12.75" customHeight="1" s="304"/>
    <row r="1044624" ht="12.75" customHeight="1" s="304"/>
    <row r="1044625" ht="12.75" customHeight="1" s="304"/>
    <row r="1044626" ht="12.75" customHeight="1" s="304"/>
    <row r="1044627" ht="12.75" customHeight="1" s="304"/>
    <row r="1044628" ht="12.75" customHeight="1" s="304"/>
    <row r="1044629" ht="12.75" customHeight="1" s="304"/>
    <row r="1044630" ht="12.75" customHeight="1" s="304"/>
    <row r="1044631" ht="12.75" customHeight="1" s="304"/>
    <row r="1044632" ht="12.75" customHeight="1" s="304"/>
    <row r="1044633" ht="12.75" customHeight="1" s="304"/>
    <row r="1044634" ht="12.75" customHeight="1" s="304"/>
    <row r="1044635" ht="12.75" customHeight="1" s="304"/>
    <row r="1044636" ht="12.75" customHeight="1" s="304"/>
    <row r="1044637" ht="12.75" customHeight="1" s="304"/>
    <row r="1044638" ht="12.75" customHeight="1" s="304"/>
    <row r="1044639" ht="12.75" customHeight="1" s="304"/>
    <row r="1044640" ht="12.75" customHeight="1" s="304"/>
    <row r="1044641" ht="12.75" customHeight="1" s="304"/>
    <row r="1044642" ht="12.75" customHeight="1" s="304"/>
    <row r="1044643" ht="12.75" customHeight="1" s="304"/>
    <row r="1044644" ht="12.75" customHeight="1" s="304"/>
    <row r="1044645" ht="12.75" customHeight="1" s="304"/>
    <row r="1044646" ht="12.75" customHeight="1" s="304"/>
    <row r="1044647" ht="12.75" customHeight="1" s="304"/>
    <row r="1044648" ht="12.75" customHeight="1" s="304"/>
    <row r="1044649" ht="12.75" customHeight="1" s="304"/>
    <row r="1044650" ht="12.75" customHeight="1" s="304"/>
    <row r="1044651" ht="12.75" customHeight="1" s="304"/>
    <row r="1044652" ht="12.75" customHeight="1" s="304"/>
    <row r="1044653" ht="12.75" customHeight="1" s="304"/>
    <row r="1044654" ht="12.75" customHeight="1" s="304"/>
    <row r="1044655" ht="12.75" customHeight="1" s="304"/>
    <row r="1044656" ht="12.75" customHeight="1" s="304"/>
    <row r="1044657" ht="12.75" customHeight="1" s="304"/>
    <row r="1044658" ht="12.75" customHeight="1" s="304"/>
    <row r="1044659" ht="12.75" customHeight="1" s="304"/>
    <row r="1044660" ht="12.75" customHeight="1" s="304"/>
    <row r="1044661" ht="12.75" customHeight="1" s="304"/>
    <row r="1044662" ht="12.75" customHeight="1" s="304"/>
    <row r="1044663" ht="12.75" customHeight="1" s="304"/>
    <row r="1044664" ht="12.75" customHeight="1" s="304"/>
    <row r="1044665" ht="12.75" customHeight="1" s="304"/>
    <row r="1044666" ht="12.75" customHeight="1" s="304"/>
    <row r="1044667" ht="12.75" customHeight="1" s="304"/>
    <row r="1044668" ht="12.75" customHeight="1" s="304"/>
    <row r="1044669" ht="12.75" customHeight="1" s="304"/>
    <row r="1044670" ht="12.75" customHeight="1" s="304"/>
    <row r="1044671" ht="12.75" customHeight="1" s="304"/>
    <row r="1044672" ht="12.75" customHeight="1" s="304"/>
    <row r="1044673" ht="12.75" customHeight="1" s="304"/>
    <row r="1044674" ht="12.75" customHeight="1" s="304"/>
    <row r="1044675" ht="12.75" customHeight="1" s="304"/>
    <row r="1044676" ht="12.75" customHeight="1" s="304"/>
    <row r="1044677" ht="12.75" customHeight="1" s="304"/>
    <row r="1044678" ht="12.75" customHeight="1" s="304"/>
    <row r="1044679" ht="12.75" customHeight="1" s="304"/>
    <row r="1044680" ht="12.75" customHeight="1" s="304"/>
    <row r="1044681" ht="12.75" customHeight="1" s="304"/>
    <row r="1044682" ht="12.75" customHeight="1" s="304"/>
    <row r="1044683" ht="12.75" customHeight="1" s="304"/>
    <row r="1044684" ht="12.75" customHeight="1" s="304"/>
    <row r="1044685" ht="12.75" customHeight="1" s="304"/>
    <row r="1044686" ht="12.75" customHeight="1" s="304"/>
    <row r="1044687" ht="12.75" customHeight="1" s="304"/>
    <row r="1044688" ht="12.75" customHeight="1" s="304"/>
    <row r="1044689" ht="12.75" customHeight="1" s="304"/>
    <row r="1044690" ht="12.75" customHeight="1" s="304"/>
    <row r="1044691" ht="12.75" customHeight="1" s="304"/>
    <row r="1044692" ht="12.75" customHeight="1" s="304"/>
    <row r="1044693" ht="12.75" customHeight="1" s="304"/>
    <row r="1044694" ht="12.75" customHeight="1" s="304"/>
    <row r="1044695" ht="12.75" customHeight="1" s="304"/>
    <row r="1044696" ht="12.75" customHeight="1" s="304"/>
    <row r="1044697" ht="12.75" customHeight="1" s="304"/>
    <row r="1044698" ht="12.75" customHeight="1" s="304"/>
    <row r="1044699" ht="12.75" customHeight="1" s="304"/>
    <row r="1044700" ht="12.75" customHeight="1" s="304"/>
    <row r="1044701" ht="12.75" customHeight="1" s="304"/>
    <row r="1044702" ht="12.75" customHeight="1" s="304"/>
    <row r="1044703" ht="12.75" customHeight="1" s="304"/>
    <row r="1044704" ht="12.75" customHeight="1" s="304"/>
    <row r="1044705" ht="12.75" customHeight="1" s="304"/>
    <row r="1044706" ht="12.75" customHeight="1" s="304"/>
    <row r="1044707" ht="12.75" customHeight="1" s="304"/>
    <row r="1044708" ht="12.75" customHeight="1" s="304"/>
    <row r="1044709" ht="12.75" customHeight="1" s="304"/>
    <row r="1044710" ht="12.75" customHeight="1" s="304"/>
    <row r="1044711" ht="12.75" customHeight="1" s="304"/>
    <row r="1044712" ht="12.75" customHeight="1" s="304"/>
    <row r="1044713" ht="12.75" customHeight="1" s="304"/>
    <row r="1044714" ht="12.75" customHeight="1" s="304"/>
    <row r="1044715" ht="12.75" customHeight="1" s="304"/>
    <row r="1044716" ht="12.75" customHeight="1" s="304"/>
    <row r="1044717" ht="12.75" customHeight="1" s="304"/>
    <row r="1044718" ht="12.75" customHeight="1" s="304"/>
    <row r="1044719" ht="12.75" customHeight="1" s="304"/>
    <row r="1044720" ht="12.75" customHeight="1" s="304"/>
    <row r="1044721" ht="12.75" customHeight="1" s="304"/>
    <row r="1044722" ht="12.75" customHeight="1" s="304"/>
    <row r="1044723" ht="12.75" customHeight="1" s="304"/>
    <row r="1044724" ht="12.75" customHeight="1" s="304"/>
    <row r="1044725" ht="12.75" customHeight="1" s="304"/>
    <row r="1044726" ht="12.75" customHeight="1" s="304"/>
    <row r="1044727" ht="12.75" customHeight="1" s="304"/>
    <row r="1044728" ht="12.75" customHeight="1" s="304"/>
    <row r="1044729" ht="12.75" customHeight="1" s="304"/>
    <row r="1044730" ht="12.75" customHeight="1" s="304"/>
    <row r="1044731" ht="12.75" customHeight="1" s="304"/>
    <row r="1044732" ht="12.75" customHeight="1" s="304"/>
    <row r="1044733" ht="12.75" customHeight="1" s="304"/>
    <row r="1044734" ht="12.75" customHeight="1" s="304"/>
    <row r="1044735" ht="12.75" customHeight="1" s="304"/>
    <row r="1044736" ht="12.75" customHeight="1" s="304"/>
    <row r="1044737" ht="12.75" customHeight="1" s="304"/>
    <row r="1044738" ht="12.75" customHeight="1" s="304"/>
    <row r="1044739" ht="12.75" customHeight="1" s="304"/>
    <row r="1044740" ht="12.75" customHeight="1" s="304"/>
    <row r="1044741" ht="12.75" customHeight="1" s="304"/>
    <row r="1044742" ht="12.75" customHeight="1" s="304"/>
    <row r="1044743" ht="12.75" customHeight="1" s="304"/>
    <row r="1044744" ht="12.75" customHeight="1" s="304"/>
    <row r="1044745" ht="12.75" customHeight="1" s="304"/>
    <row r="1044746" ht="12.75" customHeight="1" s="304"/>
    <row r="1044747" ht="12.75" customHeight="1" s="304"/>
    <row r="1044748" ht="12.75" customHeight="1" s="304"/>
    <row r="1044749" ht="12.75" customHeight="1" s="304"/>
    <row r="1044750" ht="12.75" customHeight="1" s="304"/>
    <row r="1044751" ht="12.75" customHeight="1" s="304"/>
    <row r="1044752" ht="12.75" customHeight="1" s="304"/>
    <row r="1044753" ht="12.75" customHeight="1" s="304"/>
    <row r="1044754" ht="12.75" customHeight="1" s="304"/>
    <row r="1044755" ht="12.75" customHeight="1" s="304"/>
    <row r="1044756" ht="12.75" customHeight="1" s="304"/>
    <row r="1044757" ht="12.75" customHeight="1" s="304"/>
    <row r="1044758" ht="12.75" customHeight="1" s="304"/>
    <row r="1044759" ht="12.75" customHeight="1" s="304"/>
    <row r="1044760" ht="12.75" customHeight="1" s="304"/>
    <row r="1044761" ht="12.75" customHeight="1" s="304"/>
    <row r="1044762" ht="12.75" customHeight="1" s="304"/>
    <row r="1044763" ht="12.75" customHeight="1" s="304"/>
    <row r="1044764" ht="12.75" customHeight="1" s="304"/>
    <row r="1044765" ht="12.75" customHeight="1" s="304"/>
    <row r="1044766" ht="12.75" customHeight="1" s="304"/>
    <row r="1044767" ht="12.75" customHeight="1" s="304"/>
    <row r="1044768" ht="12.75" customHeight="1" s="304"/>
    <row r="1044769" ht="12.75" customHeight="1" s="304"/>
    <row r="1044770" ht="12.75" customHeight="1" s="304"/>
    <row r="1044771" ht="12.75" customHeight="1" s="304"/>
    <row r="1044772" ht="12.75" customHeight="1" s="304"/>
    <row r="1044773" ht="12.75" customHeight="1" s="304"/>
    <row r="1044774" ht="12.75" customHeight="1" s="304"/>
    <row r="1044775" ht="12.75" customHeight="1" s="304"/>
    <row r="1044776" ht="12.75" customHeight="1" s="304"/>
    <row r="1044777" ht="12.75" customHeight="1" s="304"/>
    <row r="1044778" ht="12.75" customHeight="1" s="304"/>
    <row r="1044779" ht="12.75" customHeight="1" s="304"/>
    <row r="1044780" ht="12.75" customHeight="1" s="304"/>
    <row r="1044781" ht="12.75" customHeight="1" s="304"/>
    <row r="1044782" ht="12.75" customHeight="1" s="304"/>
    <row r="1044783" ht="12.75" customHeight="1" s="304"/>
    <row r="1044784" ht="12.75" customHeight="1" s="304"/>
    <row r="1044785" ht="12.75" customHeight="1" s="304"/>
    <row r="1044786" ht="12.75" customHeight="1" s="304"/>
    <row r="1044787" ht="12.75" customHeight="1" s="304"/>
    <row r="1044788" ht="12.75" customHeight="1" s="304"/>
    <row r="1044789" ht="12.75" customHeight="1" s="304"/>
    <row r="1044790" ht="12.75" customHeight="1" s="304"/>
    <row r="1044791" ht="12.75" customHeight="1" s="304"/>
    <row r="1044792" ht="12.75" customHeight="1" s="304"/>
    <row r="1044793" ht="12.75" customHeight="1" s="304"/>
    <row r="1044794" ht="12.75" customHeight="1" s="304"/>
    <row r="1044795" ht="12.75" customHeight="1" s="304"/>
    <row r="1044796" ht="12.75" customHeight="1" s="304"/>
    <row r="1044797" ht="12.75" customHeight="1" s="304"/>
    <row r="1044798" ht="12.75" customHeight="1" s="304"/>
    <row r="1044799" ht="12.75" customHeight="1" s="304"/>
    <row r="1044800" ht="12.75" customHeight="1" s="304"/>
    <row r="1044801" ht="12.75" customHeight="1" s="304"/>
    <row r="1044802" ht="12.75" customHeight="1" s="304"/>
    <row r="1044803" ht="12.75" customHeight="1" s="304"/>
    <row r="1044804" ht="12.75" customHeight="1" s="304"/>
    <row r="1044805" ht="12.75" customHeight="1" s="304"/>
    <row r="1044806" ht="12.75" customHeight="1" s="304"/>
    <row r="1044807" ht="12.75" customHeight="1" s="304"/>
    <row r="1044808" ht="12.75" customHeight="1" s="304"/>
    <row r="1044809" ht="12.75" customHeight="1" s="304"/>
    <row r="1044810" ht="12.75" customHeight="1" s="304"/>
    <row r="1044811" ht="12.75" customHeight="1" s="304"/>
    <row r="1044812" ht="12.75" customHeight="1" s="304"/>
    <row r="1044813" ht="12.75" customHeight="1" s="304"/>
    <row r="1044814" ht="12.75" customHeight="1" s="304"/>
    <row r="1044815" ht="12.75" customHeight="1" s="304"/>
    <row r="1044816" ht="12.75" customHeight="1" s="304"/>
    <row r="1044817" ht="12.75" customHeight="1" s="304"/>
    <row r="1044818" ht="12.75" customHeight="1" s="304"/>
    <row r="1044819" ht="12.75" customHeight="1" s="304"/>
    <row r="1044820" ht="12.75" customHeight="1" s="304"/>
    <row r="1044821" ht="12.75" customHeight="1" s="304"/>
    <row r="1044822" ht="12.75" customHeight="1" s="304"/>
    <row r="1044823" ht="12.75" customHeight="1" s="304"/>
    <row r="1044824" ht="12.75" customHeight="1" s="304"/>
    <row r="1044825" ht="12.75" customHeight="1" s="304"/>
    <row r="1044826" ht="12.75" customHeight="1" s="304"/>
    <row r="1044827" ht="12.75" customHeight="1" s="304"/>
    <row r="1044828" ht="12.75" customHeight="1" s="304"/>
    <row r="1044829" ht="12.75" customHeight="1" s="304"/>
    <row r="1044830" ht="12.75" customHeight="1" s="304"/>
    <row r="1044831" ht="12.75" customHeight="1" s="304"/>
    <row r="1044832" ht="12.75" customHeight="1" s="304"/>
    <row r="1044833" ht="12.75" customHeight="1" s="304"/>
    <row r="1044834" ht="12.75" customHeight="1" s="304"/>
    <row r="1044835" ht="12.75" customHeight="1" s="304"/>
    <row r="1044836" ht="12.75" customHeight="1" s="304"/>
    <row r="1044837" ht="12.75" customHeight="1" s="304"/>
    <row r="1044838" ht="12.75" customHeight="1" s="304"/>
    <row r="1044839" ht="12.75" customHeight="1" s="304"/>
    <row r="1044840" ht="12.75" customHeight="1" s="304"/>
    <row r="1044841" ht="12.75" customHeight="1" s="304"/>
    <row r="1044842" ht="12.75" customHeight="1" s="304"/>
    <row r="1044843" ht="12.75" customHeight="1" s="304"/>
    <row r="1044844" ht="12.75" customHeight="1" s="304"/>
    <row r="1044845" ht="12.75" customHeight="1" s="304"/>
    <row r="1044846" ht="12.75" customHeight="1" s="304"/>
    <row r="1044847" ht="12.75" customHeight="1" s="304"/>
    <row r="1044848" ht="12.75" customHeight="1" s="304"/>
    <row r="1044849" ht="12.75" customHeight="1" s="304"/>
    <row r="1044850" ht="12.75" customHeight="1" s="304"/>
    <row r="1044851" ht="12.75" customHeight="1" s="304"/>
    <row r="1044852" ht="12.75" customHeight="1" s="304"/>
    <row r="1044853" ht="12.75" customHeight="1" s="304"/>
    <row r="1044854" ht="12.75" customHeight="1" s="304"/>
    <row r="1044855" ht="12.75" customHeight="1" s="304"/>
    <row r="1044856" ht="12.75" customHeight="1" s="304"/>
    <row r="1044857" ht="12.75" customHeight="1" s="304"/>
    <row r="1044858" ht="12.75" customHeight="1" s="304"/>
    <row r="1044859" ht="12.75" customHeight="1" s="304"/>
    <row r="1044860" ht="12.75" customHeight="1" s="304"/>
    <row r="1044861" ht="12.75" customHeight="1" s="304"/>
    <row r="1044862" ht="12.75" customHeight="1" s="304"/>
    <row r="1044863" ht="12.75" customHeight="1" s="304"/>
    <row r="1044864" ht="12.75" customHeight="1" s="304"/>
    <row r="1044865" ht="12.75" customHeight="1" s="304"/>
    <row r="1044866" ht="12.75" customHeight="1" s="304"/>
    <row r="1044867" ht="12.75" customHeight="1" s="304"/>
    <row r="1044868" ht="12.75" customHeight="1" s="304"/>
    <row r="1044869" ht="12.75" customHeight="1" s="304"/>
    <row r="1044870" ht="12.75" customHeight="1" s="304"/>
    <row r="1044871" ht="12.75" customHeight="1" s="304"/>
    <row r="1044872" ht="12.75" customHeight="1" s="304"/>
    <row r="1044873" ht="12.75" customHeight="1" s="304"/>
    <row r="1044874" ht="12.75" customHeight="1" s="304"/>
    <row r="1044875" ht="12.75" customHeight="1" s="304"/>
    <row r="1044876" ht="12.75" customHeight="1" s="304"/>
    <row r="1044877" ht="12.75" customHeight="1" s="304"/>
    <row r="1044878" ht="12.75" customHeight="1" s="304"/>
    <row r="1044879" ht="12.75" customHeight="1" s="304"/>
    <row r="1044880" ht="12.75" customHeight="1" s="304"/>
    <row r="1044881" ht="12.75" customHeight="1" s="304"/>
    <row r="1044882" ht="12.75" customHeight="1" s="304"/>
    <row r="1044883" ht="12.75" customHeight="1" s="304"/>
    <row r="1044884" ht="12.75" customHeight="1" s="304"/>
    <row r="1044885" ht="12.75" customHeight="1" s="304"/>
    <row r="1044886" ht="12.75" customHeight="1" s="304"/>
    <row r="1044887" ht="12.75" customHeight="1" s="304"/>
    <row r="1044888" ht="12.75" customHeight="1" s="304"/>
    <row r="1044889" ht="12.75" customHeight="1" s="304"/>
    <row r="1044890" ht="12.75" customHeight="1" s="304"/>
    <row r="1044891" ht="12.75" customHeight="1" s="304"/>
    <row r="1044892" ht="12.75" customHeight="1" s="304"/>
    <row r="1044893" ht="12.75" customHeight="1" s="304"/>
    <row r="1044894" ht="12.75" customHeight="1" s="304"/>
    <row r="1044895" ht="12.75" customHeight="1" s="304"/>
    <row r="1044896" ht="12.75" customHeight="1" s="304"/>
    <row r="1044897" ht="12.75" customHeight="1" s="304"/>
    <row r="1044898" ht="12.75" customHeight="1" s="304"/>
    <row r="1044899" ht="12.75" customHeight="1" s="304"/>
    <row r="1044900" ht="12.75" customHeight="1" s="304"/>
    <row r="1044901" ht="12.75" customHeight="1" s="304"/>
    <row r="1044902" ht="12.75" customHeight="1" s="304"/>
    <row r="1044903" ht="12.75" customHeight="1" s="304"/>
    <row r="1044904" ht="12.75" customHeight="1" s="304"/>
    <row r="1044905" ht="12.75" customHeight="1" s="304"/>
    <row r="1044906" ht="12.75" customHeight="1" s="304"/>
    <row r="1044907" ht="12.75" customHeight="1" s="304"/>
    <row r="1044908" ht="12.75" customHeight="1" s="304"/>
    <row r="1044909" ht="12.75" customHeight="1" s="304"/>
    <row r="1044910" ht="12.75" customHeight="1" s="304"/>
    <row r="1044911" ht="12.75" customHeight="1" s="304"/>
    <row r="1044912" ht="12.75" customHeight="1" s="304"/>
    <row r="1044913" ht="12.75" customHeight="1" s="304"/>
    <row r="1044914" ht="12.75" customHeight="1" s="304"/>
    <row r="1044915" ht="12.75" customHeight="1" s="304"/>
    <row r="1044916" ht="12.75" customHeight="1" s="304"/>
    <row r="1044917" ht="12.75" customHeight="1" s="304"/>
    <row r="1044918" ht="12.75" customHeight="1" s="304"/>
    <row r="1044919" ht="12.75" customHeight="1" s="304"/>
    <row r="1044920" ht="12.75" customHeight="1" s="304"/>
    <row r="1044921" ht="12.75" customHeight="1" s="304"/>
    <row r="1044922" ht="12.75" customHeight="1" s="304"/>
    <row r="1044923" ht="12.75" customHeight="1" s="304"/>
    <row r="1044924" ht="12.75" customHeight="1" s="304"/>
    <row r="1044925" ht="12.75" customHeight="1" s="304"/>
    <row r="1044926" ht="12.75" customHeight="1" s="304"/>
    <row r="1044927" ht="12.75" customHeight="1" s="304"/>
    <row r="1044928" ht="12.75" customHeight="1" s="304"/>
    <row r="1044929" ht="12.75" customHeight="1" s="304"/>
    <row r="1044930" ht="12.75" customHeight="1" s="304"/>
    <row r="1044931" ht="12.75" customHeight="1" s="304"/>
    <row r="1044932" ht="12.75" customHeight="1" s="304"/>
    <row r="1044933" ht="12.75" customHeight="1" s="304"/>
    <row r="1044934" ht="12.75" customHeight="1" s="304"/>
    <row r="1044935" ht="12.75" customHeight="1" s="304"/>
    <row r="1044936" ht="12.75" customHeight="1" s="304"/>
    <row r="1044937" ht="12.75" customHeight="1" s="304"/>
    <row r="1044938" ht="12.75" customHeight="1" s="304"/>
    <row r="1044939" ht="12.75" customHeight="1" s="304"/>
    <row r="1044940" ht="12.75" customHeight="1" s="304"/>
    <row r="1044941" ht="12.75" customHeight="1" s="304"/>
    <row r="1044942" ht="12.75" customHeight="1" s="304"/>
    <row r="1044943" ht="12.75" customHeight="1" s="304"/>
    <row r="1044944" ht="12.75" customHeight="1" s="304"/>
    <row r="1044945" ht="12.75" customHeight="1" s="304"/>
    <row r="1044946" ht="12.75" customHeight="1" s="304"/>
    <row r="1044947" ht="12.75" customHeight="1" s="304"/>
    <row r="1044948" ht="12.75" customHeight="1" s="304"/>
    <row r="1044949" ht="12.75" customHeight="1" s="304"/>
    <row r="1044950" ht="12.75" customHeight="1" s="304"/>
    <row r="1044951" ht="12.75" customHeight="1" s="304"/>
    <row r="1044952" ht="12.75" customHeight="1" s="304"/>
    <row r="1044953" ht="12.75" customHeight="1" s="304"/>
    <row r="1044954" ht="12.75" customHeight="1" s="304"/>
    <row r="1044955" ht="12.75" customHeight="1" s="304"/>
    <row r="1044956" ht="12.75" customHeight="1" s="304"/>
    <row r="1044957" ht="12.75" customHeight="1" s="304"/>
    <row r="1044958" ht="12.75" customHeight="1" s="304"/>
    <row r="1044959" ht="12.75" customHeight="1" s="304"/>
    <row r="1044960" ht="12.75" customHeight="1" s="304"/>
    <row r="1044961" ht="12.75" customHeight="1" s="304"/>
    <row r="1044962" ht="12.75" customHeight="1" s="304"/>
    <row r="1044963" ht="12.75" customHeight="1" s="304"/>
    <row r="1044964" ht="12.75" customHeight="1" s="304"/>
    <row r="1044965" ht="12.75" customHeight="1" s="304"/>
    <row r="1044966" ht="12.75" customHeight="1" s="304"/>
    <row r="1044967" ht="12.75" customHeight="1" s="304"/>
    <row r="1044968" ht="12.75" customHeight="1" s="304"/>
    <row r="1044969" ht="12.75" customHeight="1" s="304"/>
    <row r="1044970" ht="12.75" customHeight="1" s="304"/>
    <row r="1044971" ht="12.75" customHeight="1" s="304"/>
    <row r="1044972" ht="12.75" customHeight="1" s="304"/>
    <row r="1044973" ht="12.75" customHeight="1" s="304"/>
    <row r="1044974" ht="12.75" customHeight="1" s="304"/>
    <row r="1044975" ht="12.75" customHeight="1" s="304"/>
    <row r="1044976" ht="12.75" customHeight="1" s="304"/>
    <row r="1044977" ht="12.75" customHeight="1" s="304"/>
    <row r="1044978" ht="12.75" customHeight="1" s="304"/>
    <row r="1044979" ht="12.75" customHeight="1" s="304"/>
    <row r="1044980" ht="12.75" customHeight="1" s="304"/>
    <row r="1044981" ht="12.75" customHeight="1" s="304"/>
    <row r="1044982" ht="12.75" customHeight="1" s="304"/>
    <row r="1044983" ht="12.75" customHeight="1" s="304"/>
    <row r="1044984" ht="12.75" customHeight="1" s="304"/>
    <row r="1044985" ht="12.75" customHeight="1" s="304"/>
    <row r="1044986" ht="12.75" customHeight="1" s="304"/>
    <row r="1044987" ht="12.75" customHeight="1" s="304"/>
    <row r="1044988" ht="12.75" customHeight="1" s="304"/>
    <row r="1044989" ht="12.75" customHeight="1" s="304"/>
    <row r="1044990" ht="12.75" customHeight="1" s="304"/>
    <row r="1044991" ht="12.75" customHeight="1" s="304"/>
    <row r="1044992" ht="12.75" customHeight="1" s="304"/>
    <row r="1044993" ht="12.75" customHeight="1" s="304"/>
    <row r="1044994" ht="12.75" customHeight="1" s="304"/>
    <row r="1044995" ht="12.75" customHeight="1" s="304"/>
    <row r="1044996" ht="12.75" customHeight="1" s="304"/>
    <row r="1044997" ht="12.75" customHeight="1" s="304"/>
    <row r="1044998" ht="12.75" customHeight="1" s="304"/>
    <row r="1044999" ht="12.75" customHeight="1" s="304"/>
    <row r="1045000" ht="12.75" customHeight="1" s="304"/>
    <row r="1045001" ht="12.75" customHeight="1" s="304"/>
    <row r="1045002" ht="12.75" customHeight="1" s="304"/>
    <row r="1045003" ht="12.75" customHeight="1" s="304"/>
    <row r="1045004" ht="12.75" customHeight="1" s="304"/>
    <row r="1045005" ht="12.75" customHeight="1" s="304"/>
    <row r="1045006" ht="12.75" customHeight="1" s="304"/>
    <row r="1045007" ht="12.75" customHeight="1" s="304"/>
    <row r="1045008" ht="12.75" customHeight="1" s="304"/>
    <row r="1045009" ht="12.75" customHeight="1" s="304"/>
    <row r="1045010" ht="12.75" customHeight="1" s="304"/>
    <row r="1045011" ht="12.75" customHeight="1" s="304"/>
    <row r="1045012" ht="12.75" customHeight="1" s="304"/>
    <row r="1045013" ht="12.75" customHeight="1" s="304"/>
    <row r="1045014" ht="12.75" customHeight="1" s="304"/>
    <row r="1045015" ht="12.75" customHeight="1" s="304"/>
    <row r="1045016" ht="12.75" customHeight="1" s="304"/>
    <row r="1045017" ht="12.75" customHeight="1" s="304"/>
    <row r="1045018" ht="12.75" customHeight="1" s="304"/>
    <row r="1045019" ht="12.75" customHeight="1" s="304"/>
    <row r="1045020" ht="12.75" customHeight="1" s="304"/>
    <row r="1045021" ht="12.75" customHeight="1" s="304"/>
    <row r="1045022" ht="12.75" customHeight="1" s="304"/>
    <row r="1045023" ht="12.75" customHeight="1" s="304"/>
    <row r="1045024" ht="12.75" customHeight="1" s="304"/>
    <row r="1045025" ht="12.75" customHeight="1" s="304"/>
    <row r="1045026" ht="12.75" customHeight="1" s="304"/>
    <row r="1045027" ht="12.75" customHeight="1" s="304"/>
    <row r="1045028" ht="12.75" customHeight="1" s="304"/>
    <row r="1045029" ht="12.75" customHeight="1" s="304"/>
    <row r="1045030" ht="12.75" customHeight="1" s="304"/>
    <row r="1045031" ht="12.75" customHeight="1" s="304"/>
    <row r="1045032" ht="12.75" customHeight="1" s="304"/>
    <row r="1045033" ht="12.75" customHeight="1" s="304"/>
    <row r="1045034" ht="12.75" customHeight="1" s="304"/>
    <row r="1045035" ht="12.75" customHeight="1" s="304"/>
    <row r="1045036" ht="12.75" customHeight="1" s="304"/>
    <row r="1045037" ht="12.75" customHeight="1" s="304"/>
    <row r="1045038" ht="12.75" customHeight="1" s="304"/>
    <row r="1045039" ht="12.75" customHeight="1" s="304"/>
    <row r="1045040" ht="12.75" customHeight="1" s="304"/>
    <row r="1045041" ht="12.75" customHeight="1" s="304"/>
    <row r="1045042" ht="12.75" customHeight="1" s="304"/>
    <row r="1045043" ht="12.75" customHeight="1" s="304"/>
    <row r="1045044" ht="12.75" customHeight="1" s="304"/>
    <row r="1045045" ht="12.75" customHeight="1" s="304"/>
    <row r="1045046" ht="12.75" customHeight="1" s="304"/>
    <row r="1045047" ht="12.75" customHeight="1" s="304"/>
    <row r="1045048" ht="12.75" customHeight="1" s="304"/>
    <row r="1045049" ht="12.75" customHeight="1" s="304"/>
    <row r="1045050" ht="12.75" customHeight="1" s="304"/>
    <row r="1045051" ht="12.75" customHeight="1" s="304"/>
    <row r="1045052" ht="12.75" customHeight="1" s="304"/>
    <row r="1045053" ht="12.75" customHeight="1" s="304"/>
    <row r="1045054" ht="12.75" customHeight="1" s="304"/>
    <row r="1045055" ht="12.75" customHeight="1" s="304"/>
    <row r="1045056" ht="12.75" customHeight="1" s="304"/>
    <row r="1045057" ht="12.75" customHeight="1" s="304"/>
    <row r="1045058" ht="12.75" customHeight="1" s="304"/>
    <row r="1045059" ht="12.75" customHeight="1" s="304"/>
    <row r="1045060" ht="12.75" customHeight="1" s="304"/>
    <row r="1045061" ht="12.75" customHeight="1" s="304"/>
    <row r="1045062" ht="12.75" customHeight="1" s="304"/>
    <row r="1045063" ht="12.75" customHeight="1" s="304"/>
    <row r="1045064" ht="12.75" customHeight="1" s="304"/>
    <row r="1045065" ht="12.75" customHeight="1" s="304"/>
    <row r="1045066" ht="12.75" customHeight="1" s="304"/>
    <row r="1045067" ht="12.75" customHeight="1" s="304"/>
    <row r="1045068" ht="12.75" customHeight="1" s="304"/>
    <row r="1045069" ht="12.75" customHeight="1" s="304"/>
    <row r="1045070" ht="12.75" customHeight="1" s="304"/>
    <row r="1045071" ht="12.75" customHeight="1" s="304"/>
    <row r="1045072" ht="12.75" customHeight="1" s="304"/>
    <row r="1045073" ht="12.75" customHeight="1" s="304"/>
    <row r="1045074" ht="12.75" customHeight="1" s="304"/>
    <row r="1045075" ht="12.75" customHeight="1" s="304"/>
    <row r="1045076" ht="12.75" customHeight="1" s="304"/>
    <row r="1045077" ht="12.75" customHeight="1" s="304"/>
    <row r="1045078" ht="12.75" customHeight="1" s="304"/>
    <row r="1045079" ht="12.75" customHeight="1" s="304"/>
    <row r="1045080" ht="12.75" customHeight="1" s="304"/>
    <row r="1045081" ht="12.75" customHeight="1" s="304"/>
    <row r="1045082" ht="12.75" customHeight="1" s="304"/>
    <row r="1045083" ht="12.75" customHeight="1" s="304"/>
    <row r="1045084" ht="12.75" customHeight="1" s="304"/>
    <row r="1045085" ht="12.75" customHeight="1" s="304"/>
    <row r="1045086" ht="12.75" customHeight="1" s="304"/>
    <row r="1045087" ht="12.75" customHeight="1" s="304"/>
    <row r="1045088" ht="12.75" customHeight="1" s="304"/>
    <row r="1045089" ht="12.75" customHeight="1" s="304"/>
    <row r="1045090" ht="12.75" customHeight="1" s="304"/>
    <row r="1045091" ht="12.75" customHeight="1" s="304"/>
    <row r="1045092" ht="12.75" customHeight="1" s="304"/>
    <row r="1045093" ht="12.75" customHeight="1" s="304"/>
    <row r="1045094" ht="12.75" customHeight="1" s="304"/>
    <row r="1045095" ht="12.75" customHeight="1" s="304"/>
    <row r="1045096" ht="12.75" customHeight="1" s="304"/>
    <row r="1045097" ht="12.75" customHeight="1" s="304"/>
    <row r="1045098" ht="12.75" customHeight="1" s="304"/>
    <row r="1045099" ht="12.75" customHeight="1" s="304"/>
    <row r="1045100" ht="12.75" customHeight="1" s="304"/>
    <row r="1045101" ht="12.75" customHeight="1" s="304"/>
    <row r="1045102" ht="12.75" customHeight="1" s="304"/>
    <row r="1045103" ht="12.75" customHeight="1" s="304"/>
    <row r="1045104" ht="12.75" customHeight="1" s="304"/>
    <row r="1045105" ht="12.75" customHeight="1" s="304"/>
    <row r="1045106" ht="12.75" customHeight="1" s="304"/>
    <row r="1045107" ht="12.75" customHeight="1" s="304"/>
    <row r="1045108" ht="12.75" customHeight="1" s="304"/>
    <row r="1045109" ht="12.75" customHeight="1" s="304"/>
    <row r="1045110" ht="12.75" customHeight="1" s="304"/>
    <row r="1045111" ht="12.75" customHeight="1" s="304"/>
    <row r="1045112" ht="12.75" customHeight="1" s="304"/>
    <row r="1045113" ht="12.75" customHeight="1" s="304"/>
    <row r="1045114" ht="12.75" customHeight="1" s="304"/>
    <row r="1045115" ht="12.75" customHeight="1" s="304"/>
    <row r="1045116" ht="12.75" customHeight="1" s="304"/>
    <row r="1045117" ht="12.75" customHeight="1" s="304"/>
    <row r="1045118" ht="12.75" customHeight="1" s="304"/>
    <row r="1045119" ht="12.75" customHeight="1" s="304"/>
    <row r="1045120" ht="12.75" customHeight="1" s="304"/>
    <row r="1045121" ht="12.75" customHeight="1" s="304"/>
    <row r="1045122" ht="12.75" customHeight="1" s="304"/>
    <row r="1045123" ht="12.75" customHeight="1" s="304"/>
    <row r="1045124" ht="12.75" customHeight="1" s="304"/>
    <row r="1045125" ht="12.75" customHeight="1" s="304"/>
    <row r="1045126" ht="12.75" customHeight="1" s="304"/>
    <row r="1045127" ht="12.75" customHeight="1" s="304"/>
    <row r="1045128" ht="12.75" customHeight="1" s="304"/>
    <row r="1045129" ht="12.75" customHeight="1" s="304"/>
    <row r="1045130" ht="12.75" customHeight="1" s="304"/>
    <row r="1045131" ht="12.75" customHeight="1" s="304"/>
    <row r="1045132" ht="12.75" customHeight="1" s="304"/>
    <row r="1045133" ht="12.75" customHeight="1" s="304"/>
    <row r="1045134" ht="12.75" customHeight="1" s="304"/>
    <row r="1045135" ht="12.75" customHeight="1" s="304"/>
    <row r="1045136" ht="12.75" customHeight="1" s="304"/>
    <row r="1045137" ht="12.75" customHeight="1" s="304"/>
    <row r="1045138" ht="12.75" customHeight="1" s="304"/>
    <row r="1045139" ht="12.75" customHeight="1" s="304"/>
    <row r="1045140" ht="12.75" customHeight="1" s="304"/>
    <row r="1045141" ht="12.75" customHeight="1" s="304"/>
    <row r="1045142" ht="12.75" customHeight="1" s="304"/>
    <row r="1045143" ht="12.75" customHeight="1" s="304"/>
    <row r="1045144" ht="12.75" customHeight="1" s="304"/>
    <row r="1045145" ht="12.75" customHeight="1" s="304"/>
    <row r="1045146" ht="12.75" customHeight="1" s="304"/>
    <row r="1045147" ht="12.75" customHeight="1" s="304"/>
    <row r="1045148" ht="12.75" customHeight="1" s="304"/>
    <row r="1045149" ht="12.75" customHeight="1" s="304"/>
    <row r="1045150" ht="12.75" customHeight="1" s="304"/>
    <row r="1045151" ht="12.75" customHeight="1" s="304"/>
    <row r="1045152" ht="12.75" customHeight="1" s="304"/>
    <row r="1045153" ht="12.75" customHeight="1" s="304"/>
    <row r="1045154" ht="12.75" customHeight="1" s="304"/>
    <row r="1045155" ht="12.75" customHeight="1" s="304"/>
    <row r="1045156" ht="12.75" customHeight="1" s="304"/>
    <row r="1045157" ht="12.75" customHeight="1" s="304"/>
    <row r="1045158" ht="12.75" customHeight="1" s="304"/>
    <row r="1045159" ht="12.75" customHeight="1" s="304"/>
    <row r="1045160" ht="12.75" customHeight="1" s="304"/>
    <row r="1045161" ht="12.75" customHeight="1" s="304"/>
    <row r="1045162" ht="12.75" customHeight="1" s="304"/>
    <row r="1045163" ht="12.75" customHeight="1" s="304"/>
    <row r="1045164" ht="12.75" customHeight="1" s="304"/>
    <row r="1045165" ht="12.75" customHeight="1" s="304"/>
    <row r="1045166" ht="12.75" customHeight="1" s="304"/>
    <row r="1045167" ht="12.75" customHeight="1" s="304"/>
    <row r="1045168" ht="12.75" customHeight="1" s="304"/>
    <row r="1045169" ht="12.75" customHeight="1" s="304"/>
    <row r="1045170" ht="12.75" customHeight="1" s="304"/>
    <row r="1045171" ht="12.75" customHeight="1" s="304"/>
    <row r="1045172" ht="12.75" customHeight="1" s="304"/>
    <row r="1045173" ht="12.75" customHeight="1" s="304"/>
    <row r="1045174" ht="12.75" customHeight="1" s="304"/>
    <row r="1045175" ht="12.75" customHeight="1" s="304"/>
    <row r="1045176" ht="12.75" customHeight="1" s="304"/>
    <row r="1045177" ht="12.75" customHeight="1" s="304"/>
    <row r="1045178" ht="12.75" customHeight="1" s="304"/>
    <row r="1045179" ht="12.75" customHeight="1" s="304"/>
    <row r="1045180" ht="12.75" customHeight="1" s="304"/>
    <row r="1045181" ht="12.75" customHeight="1" s="304"/>
    <row r="1045182" ht="12.75" customHeight="1" s="304"/>
    <row r="1045183" ht="12.75" customHeight="1" s="304"/>
    <row r="1045184" ht="12.75" customHeight="1" s="304"/>
    <row r="1045185" ht="12.75" customHeight="1" s="304"/>
    <row r="1045186" ht="12.75" customHeight="1" s="304"/>
    <row r="1045187" ht="12.75" customHeight="1" s="304"/>
    <row r="1045188" ht="12.75" customHeight="1" s="304"/>
    <row r="1045189" ht="12.75" customHeight="1" s="304"/>
    <row r="1045190" ht="12.75" customHeight="1" s="304"/>
    <row r="1045191" ht="12.75" customHeight="1" s="304"/>
    <row r="1045192" ht="12.75" customHeight="1" s="304"/>
    <row r="1045193" ht="12.75" customHeight="1" s="304"/>
    <row r="1045194" ht="12.75" customHeight="1" s="304"/>
    <row r="1045195" ht="12.75" customHeight="1" s="304"/>
    <row r="1045196" ht="12.75" customHeight="1" s="304"/>
    <row r="1045197" ht="12.75" customHeight="1" s="304"/>
    <row r="1045198" ht="12.75" customHeight="1" s="304"/>
    <row r="1045199" ht="12.75" customHeight="1" s="304"/>
    <row r="1045200" ht="12.75" customHeight="1" s="304"/>
    <row r="1045201" ht="12.75" customHeight="1" s="304"/>
    <row r="1045202" ht="12.75" customHeight="1" s="304"/>
    <row r="1045203" ht="12.75" customHeight="1" s="304"/>
    <row r="1045204" ht="12.75" customHeight="1" s="304"/>
    <row r="1045205" ht="12.75" customHeight="1" s="304"/>
    <row r="1045206" ht="12.75" customHeight="1" s="304"/>
    <row r="1045207" ht="12.75" customHeight="1" s="304"/>
    <row r="1045208" ht="12.75" customHeight="1" s="304"/>
    <row r="1045209" ht="12.75" customHeight="1" s="304"/>
    <row r="1045210" ht="12.75" customHeight="1" s="304"/>
    <row r="1045211" ht="12.75" customHeight="1" s="304"/>
    <row r="1045212" ht="12.75" customHeight="1" s="304"/>
    <row r="1045213" ht="12.75" customHeight="1" s="304"/>
    <row r="1045214" ht="12.75" customHeight="1" s="304"/>
    <row r="1045215" ht="12.75" customHeight="1" s="304"/>
    <row r="1045216" ht="12.75" customHeight="1" s="304"/>
    <row r="1045217" ht="12.75" customHeight="1" s="304"/>
    <row r="1045218" ht="12.75" customHeight="1" s="304"/>
    <row r="1045219" ht="12.75" customHeight="1" s="304"/>
    <row r="1045220" ht="12.75" customHeight="1" s="304"/>
    <row r="1045221" ht="12.75" customHeight="1" s="304"/>
    <row r="1045222" ht="12.75" customHeight="1" s="304"/>
    <row r="1045223" ht="12.75" customHeight="1" s="304"/>
    <row r="1045224" ht="12.75" customHeight="1" s="304"/>
    <row r="1045225" ht="12.75" customHeight="1" s="304"/>
    <row r="1045226" ht="12.75" customHeight="1" s="304"/>
    <row r="1045227" ht="12.75" customHeight="1" s="304"/>
    <row r="1045228" ht="12.75" customHeight="1" s="304"/>
    <row r="1045229" ht="12.75" customHeight="1" s="304"/>
    <row r="1045230" ht="12.75" customHeight="1" s="304"/>
    <row r="1045231" ht="12.75" customHeight="1" s="304"/>
    <row r="1045232" ht="12.75" customHeight="1" s="304"/>
    <row r="1045233" ht="12.75" customHeight="1" s="304"/>
    <row r="1045234" ht="12.75" customHeight="1" s="304"/>
    <row r="1045235" ht="12.75" customHeight="1" s="304"/>
    <row r="1045236" ht="12.75" customHeight="1" s="304"/>
    <row r="1045237" ht="12.75" customHeight="1" s="304"/>
    <row r="1045238" ht="12.75" customHeight="1" s="304"/>
    <row r="1045239" ht="12.75" customHeight="1" s="304"/>
    <row r="1045240" ht="12.75" customHeight="1" s="304"/>
    <row r="1045241" ht="12.75" customHeight="1" s="304"/>
    <row r="1045242" ht="12.75" customHeight="1" s="304"/>
    <row r="1045243" ht="12.75" customHeight="1" s="304"/>
    <row r="1045244" ht="12.75" customHeight="1" s="304"/>
    <row r="1045245" ht="12.75" customHeight="1" s="304"/>
    <row r="1045246" ht="12.75" customHeight="1" s="304"/>
    <row r="1045247" ht="12.75" customHeight="1" s="304"/>
    <row r="1045248" ht="12.75" customHeight="1" s="304"/>
    <row r="1045249" ht="12.75" customHeight="1" s="304"/>
    <row r="1045250" ht="12.75" customHeight="1" s="304"/>
    <row r="1045251" ht="12.75" customHeight="1" s="304"/>
    <row r="1045252" ht="12.75" customHeight="1" s="304"/>
    <row r="1045253" ht="12.75" customHeight="1" s="304"/>
    <row r="1045254" ht="12.75" customHeight="1" s="304"/>
    <row r="1045255" ht="12.75" customHeight="1" s="304"/>
    <row r="1045256" ht="12.75" customHeight="1" s="304"/>
    <row r="1045257" ht="12.75" customHeight="1" s="304"/>
    <row r="1045258" ht="12.75" customHeight="1" s="304"/>
    <row r="1045259" ht="12.75" customHeight="1" s="304"/>
    <row r="1045260" ht="12.75" customHeight="1" s="304"/>
    <row r="1045261" ht="12.75" customHeight="1" s="304"/>
    <row r="1045262" ht="12.75" customHeight="1" s="304"/>
    <row r="1045263" ht="12.75" customHeight="1" s="304"/>
    <row r="1045264" ht="12.75" customHeight="1" s="304"/>
    <row r="1045265" ht="12.75" customHeight="1" s="304"/>
    <row r="1045266" ht="12.75" customHeight="1" s="304"/>
    <row r="1045267" ht="12.75" customHeight="1" s="304"/>
    <row r="1045268" ht="12.75" customHeight="1" s="304"/>
    <row r="1045269" ht="12.75" customHeight="1" s="304"/>
    <row r="1045270" ht="12.75" customHeight="1" s="304"/>
    <row r="1045271" ht="12.75" customHeight="1" s="304"/>
    <row r="1045272" ht="12.75" customHeight="1" s="304"/>
    <row r="1045273" ht="12.75" customHeight="1" s="304"/>
    <row r="1045274" ht="12.75" customHeight="1" s="304"/>
    <row r="1045275" ht="12.75" customHeight="1" s="304"/>
    <row r="1045276" ht="12.75" customHeight="1" s="304"/>
    <row r="1045277" ht="12.75" customHeight="1" s="304"/>
    <row r="1045278" ht="12.75" customHeight="1" s="304"/>
    <row r="1045279" ht="12.75" customHeight="1" s="304"/>
    <row r="1045280" ht="12.75" customHeight="1" s="304"/>
    <row r="1045281" ht="12.75" customHeight="1" s="304"/>
    <row r="1045282" ht="12.75" customHeight="1" s="304"/>
    <row r="1045283" ht="12.75" customHeight="1" s="304"/>
    <row r="1045284" ht="12.75" customHeight="1" s="304"/>
    <row r="1045285" ht="12.75" customHeight="1" s="304"/>
    <row r="1045286" ht="12.75" customHeight="1" s="304"/>
    <row r="1045287" ht="12.75" customHeight="1" s="304"/>
    <row r="1045288" ht="12.75" customHeight="1" s="304"/>
    <row r="1045289" ht="12.75" customHeight="1" s="304"/>
    <row r="1045290" ht="12.75" customHeight="1" s="304"/>
    <row r="1045291" ht="12.75" customHeight="1" s="304"/>
    <row r="1045292" ht="12.75" customHeight="1" s="304"/>
    <row r="1045293" ht="12.75" customHeight="1" s="304"/>
    <row r="1045294" ht="12.75" customHeight="1" s="304"/>
    <row r="1045295" ht="12.75" customHeight="1" s="304"/>
    <row r="1045296" ht="12.75" customHeight="1" s="304"/>
    <row r="1045297" ht="12.75" customHeight="1" s="304"/>
    <row r="1045298" ht="12.75" customHeight="1" s="304"/>
    <row r="1045299" ht="12.75" customHeight="1" s="304"/>
    <row r="1045300" ht="12.75" customHeight="1" s="304"/>
    <row r="1045301" ht="12.75" customHeight="1" s="304"/>
    <row r="1045302" ht="12.75" customHeight="1" s="304"/>
    <row r="1045303" ht="12.75" customHeight="1" s="304"/>
    <row r="1045304" ht="12.75" customHeight="1" s="304"/>
    <row r="1045305" ht="12.75" customHeight="1" s="304"/>
    <row r="1045306" ht="12.75" customHeight="1" s="304"/>
    <row r="1045307" ht="12.75" customHeight="1" s="304"/>
    <row r="1045308" ht="12.75" customHeight="1" s="304"/>
    <row r="1045309" ht="12.75" customHeight="1" s="304"/>
    <row r="1045310" ht="12.75" customHeight="1" s="304"/>
    <row r="1045311" ht="12.75" customHeight="1" s="304"/>
    <row r="1045312" ht="12.75" customHeight="1" s="304"/>
    <row r="1045313" ht="12.75" customHeight="1" s="304"/>
    <row r="1045314" ht="12.75" customHeight="1" s="304"/>
    <row r="1045315" ht="12.75" customHeight="1" s="304"/>
    <row r="1045316" ht="12.75" customHeight="1" s="304"/>
    <row r="1045317" ht="12.75" customHeight="1" s="304"/>
    <row r="1045318" ht="12.75" customHeight="1" s="304"/>
    <row r="1045319" ht="12.75" customHeight="1" s="304"/>
    <row r="1045320" ht="12.75" customHeight="1" s="304"/>
    <row r="1045321" ht="12.75" customHeight="1" s="304"/>
    <row r="1045322" ht="12.75" customHeight="1" s="304"/>
    <row r="1045323" ht="12.75" customHeight="1" s="304"/>
    <row r="1045324" ht="12.75" customHeight="1" s="304"/>
    <row r="1045325" ht="12.75" customHeight="1" s="304"/>
    <row r="1045326" ht="12.75" customHeight="1" s="304"/>
    <row r="1045327" ht="12.75" customHeight="1" s="304"/>
    <row r="1045328" ht="12.75" customHeight="1" s="304"/>
    <row r="1045329" ht="12.75" customHeight="1" s="304"/>
    <row r="1045330" ht="12.75" customHeight="1" s="304"/>
    <row r="1045331" ht="12.75" customHeight="1" s="304"/>
    <row r="1045332" ht="12.75" customHeight="1" s="304"/>
    <row r="1045333" ht="12.75" customHeight="1" s="304"/>
    <row r="1045334" ht="12.75" customHeight="1" s="304"/>
    <row r="1045335" ht="12.75" customHeight="1" s="304"/>
    <row r="1045336" ht="12.75" customHeight="1" s="304"/>
    <row r="1045337" ht="12.75" customHeight="1" s="304"/>
    <row r="1045338" ht="12.75" customHeight="1" s="304"/>
    <row r="1045339" ht="12.75" customHeight="1" s="304"/>
    <row r="1045340" ht="12.75" customHeight="1" s="304"/>
    <row r="1045341" ht="12.75" customHeight="1" s="304"/>
    <row r="1045342" ht="12.75" customHeight="1" s="304"/>
    <row r="1045343" ht="12.75" customHeight="1" s="304"/>
    <row r="1045344" ht="12.75" customHeight="1" s="304"/>
    <row r="1045345" ht="12.75" customHeight="1" s="304"/>
    <row r="1045346" ht="12.75" customHeight="1" s="304"/>
    <row r="1045347" ht="12.75" customHeight="1" s="304"/>
    <row r="1045348" ht="12.75" customHeight="1" s="304"/>
    <row r="1045349" ht="12.75" customHeight="1" s="304"/>
    <row r="1045350" ht="12.75" customHeight="1" s="304"/>
    <row r="1045351" ht="12.75" customHeight="1" s="304"/>
    <row r="1045352" ht="12.75" customHeight="1" s="304"/>
    <row r="1045353" ht="12.75" customHeight="1" s="304"/>
    <row r="1045354" ht="12.75" customHeight="1" s="304"/>
    <row r="1045355" ht="12.75" customHeight="1" s="304"/>
    <row r="1045356" ht="12.75" customHeight="1" s="304"/>
    <row r="1045357" ht="12.75" customHeight="1" s="304"/>
    <row r="1045358" ht="12.75" customHeight="1" s="304"/>
    <row r="1045359" ht="12.75" customHeight="1" s="304"/>
    <row r="1045360" ht="12.75" customHeight="1" s="304"/>
    <row r="1045361" ht="12.75" customHeight="1" s="304"/>
    <row r="1045362" ht="12.75" customHeight="1" s="304"/>
    <row r="1045363" ht="12.75" customHeight="1" s="304"/>
    <row r="1045364" ht="12.75" customHeight="1" s="304"/>
    <row r="1045365" ht="12.75" customHeight="1" s="304"/>
    <row r="1045366" ht="12.75" customHeight="1" s="304"/>
    <row r="1045367" ht="12.75" customHeight="1" s="304"/>
    <row r="1045368" ht="12.75" customHeight="1" s="304"/>
    <row r="1045369" ht="12.75" customHeight="1" s="304"/>
    <row r="1045370" ht="12.75" customHeight="1" s="304"/>
    <row r="1045371" ht="12.75" customHeight="1" s="304"/>
    <row r="1045372" ht="12.75" customHeight="1" s="304"/>
    <row r="1045373" ht="12.75" customHeight="1" s="304"/>
    <row r="1045374" ht="12.75" customHeight="1" s="304"/>
    <row r="1045375" ht="12.75" customHeight="1" s="304"/>
    <row r="1045376" ht="12.75" customHeight="1" s="304"/>
    <row r="1045377" ht="12.75" customHeight="1" s="304"/>
    <row r="1045378" ht="12.75" customHeight="1" s="304"/>
    <row r="1045379" ht="12.75" customHeight="1" s="304"/>
    <row r="1045380" ht="12.75" customHeight="1" s="304"/>
    <row r="1045381" ht="12.75" customHeight="1" s="304"/>
    <row r="1045382" ht="12.75" customHeight="1" s="304"/>
    <row r="1045383" ht="12.75" customHeight="1" s="304"/>
    <row r="1045384" ht="12.75" customHeight="1" s="304"/>
    <row r="1045385" ht="12.75" customHeight="1" s="304"/>
    <row r="1045386" ht="12.75" customHeight="1" s="304"/>
    <row r="1045387" ht="12.75" customHeight="1" s="304"/>
    <row r="1045388" ht="12.75" customHeight="1" s="304"/>
    <row r="1045389" ht="12.75" customHeight="1" s="304"/>
    <row r="1045390" ht="12.75" customHeight="1" s="304"/>
    <row r="1045391" ht="12.75" customHeight="1" s="304"/>
    <row r="1045392" ht="12.75" customHeight="1" s="304"/>
    <row r="1045393" ht="12.75" customHeight="1" s="304"/>
    <row r="1045394" ht="12.75" customHeight="1" s="304"/>
    <row r="1045395" ht="12.75" customHeight="1" s="304"/>
    <row r="1045396" ht="12.75" customHeight="1" s="304"/>
    <row r="1045397" ht="12.75" customHeight="1" s="304"/>
    <row r="1045398" ht="12.75" customHeight="1" s="304"/>
    <row r="1045399" ht="12.75" customHeight="1" s="304"/>
    <row r="1045400" ht="12.75" customHeight="1" s="304"/>
    <row r="1045401" ht="12.75" customHeight="1" s="304"/>
    <row r="1045402" ht="12.75" customHeight="1" s="304"/>
    <row r="1045403" ht="12.75" customHeight="1" s="304"/>
    <row r="1045404" ht="12.75" customHeight="1" s="304"/>
    <row r="1045405" ht="12.75" customHeight="1" s="304"/>
    <row r="1045406" ht="12.75" customHeight="1" s="304"/>
    <row r="1045407" ht="12.75" customHeight="1" s="304"/>
    <row r="1045408" ht="12.75" customHeight="1" s="304"/>
    <row r="1045409" ht="12.75" customHeight="1" s="304"/>
    <row r="1045410" ht="12.75" customHeight="1" s="304"/>
    <row r="1045411" ht="12.75" customHeight="1" s="304"/>
    <row r="1045412" ht="12.75" customHeight="1" s="304"/>
    <row r="1045413" ht="12.75" customHeight="1" s="304"/>
    <row r="1045414" ht="12.75" customHeight="1" s="304"/>
    <row r="1045415" ht="12.75" customHeight="1" s="304"/>
    <row r="1045416" ht="12.75" customHeight="1" s="304"/>
    <row r="1045417" ht="12.75" customHeight="1" s="304"/>
    <row r="1045418" ht="12.75" customHeight="1" s="304"/>
    <row r="1045419" ht="12.75" customHeight="1" s="304"/>
    <row r="1045420" ht="12.75" customHeight="1" s="304"/>
    <row r="1045421" ht="12.75" customHeight="1" s="304"/>
    <row r="1045422" ht="12.75" customHeight="1" s="304"/>
    <row r="1045423" ht="12.75" customHeight="1" s="304"/>
    <row r="1045424" ht="12.75" customHeight="1" s="304"/>
    <row r="1045425" ht="12.75" customHeight="1" s="304"/>
    <row r="1045426" ht="12.75" customHeight="1" s="304"/>
    <row r="1045427" ht="12.75" customHeight="1" s="304"/>
    <row r="1045428" ht="12.75" customHeight="1" s="304"/>
    <row r="1045429" ht="12.75" customHeight="1" s="304"/>
    <row r="1045430" ht="12.75" customHeight="1" s="304"/>
    <row r="1045431" ht="12.75" customHeight="1" s="304"/>
    <row r="1045432" ht="12.75" customHeight="1" s="304"/>
    <row r="1045433" ht="12.75" customHeight="1" s="304"/>
    <row r="1045434" ht="12.75" customHeight="1" s="304"/>
    <row r="1045435" ht="12.75" customHeight="1" s="304"/>
    <row r="1045436" ht="12.75" customHeight="1" s="304"/>
    <row r="1045437" ht="12.75" customHeight="1" s="304"/>
    <row r="1045438" ht="12.75" customHeight="1" s="304"/>
    <row r="1045439" ht="12.75" customHeight="1" s="304"/>
    <row r="1045440" ht="12.75" customHeight="1" s="304"/>
    <row r="1045441" ht="12.75" customHeight="1" s="304"/>
    <row r="1045442" ht="12.75" customHeight="1" s="304"/>
    <row r="1045443" ht="12.75" customHeight="1" s="304"/>
    <row r="1045444" ht="12.75" customHeight="1" s="304"/>
    <row r="1045445" ht="12.75" customHeight="1" s="304"/>
    <row r="1045446" ht="12.75" customHeight="1" s="304"/>
    <row r="1045447" ht="12.75" customHeight="1" s="304"/>
    <row r="1045448" ht="12.75" customHeight="1" s="304"/>
    <row r="1045449" ht="12.75" customHeight="1" s="304"/>
    <row r="1045450" ht="12.75" customHeight="1" s="304"/>
    <row r="1045451" ht="12.75" customHeight="1" s="304"/>
    <row r="1045452" ht="12.75" customHeight="1" s="304"/>
    <row r="1045453" ht="12.75" customHeight="1" s="304"/>
    <row r="1045454" ht="12.75" customHeight="1" s="304"/>
    <row r="1045455" ht="12.75" customHeight="1" s="304"/>
    <row r="1045456" ht="12.75" customHeight="1" s="304"/>
    <row r="1045457" ht="12.75" customHeight="1" s="304"/>
    <row r="1045458" ht="12.75" customHeight="1" s="304"/>
    <row r="1045459" ht="12.75" customHeight="1" s="304"/>
    <row r="1045460" ht="12.75" customHeight="1" s="304"/>
    <row r="1045461" ht="12.75" customHeight="1" s="304"/>
    <row r="1045462" ht="12.75" customHeight="1" s="304"/>
    <row r="1045463" ht="12.75" customHeight="1" s="304"/>
    <row r="1045464" ht="12.75" customHeight="1" s="304"/>
    <row r="1045465" ht="12.75" customHeight="1" s="304"/>
    <row r="1045466" ht="12.75" customHeight="1" s="304"/>
    <row r="1045467" ht="12.75" customHeight="1" s="304"/>
    <row r="1045468" ht="12.75" customHeight="1" s="304"/>
    <row r="1045469" ht="12.75" customHeight="1" s="304"/>
    <row r="1045470" ht="12.75" customHeight="1" s="304"/>
    <row r="1045471" ht="12.75" customHeight="1" s="304"/>
    <row r="1045472" ht="12.75" customHeight="1" s="304"/>
    <row r="1045473" ht="12.75" customHeight="1" s="304"/>
    <row r="1045474" ht="12.75" customHeight="1" s="304"/>
    <row r="1045475" ht="12.75" customHeight="1" s="304"/>
    <row r="1045476" ht="12.75" customHeight="1" s="304"/>
    <row r="1045477" ht="12.75" customHeight="1" s="304"/>
    <row r="1045478" ht="12.75" customHeight="1" s="304"/>
    <row r="1045479" ht="12.75" customHeight="1" s="304"/>
    <row r="1045480" ht="12.75" customHeight="1" s="304"/>
    <row r="1045481" ht="12.75" customHeight="1" s="304"/>
    <row r="1045482" ht="12.75" customHeight="1" s="304"/>
    <row r="1045483" ht="12.75" customHeight="1" s="304"/>
    <row r="1045484" ht="12.75" customHeight="1" s="304"/>
    <row r="1045485" ht="12.75" customHeight="1" s="304"/>
    <row r="1045486" ht="12.75" customHeight="1" s="304"/>
    <row r="1045487" ht="12.75" customHeight="1" s="304"/>
    <row r="1045488" ht="12.75" customHeight="1" s="304"/>
    <row r="1045489" ht="12.7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8" customHeight="1" s="304"/>
    <row r="1045774" ht="12.8" customHeight="1" s="304"/>
    <row r="1045775" ht="12.8" customHeight="1" s="304"/>
    <row r="1045776" ht="12.8" customHeight="1" s="304"/>
    <row r="1045777" ht="12.8" customHeight="1" s="304"/>
    <row r="1045778" ht="12.8" customHeight="1" s="304"/>
    <row r="1045779" ht="12.8" customHeight="1" s="304"/>
    <row r="1045780" ht="12.8" customHeight="1" s="304"/>
    <row r="1045781" ht="12.8" customHeight="1" s="304"/>
    <row r="1045782" ht="12.8" customHeight="1" s="304"/>
    <row r="1045783" ht="12.8" customHeight="1" s="304"/>
    <row r="1045784" ht="12.8" customHeight="1" s="304"/>
    <row r="1045785" ht="12.8" customHeight="1" s="304"/>
    <row r="1045786" ht="12.8" customHeight="1" s="304"/>
    <row r="1045787" ht="12.8" customHeight="1" s="304"/>
    <row r="1045788" ht="12.8" customHeight="1" s="304"/>
    <row r="1045789" ht="12.8" customHeight="1" s="304"/>
    <row r="1045790" ht="12.8" customHeight="1" s="304"/>
    <row r="1045791" ht="12.8" customHeight="1" s="304"/>
    <row r="1045792" ht="12.8" customHeight="1" s="304"/>
    <row r="1045793" ht="12.8" customHeight="1" s="304"/>
    <row r="1045794" ht="12.8" customHeight="1" s="304"/>
    <row r="1045795" ht="12.8" customHeight="1" s="304"/>
    <row r="1045796" ht="12.8" customHeight="1" s="304"/>
    <row r="1045797" ht="12.8" customHeight="1" s="304"/>
    <row r="1045798" ht="12.8" customHeight="1" s="304"/>
    <row r="1045799" ht="12.8" customHeight="1" s="304"/>
    <row r="1045800" ht="12.8" customHeight="1" s="304"/>
    <row r="1045801" ht="12.8" customHeight="1" s="304"/>
    <row r="1045802" ht="12.8" customHeight="1" s="304"/>
    <row r="1045803" ht="12.8" customHeight="1" s="304"/>
    <row r="1045804" ht="12.8" customHeight="1" s="304"/>
    <row r="1045805" ht="12.8" customHeight="1" s="304"/>
    <row r="1045806" ht="12.8" customHeight="1" s="304"/>
    <row r="1045807" ht="12.8" customHeight="1" s="304"/>
    <row r="1045808" ht="12.8" customHeight="1" s="304"/>
    <row r="1045809" ht="12.8" customHeight="1" s="304"/>
    <row r="1045810" ht="12.8" customHeight="1" s="304"/>
    <row r="1045811" ht="12.8" customHeight="1" s="304"/>
    <row r="1045812" ht="12.8" customHeight="1" s="304"/>
    <row r="1045813" ht="12.8" customHeight="1" s="304"/>
    <row r="1045814" ht="12.8" customHeight="1" s="304"/>
    <row r="1045815" ht="12.8" customHeight="1" s="304"/>
    <row r="1045816" ht="12.8" customHeight="1" s="304"/>
    <row r="1045817" ht="12.8" customHeight="1" s="304"/>
    <row r="1045818" ht="12.8" customHeight="1" s="304"/>
    <row r="1045819" ht="12.8" customHeight="1" s="304"/>
    <row r="1045820" ht="12.8" customHeight="1" s="304"/>
    <row r="1045821" ht="12.8" customHeight="1" s="304"/>
    <row r="1045822" ht="12.8" customHeight="1" s="304"/>
    <row r="1045823" ht="12.8" customHeight="1" s="304"/>
    <row r="1045824" ht="12.8" customHeight="1" s="304"/>
    <row r="1045825" ht="12.8" customHeight="1" s="304"/>
    <row r="1045826" ht="12.8" customHeight="1" s="304"/>
    <row r="1045827" ht="12.8" customHeight="1" s="304"/>
    <row r="1045828" ht="12.8" customHeight="1" s="304"/>
    <row r="1045829" ht="12.8" customHeight="1" s="304"/>
    <row r="1045830" ht="12.8" customHeight="1" s="304"/>
    <row r="1045831" ht="12.8" customHeight="1" s="304"/>
    <row r="1045832" ht="12.8" customHeight="1" s="304"/>
    <row r="1045833" ht="12.8" customHeight="1" s="304"/>
    <row r="1045834" ht="12.8" customHeight="1" s="304"/>
    <row r="1045835" ht="12.8" customHeight="1" s="304"/>
    <row r="1045836" ht="12.8" customHeight="1" s="304"/>
    <row r="1045837" ht="12.8" customHeight="1" s="304"/>
    <row r="1045838" ht="12.8" customHeight="1" s="304"/>
    <row r="1045839" ht="12.8" customHeight="1" s="304"/>
    <row r="1045840" ht="12.8" customHeight="1" s="304"/>
    <row r="1045841" ht="12.8" customHeight="1" s="304"/>
    <row r="1045842" ht="12.8" customHeight="1" s="304"/>
    <row r="1045843" ht="12.8" customHeight="1" s="304"/>
    <row r="1045844" ht="12.8" customHeight="1" s="304"/>
    <row r="1045845" ht="12.8" customHeight="1" s="304"/>
    <row r="1045846" ht="12.8" customHeight="1" s="304"/>
    <row r="1045847" ht="12.8" customHeight="1" s="304"/>
    <row r="1045848" ht="12.8" customHeight="1" s="304"/>
    <row r="1045849" ht="12.8" customHeight="1" s="304"/>
    <row r="1045850" ht="12.8" customHeight="1" s="304"/>
    <row r="1045851" ht="12.8" customHeight="1" s="304"/>
    <row r="1045852" ht="12.8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6" min="1" max="1"/>
    <col width="7.67" customWidth="1" style="347" min="2" max="2"/>
    <col width="13.16" customWidth="1" style="347" min="3" max="3"/>
    <col width="11.89" customWidth="1" style="347" min="4" max="4"/>
    <col width="14.89" customWidth="1" style="347" min="5" max="5"/>
    <col width="14.89" customWidth="1" style="346" min="6" max="7"/>
    <col width="14.83" customWidth="1" style="346" min="8" max="8"/>
    <col width="9.33" customWidth="1" style="347" min="9" max="9"/>
    <col width="41.42" customWidth="1" style="386" min="10" max="10"/>
    <col width="14.98" customWidth="1" style="386" min="11" max="11"/>
    <col width="11" customWidth="1" style="386" min="12" max="12"/>
    <col width="15.51" customWidth="1" style="386" min="13" max="13"/>
    <col width="19.16" customWidth="1" style="386" min="16" max="16368"/>
    <col width="11.53" customWidth="1" style="303" min="16369" max="16382"/>
    <col width="11.53" customWidth="1" style="386" min="16383" max="16384"/>
  </cols>
  <sheetData>
    <row r="1" ht="16.5" customHeight="1" s="304">
      <c r="A1" s="549">
        <f>$K$45</f>
        <v/>
      </c>
      <c r="B1" s="314" t="n"/>
      <c r="C1" s="314" t="n"/>
      <c r="D1" s="314" t="n"/>
      <c r="E1" s="314" t="n"/>
      <c r="F1" s="550" t="n"/>
      <c r="G1" s="316" t="n"/>
      <c r="H1" s="352" t="n"/>
      <c r="I1" s="408" t="n"/>
    </row>
    <row r="2" ht="28.5" customHeight="1" s="304">
      <c r="A2" s="364" t="inlineStr">
        <is>
          <t xml:space="preserve">Compte </t>
        </is>
      </c>
      <c r="B2" s="408" t="inlineStr">
        <is>
          <t>Devise</t>
        </is>
      </c>
      <c r="C2" s="408" t="inlineStr">
        <is>
          <t>Date ancrage</t>
        </is>
      </c>
      <c r="D2" s="408" t="inlineStr">
        <is>
          <t>Date relevé</t>
        </is>
      </c>
      <c r="E2" s="408" t="inlineStr">
        <is>
          <t>Montant ancrage</t>
        </is>
      </c>
      <c r="F2" s="328" t="inlineStr">
        <is>
          <t>Solde calculé</t>
        </is>
      </c>
      <c r="G2" s="328" t="inlineStr">
        <is>
          <t>Montant relevé</t>
        </is>
      </c>
      <c r="H2" s="364" t="inlineStr">
        <is>
          <t>Écart</t>
        </is>
      </c>
      <c r="I2" s="364" t="inlineStr">
        <is>
          <t>Contrôle écart</t>
        </is>
      </c>
    </row>
    <row r="3" ht="15" customHeight="1" s="304">
      <c r="A3" s="365" t="inlineStr">
        <is>
          <t>✓</t>
        </is>
      </c>
      <c r="B3" s="551" t="n"/>
      <c r="C3" s="528" t="n"/>
      <c r="D3" s="528" t="n"/>
      <c r="E3" s="322" t="n"/>
      <c r="F3" s="322" t="n"/>
      <c r="G3" s="322" t="n"/>
      <c r="H3" s="322" t="n"/>
      <c r="I3" s="322" t="n"/>
    </row>
    <row r="4" ht="15" customHeight="1" s="304">
      <c r="A4" s="365">
        <f>Avoirs!A5</f>
        <v/>
      </c>
      <c r="B4" s="551" t="inlineStr">
        <is>
          <t>EUR</t>
        </is>
      </c>
      <c r="C4" s="528">
        <f>IF(COUNTIFS(OPcompte,$A4,OPdevise,$B4,OPcatégorie,Solde)&gt;=2,_xlfn.MINIFS(OPdate,OPcompte,$A4,OPdevise,$B4,OPcatégorie,Solde),0)</f>
        <v/>
      </c>
      <c r="D4" s="528">
        <f>_xlfn.MAXIFS(OPdate,OPcompte,$A4,OPdevise,$B4,OPcatégorie,Solde)</f>
        <v/>
      </c>
      <c r="E4" s="322">
        <f>IF($C4=0,0,_xlfn.XLOOKUP(1,(OPcompte=$A4)*(OPdevise=$B4)*(OPcatégorie=Solde)*(OPdate=$C4),OPmontant,0,0,1))</f>
        <v/>
      </c>
      <c r="F4" s="322">
        <f>$E4+SUMIFS(OPmontant,OPcompte,$A4,OPdevise,$B4,OPdate,"&gt;"&amp;$C4,OPdate,"&lt;="&amp;$D4,OPcatégorie,"&lt;&gt;Solde",OPcatégorie,"&lt;&gt;"&amp;Spéciale)</f>
        <v/>
      </c>
      <c r="G4" s="322">
        <f>_xlfn.XLOOKUP(1,(OPcompte=$A4)*(OPdevise=$B4)*(OPcatégorie=Solde)*(OPdate=$D4),OPmontant,0,0,-1)</f>
        <v/>
      </c>
      <c r="H4" s="322">
        <f>IF(ABS($G4-$F4)&lt;0.015,0,ROUND($G4-$F4,2))</f>
        <v/>
      </c>
      <c r="I4" s="322" t="inlineStr">
        <is>
          <t>Non</t>
        </is>
      </c>
    </row>
    <row r="5" ht="15" customHeight="1" s="304">
      <c r="A5" s="365">
        <f>Avoirs!A6</f>
        <v/>
      </c>
      <c r="B5" s="551" t="inlineStr">
        <is>
          <t>EUR</t>
        </is>
      </c>
      <c r="C5" s="528">
        <f>IF(COUNTIFS(OPcompte,$A5,OPdevise,$B5,OPcatégorie,Solde)&gt;=2,_xlfn.MINIFS(OPdate,OPcompte,$A5,OPdevise,$B5,OPcatégorie,Solde),0)</f>
        <v/>
      </c>
      <c r="D5" s="528">
        <f>_xlfn.MAXIFS(OPdate,OPcompte,$A5,OPdevise,$B5,OPcatégorie,Solde)</f>
        <v/>
      </c>
      <c r="E5" s="322">
        <f>IF($C5=0,0,_xlfn.XLOOKUP(1,(OPcompte=$A5)*(OPdevise=$B5)*(OPcatégorie=Solde)*(OPdate=$C5),OPmontant,0,0,1))</f>
        <v/>
      </c>
      <c r="F5" s="322">
        <f>$E5+SUMIFS(OPmontant,OPcompte,$A5,OPdevise,$B5,OPdate,"&gt;"&amp;$C5,OPdate,"&lt;="&amp;$D5,OPcatégorie,"&lt;&gt;Solde",OPcatégorie,"&lt;&gt;"&amp;Spéciale)</f>
        <v/>
      </c>
      <c r="G5" s="322">
        <f>_xlfn.XLOOKUP(1,(OPcompte=$A5)*(OPdevise=$B5)*(OPcatégorie=Solde)*(OPdate=$D5),OPmontant,0,0,-1)</f>
        <v/>
      </c>
      <c r="H5" s="322">
        <f>IF(ABS($G5-$F5)&lt;0.015,0,ROUND($G5-$F5,2))</f>
        <v/>
      </c>
      <c r="I5" s="322" t="inlineStr">
        <is>
          <t>Non</t>
        </is>
      </c>
    </row>
    <row r="6" ht="15" customHeight="1" s="304">
      <c r="A6" s="365">
        <f>Avoirs!A7</f>
        <v/>
      </c>
      <c r="B6" s="551" t="inlineStr">
        <is>
          <t>EUR</t>
        </is>
      </c>
      <c r="C6" s="528">
        <f>IF(COUNTIFS(OPcompte,$A6,OPdevise,$B6,OPcatégorie,Solde)&gt;=2,_xlfn.MINIFS(OPdate,OPcompte,$A6,OPdevise,$B6,OPcatégorie,Solde),0)</f>
        <v/>
      </c>
      <c r="D6" s="528">
        <f>_xlfn.MAXIFS(OPdate,OPcompte,$A6,OPdevise,$B6,OPcatégorie,Solde)</f>
        <v/>
      </c>
      <c r="E6" s="322">
        <f>IF($C6=0,0,_xlfn.XLOOKUP(1,(OPcompte=$A6)*(OPdevise=$B6)*(OPcatégorie=Solde)*(OPdate=$C6),OPmontant,0,0,1))</f>
        <v/>
      </c>
      <c r="F6" s="322">
        <f>$E6+SUMIFS(OPmontant,OPcompte,$A6,OPdevise,$B6,OPdate,"&gt;"&amp;$C6,OPdate,"&lt;="&amp;$D6,OPcatégorie,"&lt;&gt;Solde",OPcatégorie,"&lt;&gt;"&amp;Spéciale)</f>
        <v/>
      </c>
      <c r="G6" s="322">
        <f>_xlfn.XLOOKUP(1,(OPcompte=$A6)*(OPdevise=$B6)*(OPcatégorie=Solde)*(OPdate=$D6),OPmontant,0,0,-1)</f>
        <v/>
      </c>
      <c r="H6" s="322">
        <f>IF(ABS($G6-$F6)&lt;0.015,0,ROUND($G6-$F6,2))</f>
        <v/>
      </c>
      <c r="I6" s="322" t="inlineStr">
        <is>
          <t>Non</t>
        </is>
      </c>
    </row>
    <row r="7" ht="15" customHeight="1" s="304">
      <c r="A7" s="365">
        <f>Avoirs!A8</f>
        <v/>
      </c>
      <c r="B7" s="551" t="inlineStr">
        <is>
          <t>EUR</t>
        </is>
      </c>
      <c r="C7" s="528">
        <f>IF(COUNTIFS(OPcompte,$A7,OPdevise,$B7,OPcatégorie,Solde)&gt;=2,_xlfn.MINIFS(OPdate,OPcompte,$A7,OPdevise,$B7,OPcatégorie,Solde),0)</f>
        <v/>
      </c>
      <c r="D7" s="528">
        <f>_xlfn.MAXIFS(OPdate,OPcompte,$A7,OPdevise,$B7,OPcatégorie,Solde)</f>
        <v/>
      </c>
      <c r="E7" s="322">
        <f>IF($C7=0,0,_xlfn.XLOOKUP(1,(OPcompte=$A7)*(OPdevise=$B7)*(OPcatégorie=Solde)*(OPdate=$C7),OPmontant,0,0,1))</f>
        <v/>
      </c>
      <c r="F7" s="322">
        <f>$E7+SUMIFS(OPmontant,OPcompte,$A7,OPdevise,$B7,OPdate,"&gt;"&amp;$C7,OPdate,"&lt;="&amp;$D7,OPcatégorie,"&lt;&gt;Solde",OPcatégorie,"&lt;&gt;"&amp;Spéciale)</f>
        <v/>
      </c>
      <c r="G7" s="322">
        <f>_xlfn.XLOOKUP(1,(OPcompte=$A7)*(OPdevise=$B7)*(OPcatégorie=Solde)*(OPdate=$D7),OPmontant,0,0,-1)</f>
        <v/>
      </c>
      <c r="H7" s="322">
        <f>IF(ABS($G7-$F7)&lt;0.015,0,ROUND($G7-$F7,2))</f>
        <v/>
      </c>
      <c r="I7" s="322" t="inlineStr">
        <is>
          <t>Non</t>
        </is>
      </c>
    </row>
    <row r="8" ht="15" customHeight="1" s="304">
      <c r="A8" s="365">
        <f>Avoirs!A9</f>
        <v/>
      </c>
      <c r="B8" s="551" t="inlineStr">
        <is>
          <t>USD</t>
        </is>
      </c>
      <c r="C8" s="528">
        <f>IF(COUNTIFS(OPcompte,$A8,OPdevise,$B8,OPcatégorie,Solde)&gt;=2,_xlfn.MINIFS(OPdate,OPcompte,$A8,OPdevise,$B8,OPcatégorie,Solde),0)</f>
        <v/>
      </c>
      <c r="D8" s="528">
        <f>_xlfn.MAXIFS(OPdate,OPcompte,$A8,OPdevise,$B8,OPcatégorie,Solde)</f>
        <v/>
      </c>
      <c r="E8" s="552">
        <f>IF($C8=0,0,_xlfn.XLOOKUP(1,(OPcompte=$A8)*(OPdevise=$B8)*(OPcatégorie=Solde)*(OPdate=$C8),OPmontant,0,0,1))</f>
        <v/>
      </c>
      <c r="F8" s="552">
        <f>$E8+SUMIFS(OPmontant,OPcompte,$A8,OPdevise,$B8,OPdate,"&gt;"&amp;$C8,OPdate,"&lt;="&amp;$D8,OPcatégorie,"&lt;&gt;Solde",OPcatégorie,"&lt;&gt;"&amp;Spéciale)</f>
        <v/>
      </c>
      <c r="G8" s="552">
        <f>_xlfn.XLOOKUP(1,(OPcompte=$A8)*(OPdevise=$B8)*(OPcatégorie=Solde)*(OPdate=$D8),OPmontant,0,0,-1)</f>
        <v/>
      </c>
      <c r="H8" s="552">
        <f>IF(ABS($G8-$F8)&lt;0.015,0,ROUND($G8-$F8,2))</f>
        <v/>
      </c>
      <c r="I8" s="322" t="inlineStr">
        <is>
          <t>Non</t>
        </is>
      </c>
    </row>
    <row r="9" ht="15" customHeight="1" s="304">
      <c r="A9" s="365">
        <f>Avoirs!A10</f>
        <v/>
      </c>
      <c r="B9" s="551" t="inlineStr">
        <is>
          <t>EUR</t>
        </is>
      </c>
      <c r="C9" s="528">
        <f>IF(COUNTIFS(OPcompte,$A9,OPdevise,$B9,OPcatégorie,Solde)&gt;=2,_xlfn.MINIFS(OPdate,OPcompte,$A9,OPdevise,$B9,OPcatégorie,Solde),0)</f>
        <v/>
      </c>
      <c r="D9" s="528">
        <f>_xlfn.MAXIFS(OPdate,OPcompte,$A9,OPdevise,$B9,OPcatégorie,Solde)</f>
        <v/>
      </c>
      <c r="E9" s="322">
        <f>IF($C9=0,0,_xlfn.XLOOKUP(1,(OPcompte=$A9)*(OPdevise=$B9)*(OPcatégorie=Solde)*(OPdate=$C9),OPmontant,0,0,1))</f>
        <v/>
      </c>
      <c r="F9" s="322">
        <f>$E9+SUMIFS(OPmontant,OPcompte,$A9,OPdevise,$B9,OPdate,"&gt;"&amp;$C9,OPdate,"&lt;="&amp;$D9,OPcatégorie,"&lt;&gt;Solde",OPcatégorie,"&lt;&gt;"&amp;Spéciale)</f>
        <v/>
      </c>
      <c r="G9" s="322">
        <f>_xlfn.XLOOKUP(1,(OPcompte=$A9)*(OPdevise=$B9)*(OPcatégorie=Solde)*(OPdate=$D9),OPmontant,0,0,-1)</f>
        <v/>
      </c>
      <c r="H9" s="322">
        <f>IF(ABS($G9-$F9)&lt;0.015,0,ROUND($G9-$F9,2))</f>
        <v/>
      </c>
      <c r="I9" s="322" t="inlineStr">
        <is>
          <t>Oui</t>
        </is>
      </c>
    </row>
    <row r="10" ht="15" customHeight="1" s="304">
      <c r="A10" s="365">
        <f>Avoirs!A11</f>
        <v/>
      </c>
      <c r="B10" s="551" t="inlineStr">
        <is>
          <t>EUR</t>
        </is>
      </c>
      <c r="C10" s="528">
        <f>IF(COUNTIFS(OPcompte,$A10,OPdevise,$B10,OPcatégorie,Solde)&gt;=2,_xlfn.MINIFS(OPdate,OPcompte,$A10,OPdevise,$B10,OPcatégorie,Solde),0)</f>
        <v/>
      </c>
      <c r="D10" s="528">
        <f>_xlfn.MAXIFS(OPdate,OPcompte,$A10,OPdevise,$B10,OPcatégorie,Solde)</f>
        <v/>
      </c>
      <c r="E10" s="322">
        <f>IF($C10=0,0,_xlfn.XLOOKUP(1,(OPcompte=$A10)*(OPdevise=$B10)*(OPcatégorie=Solde)*(OPdate=$C10),OPmontant,0,0,1))</f>
        <v/>
      </c>
      <c r="F10" s="322">
        <f>$E10+SUMIFS(OPmontant,OPcompte,$A10,OPdevise,$B10,OPdate,"&gt;"&amp;$C10,OPdate,"&lt;="&amp;$D10,OPcatégorie,"&lt;&gt;Solde",OPcatégorie,"&lt;&gt;"&amp;Spéciale)</f>
        <v/>
      </c>
      <c r="G10" s="322">
        <f>_xlfn.XLOOKUP(1,(OPcompte=$A10)*(OPdevise=$B10)*(OPcatégorie=Solde)*(OPdate=$D10),OPmontant,0,0,-1)</f>
        <v/>
      </c>
      <c r="H10" s="322">
        <f>IF(ABS($G10-$F10)&lt;0.015,0,ROUND($G10-$F10,2))</f>
        <v/>
      </c>
      <c r="I10" s="322" t="inlineStr">
        <is>
          <t>Oui</t>
        </is>
      </c>
    </row>
    <row r="11" ht="15" customHeight="1" s="304">
      <c r="A11" s="365">
        <f>Avoirs!A12</f>
        <v/>
      </c>
      <c r="B11" s="551" t="inlineStr">
        <is>
          <t>EUR</t>
        </is>
      </c>
      <c r="C11" s="528">
        <f>IF(COUNTIFS(OPcompte,$A11,OPdevise,$B11,OPcatégorie,Solde)&gt;=2,_xlfn.MINIFS(OPdate,OPcompte,$A11,OPdevise,$B11,OPcatégorie,Solde),0)</f>
        <v/>
      </c>
      <c r="D11" s="528">
        <f>_xlfn.MAXIFS(OPdate,OPcompte,$A11,OPdevise,$B11,OPcatégorie,Solde)</f>
        <v/>
      </c>
      <c r="E11" s="322">
        <f>IF($C11=0,0,_xlfn.XLOOKUP(1,(OPcompte=$A11)*(OPdevise=$B11)*(OPcatégorie=Solde)*(OPdate=$C11),OPmontant,0,0,1))</f>
        <v/>
      </c>
      <c r="F11" s="322">
        <f>$E11+SUMIFS(OPmontant,OPcompte,$A11,OPdevise,$B11,OPdate,"&gt;"&amp;$C11,OPdate,"&lt;="&amp;$D11,OPcatégorie,"&lt;&gt;Solde",OPcatégorie,"&lt;&gt;"&amp;Spéciale)</f>
        <v/>
      </c>
      <c r="G11" s="322">
        <f>_xlfn.XLOOKUP(1,(OPcompte=$A11)*(OPdevise=$B11)*(OPcatégorie=Solde)*(OPdate=$D11),OPmontant,0,0,-1)</f>
        <v/>
      </c>
      <c r="H11" s="322">
        <f>IF(ABS($G11-$F11)&lt;0.015,0,ROUND($G11-$F11,2))</f>
        <v/>
      </c>
      <c r="I11" s="322" t="inlineStr">
        <is>
          <t>Oui</t>
        </is>
      </c>
    </row>
    <row r="12" ht="15" customHeight="1" s="304">
      <c r="A12" s="365">
        <f>Avoirs!A13</f>
        <v/>
      </c>
      <c r="B12" s="551" t="inlineStr">
        <is>
          <t>EUR</t>
        </is>
      </c>
      <c r="C12" s="528">
        <f>IF(COUNTIFS(OPcompte,$A12,OPdevise,$B12,OPcatégorie,Solde)&gt;=2,_xlfn.MINIFS(OPdate,OPcompte,$A12,OPdevise,$B12,OPcatégorie,Solde),0)</f>
        <v/>
      </c>
      <c r="D12" s="528">
        <f>_xlfn.MAXIFS(OPdate,OPcompte,$A12,OPdevise,$B12,OPcatégorie,Solde)</f>
        <v/>
      </c>
      <c r="E12" s="322">
        <f>IF($C12=0,0,_xlfn.XLOOKUP(1,(OPcompte=$A12)*(OPdevise=$B12)*(OPcatégorie=Solde)*(OPdate=$C12),OPmontant,0,0,1))</f>
        <v/>
      </c>
      <c r="F12" s="322">
        <f>$E12+SUMIFS(OPmontant,OPcompte,$A12,OPdevise,$B12,OPdate,"&gt;"&amp;$C12,OPdate,"&lt;="&amp;$D12,OPcatégorie,"&lt;&gt;Solde",OPcatégorie,"&lt;&gt;"&amp;Spéciale)</f>
        <v/>
      </c>
      <c r="G12" s="322">
        <f>_xlfn.XLOOKUP(1,(OPcompte=$A12)*(OPdevise=$B12)*(OPcatégorie=Solde)*(OPdate=$D12),OPmontant,0,0,-1)</f>
        <v/>
      </c>
      <c r="H12" s="322">
        <f>IF(ABS($G12-$F12)&lt;0.015,0,ROUND($G12-$F12,2))</f>
        <v/>
      </c>
      <c r="I12" s="322" t="inlineStr">
        <is>
          <t>Oui</t>
        </is>
      </c>
    </row>
    <row r="13" ht="15" customHeight="1" s="304">
      <c r="A13" s="365">
        <f>Avoirs!A14</f>
        <v/>
      </c>
      <c r="B13" s="551" t="inlineStr">
        <is>
          <t>EUR</t>
        </is>
      </c>
      <c r="C13" s="528">
        <f>IF(COUNTIFS(OPcompte,$A13,OPdevise,$B13,OPcatégorie,Solde)&gt;=2,_xlfn.MINIFS(OPdate,OPcompte,$A13,OPdevise,$B13,OPcatégorie,Solde),0)</f>
        <v/>
      </c>
      <c r="D13" s="528">
        <f>_xlfn.MAXIFS(OPdate,OPcompte,$A13,OPdevise,$B13,OPcatégorie,Solde)</f>
        <v/>
      </c>
      <c r="E13" s="322">
        <f>IF($C13=0,0,_xlfn.XLOOKUP(1,(OPcompte=$A13)*(OPdevise=$B13)*(OPcatégorie=Solde)*(OPdate=$C13),OPmontant,0,0,1))</f>
        <v/>
      </c>
      <c r="F13" s="322">
        <f>$E13+SUMIFS(OPmontant,OPcompte,$A13,OPdevise,$B13,OPdate,"&gt;"&amp;$C13,OPdate,"&lt;="&amp;$D13,OPcatégorie,"&lt;&gt;Solde",OPcatégorie,"&lt;&gt;"&amp;Spéciale)</f>
        <v/>
      </c>
      <c r="G13" s="322">
        <f>_xlfn.XLOOKUP(1,(OPcompte=$A13)*(OPdevise=$B13)*(OPcatégorie=Solde)*(OPdate=$D13),OPmontant,0,0,-1)</f>
        <v/>
      </c>
      <c r="H13" s="322">
        <f>IF(ABS($G13-$F13)&lt;0.015,0,ROUND($G13-$F13,2))</f>
        <v/>
      </c>
      <c r="I13" s="322" t="inlineStr">
        <is>
          <t>Oui</t>
        </is>
      </c>
    </row>
    <row r="14" ht="15" customHeight="1" s="304">
      <c r="A14" s="365">
        <f>Avoirs!A15</f>
        <v/>
      </c>
      <c r="B14" s="551" t="inlineStr">
        <is>
          <t>EUR</t>
        </is>
      </c>
      <c r="C14" s="528">
        <f>IF(COUNTIFS(OPcompte,$A14,OPdevise,$B14,OPcatégorie,Solde)&gt;=2,_xlfn.MINIFS(OPdate,OPcompte,$A14,OPdevise,$B14,OPcatégorie,Solde),0)</f>
        <v/>
      </c>
      <c r="D14" s="528">
        <f>_xlfn.MAXIFS(OPdate,OPcompte,$A14,OPdevise,$B14,OPcatégorie,Solde)</f>
        <v/>
      </c>
      <c r="E14" s="322">
        <f>IF($C14=0,0,_xlfn.XLOOKUP(1,(OPcompte=$A14)*(OPdevise=$B14)*(OPcatégorie=Solde)*(OPdate=$C14),OPmontant,0,0,1))</f>
        <v/>
      </c>
      <c r="F14" s="322">
        <f>$E14+SUMIFS(OPmontant,OPcompte,$A14,OPdevise,$B14,OPdate,"&gt;"&amp;$C14,OPdate,"&lt;="&amp;$D14,OPcatégorie,"&lt;&gt;Solde",OPcatégorie,"&lt;&gt;"&amp;Spéciale)</f>
        <v/>
      </c>
      <c r="G14" s="322">
        <f>_xlfn.XLOOKUP(1,(OPcompte=$A14)*(OPdevise=$B14)*(OPcatégorie=Solde)*(OPdate=$D14),OPmontant,0,0,-1)</f>
        <v/>
      </c>
      <c r="H14" s="322">
        <f>IF(ABS($G14-$F14)&lt;0.015,0,ROUND($G14-$F14,2))</f>
        <v/>
      </c>
      <c r="I14" s="322" t="inlineStr">
        <is>
          <t>Oui</t>
        </is>
      </c>
    </row>
    <row r="15" ht="15" customHeight="1" s="304">
      <c r="A15" s="365">
        <f>Avoirs!A16</f>
        <v/>
      </c>
      <c r="B15" s="551" t="inlineStr">
        <is>
          <t>EUR</t>
        </is>
      </c>
      <c r="C15" s="528">
        <f>IF(COUNTIFS(OPcompte,$A15,OPdevise,$B15,OPcatégorie,Solde)&gt;=2,_xlfn.MINIFS(OPdate,OPcompte,$A15,OPdevise,$B15,OPcatégorie,Solde),0)</f>
        <v/>
      </c>
      <c r="D15" s="528">
        <f>_xlfn.MAXIFS(OPdate,OPcompte,$A15,OPdevise,$B15,OPcatégorie,Solde)</f>
        <v/>
      </c>
      <c r="E15" s="322">
        <f>IF($C15=0,0,_xlfn.XLOOKUP(1,(OPcompte=$A15)*(OPdevise=$B15)*(OPcatégorie=Solde)*(OPdate=$C15),OPmontant,0,0,1))</f>
        <v/>
      </c>
      <c r="F15" s="322">
        <f>$E15+SUMIFS(OPmontant,OPcompte,$A15,OPdevise,$B15,OPdate,"&gt;"&amp;$C15,OPdate,"&lt;="&amp;$D15,OPcatégorie,"&lt;&gt;Solde",OPcatégorie,"&lt;&gt;"&amp;Spéciale)</f>
        <v/>
      </c>
      <c r="G15" s="322">
        <f>_xlfn.XLOOKUP(1,(OPcompte=$A15)*(OPdevise=$B15)*(OPcatégorie=Solde)*(OPdate=$D15),OPmontant,0,0,-1)</f>
        <v/>
      </c>
      <c r="H15" s="322">
        <f>IF(ABS($G15-$F15)&lt;0.015,0,ROUND($G15-$F15,2))</f>
        <v/>
      </c>
      <c r="I15" s="322" t="inlineStr">
        <is>
          <t>Oui</t>
        </is>
      </c>
    </row>
    <row r="16" ht="15" customHeight="1" s="304">
      <c r="A16" s="365">
        <f>Avoirs!A17</f>
        <v/>
      </c>
      <c r="B16" s="551" t="inlineStr">
        <is>
          <t>EUR</t>
        </is>
      </c>
      <c r="C16" s="528">
        <f>IF(COUNTIFS(OPcompte,$A16,OPdevise,$B16,OPcatégorie,Solde)&gt;=2,_xlfn.MINIFS(OPdate,OPcompte,$A16,OPdevise,$B16,OPcatégorie,Solde),0)</f>
        <v/>
      </c>
      <c r="D16" s="528">
        <f>_xlfn.MAXIFS(OPdate,OPcompte,$A16,OPdevise,$B16,OPcatégorie,Solde)</f>
        <v/>
      </c>
      <c r="E16" s="322">
        <f>IF($C16=0,0,_xlfn.XLOOKUP(1,(OPcompte=$A16)*(OPdevise=$B16)*(OPcatégorie=Solde)*(OPdate=$C16),OPmontant,0,0,1))</f>
        <v/>
      </c>
      <c r="F16" s="322">
        <f>$E16+SUMIFS(OPmontant,OPcompte,$A16,OPdevise,$B16,OPdate,"&gt;"&amp;$C16,OPdate,"&lt;="&amp;$D16,OPcatégorie,"&lt;&gt;Solde",OPcatégorie,"&lt;&gt;"&amp;Spéciale)</f>
        <v/>
      </c>
      <c r="G16" s="322">
        <f>_xlfn.XLOOKUP(1,(OPcompte=$A16)*(OPdevise=$B16)*(OPcatégorie=Solde)*(OPdate=$D16),OPmontant,0,0,-1)</f>
        <v/>
      </c>
      <c r="H16" s="322">
        <f>IF(ABS($G16-$F16)&lt;0.015,0,ROUND($G16-$F16,2))</f>
        <v/>
      </c>
      <c r="I16" s="322" t="inlineStr">
        <is>
          <t>Oui</t>
        </is>
      </c>
    </row>
    <row r="17" ht="15" customHeight="1" s="304">
      <c r="A17" s="365">
        <f>Avoirs!A18</f>
        <v/>
      </c>
      <c r="B17" s="551" t="inlineStr">
        <is>
          <t>EUR</t>
        </is>
      </c>
      <c r="C17" s="528">
        <f>IF(COUNTIFS(OPcompte,$A17,OPdevise,$B17,OPcatégorie,Solde)&gt;=2,_xlfn.MINIFS(OPdate,OPcompte,$A17,OPdevise,$B17,OPcatégorie,Solde),0)</f>
        <v/>
      </c>
      <c r="D17" s="528">
        <f>_xlfn.MAXIFS(OPdate,OPcompte,$A17,OPdevise,$B17,OPcatégorie,Solde)</f>
        <v/>
      </c>
      <c r="E17" s="322">
        <f>IF($C17=0,0,_xlfn.XLOOKUP(1,(OPcompte=$A17)*(OPdevise=$B17)*(OPcatégorie=Solde)*(OPdate=$C17),OPmontant,0,0,1))</f>
        <v/>
      </c>
      <c r="F17" s="322">
        <f>$E17+SUMIFS(OPmontant,OPcompte,$A17,OPdevise,$B17,OPdate,"&gt;"&amp;$C17,OPdate,"&lt;="&amp;$D17,OPcatégorie,"&lt;&gt;Solde",OPcatégorie,"&lt;&gt;"&amp;Spéciale)</f>
        <v/>
      </c>
      <c r="G17" s="322">
        <f>_xlfn.XLOOKUP(1,(OPcompte=$A17)*(OPdevise=$B17)*(OPcatégorie=Solde)*(OPdate=$D17),OPmontant,0,0,-1)</f>
        <v/>
      </c>
      <c r="H17" s="322">
        <f>IF(ABS($G17-$F17)&lt;0.015,0,ROUND($G17-$F17,2))</f>
        <v/>
      </c>
      <c r="I17" s="322" t="inlineStr">
        <is>
          <t>Oui</t>
        </is>
      </c>
    </row>
    <row r="18" ht="15" customHeight="1" s="304">
      <c r="A18" s="365">
        <f>Avoirs!A19</f>
        <v/>
      </c>
      <c r="B18" s="551" t="inlineStr">
        <is>
          <t>USD</t>
        </is>
      </c>
      <c r="C18" s="528">
        <f>IF(COUNTIFS(OPcompte,$A18,OPdevise,$B18,OPcatégorie,Solde)&gt;=2,_xlfn.MINIFS(OPdate,OPcompte,$A18,OPdevise,$B18,OPcatégorie,Solde),0)</f>
        <v/>
      </c>
      <c r="D18" s="528">
        <f>_xlfn.MAXIFS(OPdate,OPcompte,$A18,OPdevise,$B18,OPcatégorie,Solde)</f>
        <v/>
      </c>
      <c r="E18" s="552">
        <f>IF($C18=0,0,_xlfn.XLOOKUP(1,(OPcompte=$A18)*(OPdevise=$B18)*(OPcatégorie=Solde)*(OPdate=$C18),OPmontant,0,0,1))</f>
        <v/>
      </c>
      <c r="F18" s="552">
        <f>$E18+SUMIFS(OPmontant,OPcompte,$A18,OPdevise,$B18,OPdate,"&gt;"&amp;$C18,OPdate,"&lt;="&amp;$D18,OPcatégorie,"&lt;&gt;Solde",OPcatégorie,"&lt;&gt;"&amp;Spéciale)</f>
        <v/>
      </c>
      <c r="G18" s="552">
        <f>_xlfn.XLOOKUP(1,(OPcompte=$A18)*(OPdevise=$B18)*(OPcatégorie=Solde)*(OPdate=$D18),OPmontant,0,0,-1)</f>
        <v/>
      </c>
      <c r="H18" s="552">
        <f>IF(ABS($G18-$F18)&lt;0.015,0,ROUND($G18-$F18,2))</f>
        <v/>
      </c>
      <c r="I18" s="322" t="inlineStr">
        <is>
          <t>Oui</t>
        </is>
      </c>
    </row>
    <row r="19" ht="15" customHeight="1" s="304">
      <c r="A19" s="365">
        <f>Avoirs!A20</f>
        <v/>
      </c>
      <c r="B19" s="551" t="inlineStr">
        <is>
          <t>SGD</t>
        </is>
      </c>
      <c r="C19" s="528">
        <f>IF(COUNTIFS(OPcompte,$A19,OPdevise,$B19,OPcatégorie,Solde)&gt;=2,_xlfn.MINIFS(OPdate,OPcompte,$A19,OPdevise,$B19,OPcatégorie,Solde),0)</f>
        <v/>
      </c>
      <c r="D19" s="528">
        <f>_xlfn.MAXIFS(OPdate,OPcompte,$A19,OPdevise,$B19,OPcatégorie,Solde)</f>
        <v/>
      </c>
      <c r="E19" s="553">
        <f>IF($C19=0,0,_xlfn.XLOOKUP(1,(OPcompte=$A19)*(OPdevise=$B19)*(OPcatégorie=Solde)*(OPdate=$C19),OPmontant,0,0,1))</f>
        <v/>
      </c>
      <c r="F19" s="553">
        <f>$E19+SUMIFS(OPmontant,OPcompte,$A19,OPdevise,$B19,OPdate,"&gt;"&amp;$C19,OPdate,"&lt;="&amp;$D19,OPcatégorie,"&lt;&gt;Solde",OPcatégorie,"&lt;&gt;"&amp;Spéciale)</f>
        <v/>
      </c>
      <c r="G19" s="553">
        <f>_xlfn.XLOOKUP(1,(OPcompte=$A19)*(OPdevise=$B19)*(OPcatégorie=Solde)*(OPdate=$D19),OPmontant,0,0,-1)</f>
        <v/>
      </c>
      <c r="H19" s="553">
        <f>IF(ABS($G19-$F19)&lt;0.015,0,ROUND($G19-$F19,2))</f>
        <v/>
      </c>
      <c r="I19" s="322" t="inlineStr">
        <is>
          <t>Oui</t>
        </is>
      </c>
    </row>
    <row r="20" ht="15" customHeight="1" s="304">
      <c r="A20" s="365">
        <f>Avoirs!A21</f>
        <v/>
      </c>
      <c r="B20" s="551" t="inlineStr">
        <is>
          <t>USD</t>
        </is>
      </c>
      <c r="C20" s="528">
        <f>IF(COUNTIFS(OPcompte,$A20,OPdevise,$B20,OPcatégorie,Solde)&gt;=2,_xlfn.MINIFS(OPdate,OPcompte,$A20,OPdevise,$B20,OPcatégorie,Solde),0)</f>
        <v/>
      </c>
      <c r="D20" s="528">
        <f>_xlfn.MAXIFS(OPdate,OPcompte,$A20,OPdevise,$B20,OPcatégorie,Solde)</f>
        <v/>
      </c>
      <c r="E20" s="552">
        <f>IF($C20=0,0,_xlfn.XLOOKUP(1,(OPcompte=$A20)*(OPdevise=$B20)*(OPcatégorie=Solde)*(OPdate=$C20),OPmontant,0,0,1))</f>
        <v/>
      </c>
      <c r="F20" s="552">
        <f>$E20+SUMIFS(OPmontant,OPcompte,$A20,OPdevise,$B20,OPdate,"&gt;"&amp;$C20,OPdate,"&lt;="&amp;$D20,OPcatégorie,"&lt;&gt;Solde",OPcatégorie,"&lt;&gt;"&amp;Spéciale)</f>
        <v/>
      </c>
      <c r="G20" s="552">
        <f>_xlfn.XLOOKUP(1,(OPcompte=$A20)*(OPdevise=$B20)*(OPcatégorie=Solde)*(OPdate=$D20),OPmontant,0,0,-1)</f>
        <v/>
      </c>
      <c r="H20" s="552">
        <f>IF(ABS($G20-$F20)&lt;0.015,0,ROUND($G20-$F20,2))</f>
        <v/>
      </c>
      <c r="I20" s="322" t="inlineStr">
        <is>
          <t>Oui</t>
        </is>
      </c>
    </row>
    <row r="21" ht="15" customHeight="1" s="304">
      <c r="A21" s="365">
        <f>Avoirs!A22</f>
        <v/>
      </c>
      <c r="B21" s="551" t="inlineStr">
        <is>
          <t>EUR</t>
        </is>
      </c>
      <c r="C21" s="528">
        <f>IF(COUNTIFS(OPcompte,$A21,OPdevise,$B21,OPcatégorie,Solde)&gt;=2,_xlfn.MINIFS(OPdate,OPcompte,$A21,OPdevise,$B21,OPcatégorie,Solde),0)</f>
        <v/>
      </c>
      <c r="D21" s="528">
        <f>_xlfn.MAXIFS(OPdate,OPcompte,$A21,OPdevise,$B21,OPcatégorie,Solde)</f>
        <v/>
      </c>
      <c r="E21" s="322">
        <f>IF($C21=0,0,_xlfn.XLOOKUP(1,(OPcompte=$A21)*(OPdevise=$B21)*(OPcatégorie=Solde)*(OPdate=$C21),OPmontant,0,0,1))</f>
        <v/>
      </c>
      <c r="F21" s="322">
        <f>$E21+SUMIFS(OPmontant,OPcompte,$A21,OPdevise,$B21,OPdate,"&gt;"&amp;$C21,OPdate,"&lt;="&amp;$D21,OPcatégorie,"&lt;&gt;Solde",OPcatégorie,"&lt;&gt;"&amp;Spéciale)</f>
        <v/>
      </c>
      <c r="G21" s="322">
        <f>_xlfn.XLOOKUP(1,(OPcompte=$A21)*(OPdevise=$B21)*(OPcatégorie=Solde)*(OPdate=$D21),OPmontant,0,0,-1)</f>
        <v/>
      </c>
      <c r="H21" s="322">
        <f>IF(ABS($G21-$F21)&lt;0.015,0,ROUND($G21-$F21,2))</f>
        <v/>
      </c>
      <c r="I21" s="322" t="inlineStr">
        <is>
          <t>Oui</t>
        </is>
      </c>
    </row>
    <row r="22" ht="15" customHeight="1" s="304">
      <c r="A22" s="365">
        <f>Avoirs!A23</f>
        <v/>
      </c>
      <c r="B22" s="551" t="inlineStr">
        <is>
          <t>SAT</t>
        </is>
      </c>
      <c r="C22" s="528">
        <f>IF(COUNTIFS(OPcompte,$A22,OPdevise,$B22,OPcatégorie,Solde)&gt;=2,_xlfn.MINIFS(OPdate,OPcompte,$A22,OPdevise,$B22,OPcatégorie,Solde),0)</f>
        <v/>
      </c>
      <c r="D22" s="528">
        <f>_xlfn.MAXIFS(OPdate,OPcompte,$A22,OPdevise,$B22,OPcatégorie,Solde)</f>
        <v/>
      </c>
      <c r="E22" s="554">
        <f>IF($C22=0,0,_xlfn.XLOOKUP(1,(OPcompte=$A22)*(OPdevise=$B22)*(OPcatégorie=Solde)*(OPdate=$C22),OPmontant,0,0,1))</f>
        <v/>
      </c>
      <c r="F22" s="554">
        <f>$E22+SUMIFS(OPmontant,OPcompte,$A22,OPdevise,$B22,OPdate,"&gt;"&amp;$C22,OPdate,"&lt;="&amp;$D22,OPcatégorie,"&lt;&gt;Solde",OPcatégorie,"&lt;&gt;"&amp;Spéciale)</f>
        <v/>
      </c>
      <c r="G22" s="554">
        <f>_xlfn.XLOOKUP(1,(OPcompte=$A22)*(OPdevise=$B22)*(OPcatégorie=Solde)*(OPdate=$D22),OPmontant,0,0,-1)</f>
        <v/>
      </c>
      <c r="H22" s="554">
        <f>IF(ABS($G22-$F22)&lt;0.015,0,ROUND($G22-$F22,2))</f>
        <v/>
      </c>
      <c r="I22" s="322" t="inlineStr">
        <is>
          <t>Oui</t>
        </is>
      </c>
    </row>
    <row r="23" ht="15" customHeight="1" s="304">
      <c r="A23" s="365">
        <f>Avoirs!A24</f>
        <v/>
      </c>
      <c r="B23" s="551" t="inlineStr">
        <is>
          <t>SAT</t>
        </is>
      </c>
      <c r="C23" s="528">
        <f>IF(COUNTIFS(OPcompte,$A23,OPdevise,$B23,OPcatégorie,Solde)&gt;=2,_xlfn.MINIFS(OPdate,OPcompte,$A23,OPdevise,$B23,OPcatégorie,Solde),0)</f>
        <v/>
      </c>
      <c r="D23" s="528">
        <f>_xlfn.MAXIFS(OPdate,OPcompte,$A23,OPdevise,$B23,OPcatégorie,Solde)</f>
        <v/>
      </c>
      <c r="E23" s="554">
        <f>IF($C23=0,0,_xlfn.XLOOKUP(1,(OPcompte=$A23)*(OPdevise=$B23)*(OPcatégorie=Solde)*(OPdate=$C23),OPmontant,0,0,1))</f>
        <v/>
      </c>
      <c r="F23" s="554">
        <f>$E23+SUMIFS(OPmontant,OPcompte,$A23,OPdevise,$B23,OPdate,"&gt;"&amp;$C23,OPdate,"&lt;="&amp;$D23,OPcatégorie,"&lt;&gt;Solde",OPcatégorie,"&lt;&gt;"&amp;Spéciale)</f>
        <v/>
      </c>
      <c r="G23" s="554">
        <f>_xlfn.XLOOKUP(1,(OPcompte=$A23)*(OPdevise=$B23)*(OPcatégorie=Solde)*(OPdate=$D23),OPmontant,0,0,-1)</f>
        <v/>
      </c>
      <c r="H23" s="554">
        <f>IF(ABS($G23-$F23)&lt;0.015,0,ROUND($G23-$F23,2))</f>
        <v/>
      </c>
      <c r="I23" s="322" t="inlineStr">
        <is>
          <t>Oui</t>
        </is>
      </c>
    </row>
    <row r="24" ht="15" customHeight="1" s="304">
      <c r="A24" s="365">
        <f>Avoirs!A25</f>
        <v/>
      </c>
      <c r="B24" s="551" t="inlineStr">
        <is>
          <t>SAT</t>
        </is>
      </c>
      <c r="C24" s="528">
        <f>IF(COUNTIFS(OPcompte,$A24,OPdevise,$B24,OPcatégorie,Solde)&gt;=2,_xlfn.MINIFS(OPdate,OPcompte,$A24,OPdevise,$B24,OPcatégorie,Solde),0)</f>
        <v/>
      </c>
      <c r="D24" s="528">
        <f>_xlfn.MAXIFS(OPdate,OPcompte,$A24,OPdevise,$B24,OPcatégorie,Solde)</f>
        <v/>
      </c>
      <c r="E24" s="554">
        <f>IF($C24=0,0,_xlfn.XLOOKUP(1,(OPcompte=$A24)*(OPdevise=$B24)*(OPcatégorie=Solde)*(OPdate=$C24),OPmontant,0,0,1))</f>
        <v/>
      </c>
      <c r="F24" s="554">
        <f>$E24+SUMIFS(OPmontant,OPcompte,$A24,OPdevise,$B24,OPdate,"&gt;"&amp;$C24,OPdate,"&lt;="&amp;$D24,OPcatégorie,"&lt;&gt;Solde",OPcatégorie,"&lt;&gt;"&amp;Spéciale)</f>
        <v/>
      </c>
      <c r="G24" s="554">
        <f>_xlfn.XLOOKUP(1,(OPcompte=$A24)*(OPdevise=$B24)*(OPcatégorie=Solde)*(OPdate=$D24),OPmontant,0,0,-1)</f>
        <v/>
      </c>
      <c r="H24" s="554">
        <f>IF(ABS($G24-$F24)&lt;0.015,0,ROUND($G24-$F24,2))</f>
        <v/>
      </c>
      <c r="I24" s="322" t="inlineStr">
        <is>
          <t>Oui</t>
        </is>
      </c>
    </row>
    <row r="25" ht="15" customHeight="1" s="304">
      <c r="A25" s="365">
        <f>Avoirs!A26</f>
        <v/>
      </c>
      <c r="B25" s="551" t="inlineStr">
        <is>
          <t>XMR</t>
        </is>
      </c>
      <c r="C25" s="528">
        <f>IF(COUNTIFS(OPcompte,$A25,OPdevise,$B25,OPcatégorie,Solde)&gt;=2,_xlfn.MINIFS(OPdate,OPcompte,$A25,OPdevise,$B25,OPcatégorie,Solde),0)</f>
        <v/>
      </c>
      <c r="D25" s="528">
        <f>_xlfn.MAXIFS(OPdate,OPcompte,$A25,OPdevise,$B25,OPcatégorie,Solde)</f>
        <v/>
      </c>
      <c r="E25" s="555">
        <f>IF($C25=0,0,_xlfn.XLOOKUP(1,(OPcompte=$A25)*(OPdevise=$B25)*(OPcatégorie=Solde)*(OPdate=$C25),OPmontant,0,0,1))</f>
        <v/>
      </c>
      <c r="F25" s="555">
        <f>$E25+SUMIFS(OPmontant,OPcompte,$A25,OPdevise,$B25,OPdate,"&gt;"&amp;$C25,OPdate,"&lt;="&amp;$D25,OPcatégorie,"&lt;&gt;Solde",OPcatégorie,"&lt;&gt;"&amp;Spéciale)</f>
        <v/>
      </c>
      <c r="G25" s="555">
        <f>_xlfn.XLOOKUP(1,(OPcompte=$A25)*(OPdevise=$B25)*(OPcatégorie=Solde)*(OPdate=$D25),OPmontant,0,0,-1)</f>
        <v/>
      </c>
      <c r="H25" s="555">
        <f>IF(ABS($G25-$F25)&lt;0.015,0,ROUND($G25-$F25,2))</f>
        <v/>
      </c>
      <c r="I25" s="322" t="inlineStr">
        <is>
          <t>Oui</t>
        </is>
      </c>
    </row>
    <row r="26" ht="16.5" customHeight="1" s="304">
      <c r="A26" s="556" t="inlineStr">
        <is>
          <t>✓</t>
        </is>
      </c>
      <c r="B26" s="557" t="n"/>
      <c r="C26" s="557" t="n"/>
      <c r="D26" s="557" t="n"/>
      <c r="E26" s="557" t="n"/>
      <c r="F26" s="558" t="n"/>
      <c r="G26" s="559" t="n"/>
      <c r="H26" s="559" t="n"/>
      <c r="I26" s="557" t="n"/>
    </row>
    <row r="27" ht="17.25" customHeight="1" s="304">
      <c r="A27" s="379" t="n"/>
      <c r="B27" s="383" t="n"/>
      <c r="C27" s="383" t="n"/>
      <c r="D27" s="383" t="n"/>
      <c r="E27" s="383" t="n"/>
      <c r="F27" s="560" t="n"/>
      <c r="G27" s="380" t="n"/>
      <c r="H27" s="380" t="n"/>
      <c r="I27" s="380" t="n"/>
    </row>
    <row r="29" ht="18.75" customHeight="1" s="304">
      <c r="J29" s="407" t="inlineStr">
        <is>
          <t>CONTRÔLES</t>
        </is>
      </c>
    </row>
    <row r="30" ht="19.5" customHeight="1" s="304">
      <c r="J30" s="328" t="inlineStr">
        <is>
          <t>Type de contrôle</t>
        </is>
      </c>
      <c r="K30" s="328" t="inlineStr">
        <is>
          <t xml:space="preserve">Affichage  </t>
        </is>
      </c>
      <c r="L30" s="328" t="inlineStr">
        <is>
          <t>Général</t>
        </is>
      </c>
      <c r="M30" s="328" t="inlineStr">
        <is>
          <t>EUR</t>
        </is>
      </c>
      <c r="N30" s="360" t="inlineStr">
        <is>
          <t>XAU</t>
        </is>
      </c>
      <c r="O30" s="360" t="inlineStr">
        <is>
          <t>BTC</t>
        </is>
      </c>
      <c r="P30" s="328" t="inlineStr">
        <is>
          <t>USD</t>
        </is>
      </c>
      <c r="Q30" s="328" t="inlineStr">
        <is>
          <t>SGD</t>
        </is>
      </c>
      <c r="R30" s="328" t="inlineStr">
        <is>
          <t>OrPr</t>
        </is>
      </c>
      <c r="S30" s="328" t="inlineStr">
        <is>
          <t>SAT</t>
        </is>
      </c>
      <c r="T30" s="328" t="inlineStr">
        <is>
          <t>XMR</t>
        </is>
      </c>
    </row>
    <row r="31" ht="16.5" customHeight="1" s="304">
      <c r="J31" s="328" t="n"/>
      <c r="K31" s="328" t="n"/>
      <c r="L31" s="550" t="n"/>
      <c r="M31" s="550" t="n"/>
      <c r="N31" s="561">
        <f>Cotations!$F$5</f>
        <v/>
      </c>
      <c r="O31" s="561">
        <f>Cotations!$F$7</f>
        <v/>
      </c>
      <c r="P31" s="562">
        <f>Cotations!$F$10</f>
        <v/>
      </c>
      <c r="Q31" s="562">
        <f>Cotations!$F$11</f>
        <v/>
      </c>
      <c r="R31" s="562">
        <f>Cotations!$F$6</f>
        <v/>
      </c>
      <c r="S31" s="562">
        <f>Cotations!$F$8</f>
        <v/>
      </c>
      <c r="T31" s="562">
        <f>Cotations!$F$9</f>
        <v/>
      </c>
    </row>
    <row r="32" ht="16.5" customHeight="1" s="304">
      <c r="J32" s="391" t="inlineStr">
        <is>
          <t>COMPTES (de début #Solde à fin #Solde)</t>
        </is>
      </c>
      <c r="K32" s="563">
        <f>IF(L32=0,"✓","✗")</f>
        <v/>
      </c>
      <c r="L32" s="564">
        <f>SUM(M32:T32)</f>
        <v/>
      </c>
      <c r="M32" s="564">
        <f>COUNTIFS($B3:$B26,M$30,$I3:$I26,"Oui")-COUNTIFS($B3:$B26,M$30,$I3:$I26,"Oui",$H3:$H26,0)</f>
        <v/>
      </c>
      <c r="N32" s="565">
        <f>COUNTIFS($B26:$B80,N$30,$I26:$I80,"Oui")-COUNTIFS($B26:$B80,N$30,$I26:$I80,"Oui",$H26:$H80,0)</f>
        <v/>
      </c>
      <c r="O32" s="565">
        <f>COUNTIFS($B26:$B80,O$30,$I26:$I80,"Oui")-COUNTIFS($B26:$B80,O$30,$I26:$I80,"Oui",$H26:$H80,0)</f>
        <v/>
      </c>
      <c r="P32" s="566">
        <f>COUNTIFS($B26:$B80,P$30,$I26:$I80,"Oui")-COUNTIFS($B26:$B80,P$30,$I26:$I80,"Oui",$H26:$H80,0)</f>
        <v/>
      </c>
      <c r="Q32" s="566">
        <f>COUNTIFS($B26:$B80,Q$30,$I26:$I80,"Oui")-COUNTIFS($B26:$B80,Q$30,$I26:$I80,"Oui",$H26:$H80,0)</f>
        <v/>
      </c>
      <c r="R32" s="566">
        <f>COUNTIFS($B26:$B80,R$30,$I26:$I80,"Oui")-COUNTIFS($B26:$B80,R$30,$I26:$I80,"Oui",$H26:$H80,0)</f>
        <v/>
      </c>
      <c r="S32" s="566">
        <f>COUNTIFS($B26:$B80,S$30,$I26:$I80,"Oui")-COUNTIFS($B26:$B80,S$30,$I26:$I80,"Oui",$H26:$H80,0)</f>
        <v/>
      </c>
      <c r="T32" s="566">
        <f>COUNTIFS($B26:$B80,T$30,$I26:$I80,"Oui")-COUNTIFS($B26:$B80,T$30,$I26:$I80,"Oui",$H26:$H80,0)</f>
        <v/>
      </c>
    </row>
    <row r="33" ht="16.5" customHeight="1" s="304">
      <c r="J33" s="391" t="inlineStr">
        <is>
          <t>CATÉGORIES (année glissante)</t>
        </is>
      </c>
      <c r="K33" s="567">
        <f>IF(L33=0,"✓","⚠")</f>
        <v/>
      </c>
      <c r="L33" s="430">
        <f>SUM(M33:T33)</f>
        <v/>
      </c>
      <c r="M33" s="430">
        <f>Budget!F$38</f>
        <v/>
      </c>
      <c r="N33" s="568">
        <f>Budget!G$38</f>
        <v/>
      </c>
      <c r="O33" s="569">
        <f>Budget!H$38</f>
        <v/>
      </c>
      <c r="P33" s="570">
        <f>Budget!I$38</f>
        <v/>
      </c>
      <c r="Q33" s="571">
        <f>Budget!J$38</f>
        <v/>
      </c>
      <c r="R33" s="572">
        <f>Budget!K$38</f>
        <v/>
      </c>
      <c r="S33" s="573">
        <f>Budget!L$38</f>
        <v/>
      </c>
      <c r="T33" s="574">
        <f>Budget!M$38</f>
        <v/>
      </c>
    </row>
    <row r="34" ht="16.5" customHeight="1" s="304">
      <c r="J34" s="391" t="inlineStr">
        <is>
          <t>Date</t>
        </is>
      </c>
      <c r="K34" s="567">
        <f>IF(L34=0,"✓","⚠")</f>
        <v/>
      </c>
      <c r="L34" s="564">
        <f>COUNTIF(OPdate,"&lt;"&amp;DATE(2020,1,1))+COUNTIF(OPdate,"&gt;"&amp;DATE(année_courante,12,31))</f>
        <v/>
      </c>
      <c r="M34" s="430" t="n"/>
      <c r="N34" s="565" t="n"/>
      <c r="O34" s="565" t="n"/>
      <c r="P34" s="566" t="n"/>
      <c r="Q34" s="566" t="n"/>
      <c r="R34" s="566" t="n"/>
      <c r="S34" s="566" t="n"/>
      <c r="T34" s="566" t="n"/>
    </row>
    <row r="35" ht="16.5" customHeight="1" s="304">
      <c r="J35" s="391" t="inlineStr">
        <is>
          <t xml:space="preserve">Appariements </t>
        </is>
      </c>
      <c r="K35" s="567">
        <f>IF(L35=0,"✓","⚠")</f>
        <v/>
      </c>
      <c r="L35" s="564">
        <f>COUNTIFS(OPréf,"-")</f>
        <v/>
      </c>
      <c r="M35" s="564">
        <f>COUNTIFS(OPréf,"-",OPdevise,M$30)</f>
        <v/>
      </c>
      <c r="N35" s="565">
        <f>COUNTIFS(OPréf,"-",OPdevise,N$30)</f>
        <v/>
      </c>
      <c r="O35" s="565">
        <f>COUNTIFS(OPréf,"-",OPdevise,O$30)</f>
        <v/>
      </c>
      <c r="P35" s="566">
        <f>COUNTIFS(OPréf,"-",OPdevise,P$30)</f>
        <v/>
      </c>
      <c r="Q35" s="566">
        <f>COUNTIFS(OPréf,"-",OPdevise,Q$30)</f>
        <v/>
      </c>
      <c r="R35" s="566">
        <f>COUNTIFS(OPréf,"-",OPdevise,R$30)</f>
        <v/>
      </c>
      <c r="S35" s="566">
        <f>COUNTIFS(OPréf,"-",OPdevise,S$30)</f>
        <v/>
      </c>
      <c r="T35" s="566">
        <f>COUNTIFS(OPréf,"-",OPdevise,T$30)</f>
        <v/>
      </c>
    </row>
    <row r="36" ht="16.5" customHeight="1" s="304">
      <c r="J36" s="556" t="inlineStr">
        <is>
          <t>Balances</t>
        </is>
      </c>
      <c r="K36" s="567">
        <f>IF(L36=0,"✓","⚠")</f>
        <v/>
      </c>
      <c r="L36" s="564">
        <f>3-COUNTIFS(L37:L41,0)</f>
        <v/>
      </c>
      <c r="M36" s="564">
        <f>COUNTA($J37:$J39)-COUNTIFS(M37:M39,0)</f>
        <v/>
      </c>
      <c r="N36" s="565">
        <f>COUNTA($M37:$M39)-COUNTIFS(N37:N39,0)</f>
        <v/>
      </c>
      <c r="O36" s="565">
        <f>COUNTA($M37:$M39)-COUNTIFS(O37:O39,0)</f>
        <v/>
      </c>
      <c r="P36" s="566">
        <f>COUNTA($M37:$M39)-COUNTIFS(P37:P39,0)</f>
        <v/>
      </c>
      <c r="Q36" s="566">
        <f>COUNTA($M37:$M39)-COUNTIFS(Q37:Q39,0)</f>
        <v/>
      </c>
      <c r="R36" s="566">
        <f>COUNTA($M37:$M39)-COUNTIFS(R37:R39,0)</f>
        <v/>
      </c>
      <c r="S36" s="566">
        <f>COUNTA($M37:$M39)-COUNTIFS(S37:S39,0)</f>
        <v/>
      </c>
      <c r="T36" s="566">
        <f>COUNTA($M37:$M39)-COUNTIFS(T37:T39,0)</f>
        <v/>
      </c>
    </row>
    <row r="37" ht="16.5" customHeight="1" s="304">
      <c r="J37" s="575" t="inlineStr">
        <is>
          <t>Virements</t>
        </is>
      </c>
      <c r="K37" s="320" t="n"/>
      <c r="L37" s="430" t="n"/>
      <c r="M37" s="430">
        <f>ROUND(SUMIFS(OPmontant,OPdevise,M$30,OPcatégorie,"Virement*"),0)</f>
        <v/>
      </c>
      <c r="N37" s="576">
        <f>ROUND(SUMIFS(OPmontant,OPdevise,N$30,OPcatégorie,"Virement*"),0)</f>
        <v/>
      </c>
      <c r="O37" s="577">
        <f>ROUND(SUMIFS(OPmontant,OPdevise,O$30,OPcatégorie,"Virement*"),0)</f>
        <v/>
      </c>
      <c r="P37" s="578">
        <f>ROUND(SUMIFS(OPmontant,OPdevise,P$30,OPcatégorie,"Virement*"),0)</f>
        <v/>
      </c>
      <c r="Q37" s="579">
        <f>ROUND(SUMIFS(OPmontant,OPdevise,Q$30,OPcatégorie,"Virement*"),0)</f>
        <v/>
      </c>
      <c r="R37" s="580">
        <f>ROUND(SUMIFS(OPmontant,OPdevise,R$30,OPcatégorie,"Virement*"),0)</f>
        <v/>
      </c>
      <c r="S37" s="581">
        <f>ROUND(SUMIFS(OPmontant,OPdevise,S$30,OPcatégorie,"Virement*"),0)</f>
        <v/>
      </c>
      <c r="T37" s="582">
        <f>ROUND(SUMIFS(OPmontant,OPdevise,T$30,OPcatégorie,"Virement*"),0)</f>
        <v/>
      </c>
    </row>
    <row r="38" ht="16.5" customHeight="1" s="304">
      <c r="J38" s="583" t="inlineStr">
        <is>
          <t>€</t>
        </is>
      </c>
      <c r="K38" s="320" t="n"/>
      <c r="L38" s="430">
        <f>SUM(M38:T38)</f>
        <v/>
      </c>
      <c r="M38" s="430">
        <f>ROUND(SUMIFS(OPmontant,OPdevise,M$30,OPcatégorie,"Virement*"),0)</f>
        <v/>
      </c>
      <c r="N38" s="584">
        <f>ROUND(SUMIFS(OPmontant,OPdevise,N$30,OPcatégorie,"Virement*"),0)*N$31</f>
        <v/>
      </c>
      <c r="O38" s="584">
        <f>ROUND(SUMIFS(OPmontant,OPdevise,O$30,OPcatégorie,"Virement*"),0)*O$31</f>
        <v/>
      </c>
      <c r="P38" s="517">
        <f>ROUND(SUMIFS(OPmontant,OPdevise,P$30,OPcatégorie,"Virement*"),0)*P$31</f>
        <v/>
      </c>
      <c r="Q38" s="517">
        <f>ROUND(SUMIFS(OPmontant,OPdevise,Q$30,OPcatégorie,"Virement*"),0)*Q$31</f>
        <v/>
      </c>
      <c r="R38" s="517">
        <f>ROUND(SUMIFS(OPmontant,OPdevise,R$30,OPcatégorie,"Virement*"),0)*R$31</f>
        <v/>
      </c>
      <c r="S38" s="517">
        <f>ROUND(SUMIFS(OPmontant,OPdevise,S$30,OPcatégorie,"Virement*"),0)*S$31</f>
        <v/>
      </c>
      <c r="T38" s="517">
        <f>ROUND(SUMIFS(OPmontant,OPdevise,T$30,OPcatégorie,"Virement*"),0)*T$31</f>
        <v/>
      </c>
    </row>
    <row r="39" ht="16.5" customHeight="1" s="304">
      <c r="J39" s="575" t="inlineStr">
        <is>
          <t>Titres</t>
        </is>
      </c>
      <c r="K39" s="320" t="n"/>
      <c r="L39" s="430" t="n"/>
      <c r="M39" s="430">
        <f>ROUND(SUMIFS(OPmontant,OPdevise,M$30,OPcatégorie,"*titres"),0)</f>
        <v/>
      </c>
      <c r="N39" s="568">
        <f>ROUND(SUMIFS(OPmontant,OPdevise,N$30,OPcatégorie,"*titres"),0)</f>
        <v/>
      </c>
      <c r="O39" s="569">
        <f>ROUND(SUMIFS(OPmontant,OPdevise,O$30,OPcatégorie,"*titres"),0)</f>
        <v/>
      </c>
      <c r="P39" s="570">
        <f>ROUND(SUMIFS(OPmontant,OPdevise,P$30,OPcatégorie,"*titres"),0)</f>
        <v/>
      </c>
      <c r="Q39" s="571">
        <f>ROUND(SUMIFS(OPmontant,OPdevise,Q$30,OPcatégorie,"*titres"),0)</f>
        <v/>
      </c>
      <c r="R39" s="572">
        <f>ROUND(SUMIFS(OPmontant,OPdevise,R$30,OPcatégorie,"*titres"),0)</f>
        <v/>
      </c>
      <c r="S39" s="573">
        <f>ROUND(SUMIFS(OPmontant,OPdevise,S$30,OPcatégorie,"*titres"),0)</f>
        <v/>
      </c>
      <c r="T39" s="574">
        <f>ROUND(SUMIFS(OPmontant,OPdevise,T$30,OPcatégorie,"*titres"),0)</f>
        <v/>
      </c>
    </row>
    <row r="40" ht="16.5" customHeight="1" s="304">
      <c r="J40" s="583" t="inlineStr">
        <is>
          <t>€</t>
        </is>
      </c>
      <c r="K40" s="320" t="n"/>
      <c r="L40" s="430">
        <f>SUM(M40:T40)</f>
        <v/>
      </c>
      <c r="M40" s="430">
        <f>ROUND(SUMIFS(OPmontant,OPdevise,M$30,OPcatégorie,"*titres"),0)</f>
        <v/>
      </c>
      <c r="N40" s="584">
        <f>ROUND(SUMIFS(OPmontant,OPdevise,N$30,OPcatégorie,"*titres"),0)*N$31</f>
        <v/>
      </c>
      <c r="O40" s="584">
        <f>ROUND(SUMIFS(OPmontant,OPdevise,O$30,OPcatégorie,"*titres"),0)*O$31</f>
        <v/>
      </c>
      <c r="P40" s="517">
        <f>ROUND(SUMIFS(OPmontant,OPdevise,P$30,OPcatégorie,"*titres"),0)*P$31</f>
        <v/>
      </c>
      <c r="Q40" s="517">
        <f>ROUND(SUMIFS(OPmontant,OPdevise,Q$30,OPcatégorie,"*titres"),0)*Q$31</f>
        <v/>
      </c>
      <c r="R40" s="517">
        <f>ROUND(SUMIFS(OPmontant,OPdevise,R$30,OPcatégorie,"*titres"),0)*R$31</f>
        <v/>
      </c>
      <c r="S40" s="517">
        <f>ROUND(SUMIFS(OPmontant,OPdevise,S$30,OPcatégorie,"*titres"),0)*S$31</f>
        <v/>
      </c>
      <c r="T40" s="517">
        <f>ROUND(SUMIFS(OPmontant,OPdevise,T$30,OPcatégorie,"*titres"),0)*T$31</f>
        <v/>
      </c>
    </row>
    <row r="41" ht="16.5" customHeight="1" s="304">
      <c r="J41" s="575" t="inlineStr">
        <is>
          <t>Changes Eq €</t>
        </is>
      </c>
      <c r="K41" s="320" t="n"/>
      <c r="L41" s="430">
        <f>SUMIFS(OPequiv_euro,OPcatégorie,"Change") + SUMIFS(OPequiv_euro,OPcatégorie,"Achat métaux")</f>
        <v/>
      </c>
      <c r="M41" s="430">
        <f>SUMIFS(OPequiv_euro,OPdevise,M$30,OPcatégorie,"Change")+SUMIFS(OPequiv_euro,OPdevise,M$30,OPcatégorie,"Achat métaux")</f>
        <v/>
      </c>
      <c r="N41" s="584">
        <f>SUMIFS(OPequiv_euro,OPdevise,N$30,OPcatégorie,"Change")+SUMIFS(OPequiv_euro,OPdevise,N$30,OPcatégorie,"Achat métaux")</f>
        <v/>
      </c>
      <c r="O41" s="584">
        <f>SUMIFS(OPequiv_euro,OPdevise,O$30,OPcatégorie,"Change")+SUMIFS(OPequiv_euro,OPdevise,O$30,OPcatégorie,"Achat métaux")</f>
        <v/>
      </c>
      <c r="P41" s="517">
        <f>SUMIFS(OPequiv_euro,OPdevise,P$30,OPcatégorie,"Change")+SUMIFS(OPequiv_euro,OPdevise,P$30,OPcatégorie,"Achat métaux")</f>
        <v/>
      </c>
      <c r="Q41" s="517">
        <f>SUMIFS(OPequiv_euro,OPdevise,Q$30,OPcatégorie,"Change")+SUMIFS(OPequiv_euro,OPdevise,Q$30,OPcatégorie,"Achat métaux")</f>
        <v/>
      </c>
      <c r="R41" s="517">
        <f>SUMIFS(OPequiv_euro,OPdevise,R$30,OPcatégorie,"Change")+SUMIFS(OPequiv_euro,OPdevise,R$30,OPcatégorie,"Achat métaux")</f>
        <v/>
      </c>
      <c r="S41" s="517">
        <f>SUMIFS(OPequiv_euro,OPdevise,S$30,OPcatégorie,"Change")+SUMIFS(OPequiv_euro,OPdevise,S$30,OPcatégorie,"Achat métaux")</f>
        <v/>
      </c>
      <c r="T41" s="517">
        <f>SUMIFS(OPequiv_euro,OPdevise,T$30,OPcatégorie,"Change")+SUMIFS(OPequiv_euro,OPdevise,T$30,OPcatégorie,"Achat métaux")</f>
        <v/>
      </c>
    </row>
    <row r="42" ht="16.5" customHeight="1" s="304">
      <c r="J42" s="585" t="inlineStr">
        <is>
          <t>Total €</t>
        </is>
      </c>
      <c r="K42" s="320" t="n"/>
      <c r="L42" s="586">
        <f>L38+L40+L41</f>
        <v/>
      </c>
      <c r="M42" s="430">
        <f>M38+M40+M41</f>
        <v/>
      </c>
      <c r="N42" s="584">
        <f>N38+N40+N41</f>
        <v/>
      </c>
      <c r="O42" s="584">
        <f>O38+O40+O41</f>
        <v/>
      </c>
      <c r="P42" s="517">
        <f>P38+P40+P41</f>
        <v/>
      </c>
      <c r="Q42" s="517">
        <f>Q38+Q40+Q41</f>
        <v/>
      </c>
      <c r="R42" s="517">
        <f>R38+R40+R41</f>
        <v/>
      </c>
      <c r="S42" s="517">
        <f>S38+S40+S41</f>
        <v/>
      </c>
      <c r="T42" s="517">
        <f>T38+T40+T41</f>
        <v/>
      </c>
    </row>
    <row r="43" ht="16.5" customHeight="1" s="304">
      <c r="J43" s="556" t="n"/>
      <c r="K43" s="567">
        <f>IF(L43=0,"✓","✗")</f>
        <v/>
      </c>
      <c r="L43" s="430" t="n"/>
      <c r="M43" s="430" t="n"/>
      <c r="N43" s="587" t="n"/>
      <c r="O43" s="587" t="n"/>
      <c r="P43" s="430" t="n"/>
      <c r="Q43" s="430" t="n"/>
      <c r="R43" s="430" t="n"/>
      <c r="S43" s="430" t="n"/>
      <c r="T43" s="430" t="n"/>
    </row>
    <row r="44" ht="16.5" customHeight="1" s="304">
      <c r="J44" s="556" t="inlineStr">
        <is>
          <t>INCONNUS (Comptes)</t>
        </is>
      </c>
      <c r="K44" s="567">
        <f>IF(L44=0,"✓","✗")</f>
        <v/>
      </c>
      <c r="L44" s="564">
        <f>SUMPRODUCT((COUNTIF(AVRintitulé,OPcompte)=0)*(OPcompte&lt;&gt;""))</f>
        <v/>
      </c>
      <c r="M44" s="430" t="n"/>
      <c r="N44" s="587" t="n"/>
      <c r="O44" s="587" t="n"/>
      <c r="P44" s="430" t="n"/>
      <c r="Q44" s="430" t="n"/>
      <c r="R44" s="430" t="n"/>
      <c r="S44" s="430" t="n"/>
      <c r="T44" s="430" t="n"/>
    </row>
    <row r="45" ht="17.25" customHeight="1" s="304">
      <c r="J45" s="380" t="inlineStr">
        <is>
          <t>Synthèse des contrôles</t>
        </is>
      </c>
      <c r="K45" s="383">
        <f>IF(K32&amp;K33&amp;K34&amp;$K35&amp;$K36&amp;$K44="✓✓✓✓✓✓","✓",$K32&amp;$K33&amp;K34&amp;$K35&amp;$K36&amp;$K44)</f>
        <v/>
      </c>
      <c r="L45" s="380" t="n"/>
      <c r="M45" s="380" t="n"/>
      <c r="N45" s="381" t="n"/>
      <c r="O45" s="381" t="n"/>
      <c r="P45" s="380" t="n"/>
      <c r="Q45" s="380" t="n"/>
      <c r="R45" s="380" t="n"/>
      <c r="S45" s="380" t="n"/>
      <c r="T45" s="380" t="n"/>
    </row>
    <row r="1048537" ht="12.75" customHeight="1" s="304"/>
    <row r="1048538" ht="12.75" customHeight="1" s="304"/>
    <row r="1048539" ht="12.75" customHeight="1" s="304"/>
    <row r="1048540" ht="12.75" customHeight="1" s="304"/>
    <row r="1048541" ht="12.75" customHeight="1" s="304"/>
    <row r="1048542" ht="12.75" customHeight="1" s="304"/>
    <row r="1048543" ht="12.75" customHeight="1" s="304"/>
    <row r="1048544" ht="12.75" customHeight="1" s="304"/>
    <row r="1048545" ht="12.75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3"/>
    <col width="14.47" customWidth="1" style="386" min="4" max="4"/>
    <col width="9" customWidth="1" style="498" min="5" max="5"/>
    <col width="14.47" customWidth="1" style="386" min="6" max="6"/>
    <col width="15.33" customWidth="1" style="386" min="7" max="7"/>
    <col width="17.52" customWidth="1" style="386" min="8" max="8"/>
    <col width="9.83" customWidth="1" style="346" min="9" max="9"/>
    <col width="9.52" customWidth="1" style="346" min="10" max="10"/>
    <col width="3.5" customWidth="1" style="346" min="11" max="11"/>
    <col width="16.15" customWidth="1" style="346" min="12" max="12"/>
    <col width="13.16" customWidth="1" style="346" min="13" max="16383"/>
    <col width="11.5" customWidth="1" style="303" min="16384" max="16384"/>
  </cols>
  <sheetData>
    <row r="1" ht="16.5" customHeight="1" s="304">
      <c r="A1" s="499">
        <f>Contrôles!$K$45</f>
        <v/>
      </c>
      <c r="B1" s="500" t="n"/>
      <c r="C1" s="500" t="n"/>
      <c r="D1" s="500" t="n"/>
      <c r="E1" s="500" t="n"/>
      <c r="F1" s="500">
        <f>année_courante</f>
        <v/>
      </c>
      <c r="G1" s="500" t="n"/>
      <c r="H1" s="316" t="n"/>
    </row>
    <row r="2" ht="21" customHeight="1" s="304">
      <c r="A2" s="588" t="inlineStr">
        <is>
          <t>Devise / unité</t>
        </is>
      </c>
      <c r="B2" s="588" t="inlineStr">
        <is>
          <t>Nature</t>
        </is>
      </c>
      <c r="C2" s="588" t="inlineStr">
        <is>
          <t>Famille</t>
        </is>
      </c>
      <c r="D2" s="588" t="inlineStr">
        <is>
          <t>Décimales</t>
        </is>
      </c>
      <c r="E2" s="589" t="inlineStr">
        <is>
          <t xml:space="preserve">Code </t>
        </is>
      </c>
      <c r="F2" s="362" t="inlineStr">
        <is>
          <t>Cours en Euro</t>
        </is>
      </c>
      <c r="G2" s="362" t="inlineStr">
        <is>
          <t>Date</t>
        </is>
      </c>
      <c r="H2" s="362" t="inlineStr">
        <is>
          <t>Cours de l’Euro</t>
        </is>
      </c>
    </row>
    <row r="3" ht="14.25" customHeight="1" s="304">
      <c r="A3" s="590" t="inlineStr">
        <is>
          <t>✓</t>
        </is>
      </c>
      <c r="B3" s="590" t="n"/>
      <c r="C3" s="590" t="n"/>
      <c r="D3" s="590" t="n"/>
      <c r="E3" s="320" t="n"/>
      <c r="F3" s="322" t="n"/>
      <c r="G3" s="322" t="n"/>
      <c r="H3" s="322" t="n"/>
    </row>
    <row r="4" ht="16.5" customHeight="1" s="304">
      <c r="A4" s="590" t="inlineStr">
        <is>
          <t>Euro</t>
        </is>
      </c>
      <c r="B4" s="590" t="inlineStr">
        <is>
          <t>primaire</t>
        </is>
      </c>
      <c r="C4" s="590" t="inlineStr">
        <is>
          <t>fiat</t>
        </is>
      </c>
      <c r="D4" s="590" t="n">
        <v>2</v>
      </c>
      <c r="E4" s="591" t="inlineStr">
        <is>
          <t>EUR</t>
        </is>
      </c>
      <c r="F4" s="592" t="n">
        <v>1</v>
      </c>
      <c r="G4" s="592" t="n"/>
      <c r="H4" s="593" t="n"/>
    </row>
    <row r="5" ht="16.5" customHeight="1" s="304">
      <c r="A5" s="590" t="inlineStr">
        <is>
          <t>Gramme d'or Spot</t>
        </is>
      </c>
      <c r="B5" s="590" t="inlineStr">
        <is>
          <t>primaire</t>
        </is>
      </c>
      <c r="C5" s="590" t="inlineStr">
        <is>
          <t>metal</t>
        </is>
      </c>
      <c r="D5" s="590" t="n">
        <v>2</v>
      </c>
      <c r="E5" s="591" t="inlineStr">
        <is>
          <t>XAU</t>
        </is>
      </c>
      <c r="F5" s="592" t="n">
        <v>144.12</v>
      </c>
      <c r="G5" s="594" t="inlineStr">
        <is>
          <t>17/04/2026</t>
        </is>
      </c>
      <c r="H5" s="593">
        <f>1/F5</f>
        <v/>
      </c>
    </row>
    <row r="6" ht="16.5" customHeight="1" s="304">
      <c r="A6" s="590" t="inlineStr">
        <is>
          <t>Gramme d'or Premium (pièces)</t>
        </is>
      </c>
      <c r="B6" s="590" t="inlineStr">
        <is>
          <t>dérivée</t>
        </is>
      </c>
      <c r="C6" s="590" t="inlineStr">
        <is>
          <t>metal</t>
        </is>
      </c>
      <c r="D6" s="590" t="n">
        <v>5</v>
      </c>
      <c r="E6" s="591" t="inlineStr">
        <is>
          <t>OrPr</t>
        </is>
      </c>
      <c r="F6" s="595">
        <f>F$5*1.043</f>
        <v/>
      </c>
      <c r="G6" s="594" t="n"/>
      <c r="H6" s="593">
        <f>1/F6</f>
        <v/>
      </c>
    </row>
    <row r="7" ht="16.5" customHeight="1" s="304">
      <c r="A7" s="590" t="inlineStr">
        <is>
          <t>Bitcoin</t>
        </is>
      </c>
      <c r="B7" s="590" t="inlineStr">
        <is>
          <t>primaire</t>
        </is>
      </c>
      <c r="C7" s="590" t="inlineStr">
        <is>
          <t>crypto</t>
        </is>
      </c>
      <c r="D7" s="590" t="n">
        <v>2</v>
      </c>
      <c r="E7" s="591" t="inlineStr">
        <is>
          <t>BTC</t>
        </is>
      </c>
      <c r="F7" s="592" t="n">
        <v>61009</v>
      </c>
      <c r="G7" s="594" t="inlineStr">
        <is>
          <t>17/04/2026</t>
        </is>
      </c>
      <c r="H7" s="593">
        <f>1/F7</f>
        <v/>
      </c>
    </row>
    <row r="8" ht="16.5" customHeight="1" s="304">
      <c r="A8" s="590" t="inlineStr">
        <is>
          <t>Satoshi (1 / 100 000 000 Bitcoin)</t>
        </is>
      </c>
      <c r="B8" s="590" t="inlineStr">
        <is>
          <t>dérivée</t>
        </is>
      </c>
      <c r="C8" s="590" t="inlineStr">
        <is>
          <t>crypto</t>
        </is>
      </c>
      <c r="D8" s="590" t="n">
        <v>0</v>
      </c>
      <c r="E8" s="591" t="inlineStr">
        <is>
          <t>SAT</t>
        </is>
      </c>
      <c r="F8" s="595">
        <f>F$7/100000000</f>
        <v/>
      </c>
      <c r="G8" s="594" t="n"/>
      <c r="H8" s="593">
        <f>1/F8</f>
        <v/>
      </c>
    </row>
    <row r="9" ht="16.5" customHeight="1" s="304">
      <c r="A9" s="590" t="inlineStr">
        <is>
          <t>Monero</t>
        </is>
      </c>
      <c r="B9" s="590" t="inlineStr">
        <is>
          <t>primaire</t>
        </is>
      </c>
      <c r="C9" s="590" t="inlineStr">
        <is>
          <t>crypto</t>
        </is>
      </c>
      <c r="D9" s="590" t="n">
        <v>5</v>
      </c>
      <c r="E9" s="591" t="inlineStr">
        <is>
          <t>XMR</t>
        </is>
      </c>
      <c r="F9" s="595" t="n">
        <v>305.02</v>
      </c>
      <c r="G9" s="594" t="inlineStr">
        <is>
          <t>17/04/2026</t>
        </is>
      </c>
      <c r="H9" s="593">
        <f>1/F9</f>
        <v/>
      </c>
    </row>
    <row r="10" ht="16.5" customHeight="1" s="304">
      <c r="A10" s="590" t="inlineStr">
        <is>
          <t>Dollar US</t>
        </is>
      </c>
      <c r="B10" s="590" t="inlineStr">
        <is>
          <t>primaire</t>
        </is>
      </c>
      <c r="C10" s="590" t="inlineStr">
        <is>
          <t>fiat</t>
        </is>
      </c>
      <c r="D10" s="590" t="n">
        <v>2</v>
      </c>
      <c r="E10" s="591" t="inlineStr">
        <is>
          <t>USD</t>
        </is>
      </c>
      <c r="F10" s="592" t="n">
        <v>0.8635</v>
      </c>
      <c r="G10" s="594" t="inlineStr">
        <is>
          <t>17/04/2026</t>
        </is>
      </c>
      <c r="H10" s="593">
        <f>1/F10</f>
        <v/>
      </c>
    </row>
    <row r="11" ht="16.5" customHeight="1" s="304">
      <c r="A11" s="590" t="inlineStr">
        <is>
          <t>Dollar Singapour</t>
        </is>
      </c>
      <c r="B11" s="590" t="inlineStr">
        <is>
          <t>primaire</t>
        </is>
      </c>
      <c r="C11" s="590" t="inlineStr">
        <is>
          <t>fiat</t>
        </is>
      </c>
      <c r="D11" s="590" t="n">
        <v>2</v>
      </c>
      <c r="E11" s="591" t="inlineStr">
        <is>
          <t>SGD</t>
        </is>
      </c>
      <c r="F11" s="592" t="n">
        <v>0.6776</v>
      </c>
      <c r="G11" s="594" t="inlineStr">
        <is>
          <t>17/04/2026</t>
        </is>
      </c>
      <c r="H11" s="593">
        <f>1/F11</f>
        <v/>
      </c>
    </row>
    <row r="12" ht="16.5" customHeight="1" s="304">
      <c r="A12" s="590" t="inlineStr">
        <is>
          <t>✓</t>
        </is>
      </c>
      <c r="B12" s="590" t="n"/>
      <c r="C12" s="590" t="n"/>
      <c r="D12" s="590" t="n"/>
      <c r="E12" s="320" t="n"/>
      <c r="F12" s="322" t="n"/>
      <c r="G12" s="322" t="n"/>
      <c r="H12" s="322" t="n"/>
    </row>
    <row r="13" ht="15" customHeight="1" s="304">
      <c r="A13" s="588" t="n"/>
      <c r="B13" s="588" t="n"/>
      <c r="C13" s="588" t="n"/>
      <c r="D13" s="588" t="n"/>
      <c r="E13" s="589" t="n"/>
      <c r="F13" s="362" t="n"/>
      <c r="G13" s="362" t="n"/>
      <c r="H13" s="362" t="n"/>
    </row>
    <row r="14" ht="18" customHeight="1" s="304">
      <c r="F14" s="596" t="n"/>
      <c r="G14" s="596" t="n"/>
    </row>
    <row r="15" ht="18" customHeight="1" s="304">
      <c r="F15" s="596" t="n"/>
      <c r="G15" s="596" t="n"/>
    </row>
    <row r="16" ht="18" customHeight="1" s="304">
      <c r="F16" s="596" t="n"/>
      <c r="G16" s="596" t="n"/>
    </row>
    <row r="17" ht="18" customHeight="1" s="304">
      <c r="F17" s="596" t="n"/>
      <c r="G17" s="596" t="n"/>
    </row>
    <row r="18" ht="18" customHeight="1" s="304">
      <c r="F18" s="596" t="n"/>
      <c r="G18" s="596" t="n"/>
    </row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75" customHeight="1" s="304"/>
    <row r="1048570" ht="12.75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2026-04-18T10:49:35Z</dcterms:modified>
  <cp:revision>933</cp:revision>
</cp:coreProperties>
</file>