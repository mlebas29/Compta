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END_AVR" vbProcedure="false">Avoirs!$A$5</definedName>
    <definedName function="false" hidden="false" name="END_CAT" vbProcedure="false">Budget!$E$35</definedName>
    <definedName function="false" hidden="false" name="END_COT" vbProcedure="false">Cotations!$A$4</definedName>
    <definedName function="false" hidden="false" name="END_CTRL1" vbProcedure="false">Contrôles!$A$4</definedName>
    <definedName function="false" hidden="false" name="END_CTRL2" vbProcedure="false">Contrôles!$P$21</definedName>
    <definedName function="false" hidden="false" name="END_PAT" vbProcedure="false">Patrimoine!$B$30</definedName>
    <definedName function="false" hidden="false" name="END_POSTES" vbProcedure="false">Budget!$A$10</definedName>
    <definedName function="false" hidden="false" name="END_PVL" vbProcedure="false">Plus_value!$B$12</definedName>
    <definedName function="false" hidden="false" name="OPcatégorie" vbProcedure="false">Opérations!$G$4:$G$6004</definedName>
    <definedName function="false" hidden="false" name="OPcompte" vbProcedure="false">Opérations!$H$4:$H$6004</definedName>
    <definedName function="false" hidden="false" name="OPdate" vbProcedure="false">Opérations!$A$4:$A$6004</definedName>
    <definedName function="false" hidden="false" name="OPdevise" vbProcedure="false">Opérations!$D$4:$D$6004</definedName>
    <definedName function="false" hidden="false" name="OPequiv_euro" vbProcedure="false">Opérations!$E$4:$E$6004</definedName>
    <definedName function="false" hidden="false" name="OPlibellé" vbProcedure="false">Opérations!$B$4:$B$6004</definedName>
    <definedName function="false" hidden="false" name="OPmontant" vbProcedure="false">Opérations!$C$4:$C$6004</definedName>
    <definedName function="false" hidden="false" name="OPréf" vbProcedure="false">Opérations!$F$4:$F$6004</definedName>
    <definedName function="false" hidden="false" name="PVLcompte" vbProcedure="false">Plus_value!$B$6:$B$12</definedName>
    <definedName function="false" hidden="false" name="PVLdate" vbProcedure="false">Plus_value!$J$6:$J$12</definedName>
    <definedName function="false" hidden="false" name="PVLmontant" vbProcedure="false">Plus_value!$K$6:$K$12</definedName>
    <definedName function="false" hidden="false" name="PVLtitre" vbProcedure="false">Plus_value!$C$6:$C$12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Budget!$E$19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<sst xmlns="http://schemas.openxmlformats.org/spreadsheetml/2006/main" count="195" uniqueCount="143">
  <si>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</si>
  <si>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</si>
  <si>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</si>
  <si>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</si>
  <si>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</si>
  <si>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</si>
  <si>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</si>
  <si>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</si>
  <si>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</si>
  <si>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</si>
  <si>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</si>
  <si>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Dettes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</si>
  <si>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</si>
  <si>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</si>
  <si>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</si>
  <si>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</si>
  <si>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</si>
  <si>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</si>
  <si>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</si>
  <si>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</si>
  <si>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</si>
  <si>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</si>
  <si>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</si>
  <si>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✓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</si>
  <si>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</si>
  <si>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</si>
  <si>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</si>
  <si>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</si>
  <si>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</si>
  <si>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</si>
  <si>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</si>
  <si>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</si>
  <si>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donnée</t>
  </si>
  <si>
    <t xml:space="preserve">Antériorité</t>
  </si>
  <si>
    <t xml:space="preserve">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</si>
  <si>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</si>
  <si>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</si>
  <si>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</si>
  <si>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</si>
  <si>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</si>
  <si>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</si>
  <si>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</si>
  <si>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</si>
  <si>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</si>
  <si>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</si>
  <si>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</si>
  <si>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</si>
  <si>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Total</t>
  </si>
  <si>
    <t xml:space="preserve">Dépenses et revenus</t>
  </si>
  <si>
    <t xml:space="preserve">Année glissante</t>
  </si>
  <si>
    <t xml:space="preserve">Maison</t>
  </si>
  <si>
    <t xml:space="preserve">Fixe</t>
  </si>
  <si>
    <t xml:space="preserve">Santé</t>
  </si>
  <si>
    <t xml:space="preserve">Loisirs et restaurant</t>
  </si>
  <si>
    <t xml:space="preserve">Divers</t>
  </si>
  <si>
    <t xml:space="preserve">Produits financiers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</si>
  <si>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</si>
  <si>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</si>
  <si>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</si>
  <si>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</si>
  <si>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</si>
  <si>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 de débit et crédit sur année glissante</t>
  </si>
  <si>
    <t xml:space="preserve">EUR</t>
  </si>
  <si>
    <t xml:space="preserve">Équivalent € au cours du jour</t>
  </si>
  <si>
    <t xml:space="preserve">Affectation %</t>
  </si>
  <si>
    <t xml:space="preserve">Affectation</t>
  </si>
  <si>
    <t xml:space="preserve">START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</si>
  <si>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</si>
  <si>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</si>
  <si>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</si>
  <si>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</si>
  <si>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</si>
  <si>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</si>
  <si>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</si>
  <si>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</si>
  <si>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</si>
  <si>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</si>
  <si>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</si>
  <si>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</si>
  <si>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-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</si>
  <si>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</si>
  <si>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</si>
  <si>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</si>
  <si>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</si>
  <si>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</si>
  <si>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</si>
  <si>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</si>
  <si>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</si>
  <si>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</si>
  <si>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</si>
  <si>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</si>
  <si>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</si>
  <si>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</si>
  <si>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</si>
  <si>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</si>
  <si>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</si>
  <si>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</si>
  <si>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</si>
  <si>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</si>
  <si>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</si>
  <si>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</si>
  <si>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</si>
  <si>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</si>
  <si>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</si>
  <si>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</si>
  <si>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</si>
  <si>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</si>
  <si>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</si>
  <si>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</si>
  <si>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</si>
  <si>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</si>
  <si>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</si>
  <si>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</si>
  <si>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</si>
  <si>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</si>
  <si>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</si>
  <si>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</si>
  <si>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</si>
  <si>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</si>
  <si>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</si>
  <si>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</si>
  <si>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</si>
  <si>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Erreurs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</si>
  <si>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</si>
  <si>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</si>
  <si>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</si>
  <si>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</si>
  <si>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</si>
  <si>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</si>
  <si>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</si>
  <si>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</si>
  <si>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</si>
  <si>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</si>
  <si>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</si>
  <si>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</si>
  <si>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</si>
  <si>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</si>
  <si>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</si>
  <si>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</si>
  <si>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Code </t>
  </si>
  <si>
    <t xml:space="preserve">Cours en Euro</t>
  </si>
  <si>
    <t xml:space="preserve">Cours de l’Euro</t>
  </si>
  <si>
    <t xml:space="preserve">primaire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</si>
</sst>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6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/>
      <top style="hair"/>
      <bottom style="hair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7F7F7F"/>
      </top>
      <bottom style="hair"/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hair"/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3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5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1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3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5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1" fontId="16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2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5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00CCFF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FFCCCC"/>
      <rgbColor rgb="FF7F7F7F"/>
      <rgbColor rgb="FF003366"/>
      <rgbColor rgb="FFF8D2E0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Contrôles!N$22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Plus_value!F13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G5" s="18"/>
    </row>
    <row r="6" customFormat="false" ht="16.5" hidden="false" customHeight="true" outlineLevel="0" collapsed="false">
      <c r="B6" s="19" t="s">
        <v>5</v>
      </c>
      <c r="C6" s="20" t="n">
        <f aca="false">COUNTIF(AVRtype,$B6)</f>
        <v>0</v>
      </c>
      <c r="D6" s="21" t="n">
        <f aca="false">SUMIF(AVRtype,$B6,AVRmontant_solde_euro)</f>
        <v>0</v>
      </c>
      <c r="E6" s="22" t="e">
        <f aca="false">D6/D$13</f>
        <v>#DIV/0!</v>
      </c>
      <c r="G6" s="18"/>
    </row>
    <row r="7" customFormat="false" ht="16.5" hidden="false" customHeight="true" outlineLevel="0" collapsed="false">
      <c r="B7" s="19" t="s">
        <v>6</v>
      </c>
      <c r="C7" s="20" t="n">
        <f aca="false">COUNTIF(AVRtype,$B7)</f>
        <v>0</v>
      </c>
      <c r="D7" s="21" t="n">
        <f aca="false">SUMIF(AVRtype,$B7,AVRmontant_solde_euro)</f>
        <v>0</v>
      </c>
      <c r="E7" s="22" t="e">
        <f aca="false">D7/D$13</f>
        <v>#DIV/0!</v>
      </c>
    </row>
    <row r="8" customFormat="false" ht="16.5" hidden="false" customHeight="true" outlineLevel="0" collapsed="false">
      <c r="B8" s="19" t="s">
        <v>7</v>
      </c>
      <c r="C8" s="20" t="n">
        <f aca="false">COUNTIF(AVRtype,$B8)</f>
        <v>0</v>
      </c>
      <c r="D8" s="21" t="n">
        <f aca="false">SUMIF(AVRtype,$B8,AVRmontant_solde_euro)</f>
        <v>0</v>
      </c>
      <c r="E8" s="22" t="e">
        <f aca="false">D8/D$13</f>
        <v>#DIV/0!</v>
      </c>
    </row>
    <row r="9" customFormat="false" ht="16.5" hidden="false" customHeight="true" outlineLevel="0" collapsed="false">
      <c r="B9" s="19" t="s">
        <v>8</v>
      </c>
      <c r="C9" s="20" t="n">
        <f aca="false">COUNTIF(AVRtype,$B9)</f>
        <v>0</v>
      </c>
      <c r="D9" s="21" t="n">
        <f aca="false">SUMIF(AVRtype,$B9,AVRmontant_solde_euro)</f>
        <v>0</v>
      </c>
      <c r="E9" s="22" t="e">
        <f aca="false">D9/D$13</f>
        <v>#DIV/0!</v>
      </c>
    </row>
    <row r="10" customFormat="false" ht="16.5" hidden="false" customHeight="true" outlineLevel="0" collapsed="false">
      <c r="B10" s="19" t="s">
        <v>9</v>
      </c>
      <c r="C10" s="20" t="n">
        <f aca="false">COUNTIF(AVRtype,$B10)</f>
        <v>0</v>
      </c>
      <c r="D10" s="21" t="n">
        <f aca="false">SUMIF(AVRtype,$B10,AVRmontant_solde_euro)</f>
        <v>0</v>
      </c>
      <c r="E10" s="22" t="e">
        <f aca="false">D10/D$13</f>
        <v>#DIV/0!</v>
      </c>
    </row>
    <row r="11" customFormat="false" ht="16.5" hidden="false" customHeight="true" outlineLevel="0" collapsed="false">
      <c r="B11" s="19" t="s">
        <v>10</v>
      </c>
      <c r="C11" s="20" t="n">
        <f aca="false">COUNTIF(AVRtype,$B11)</f>
        <v>0</v>
      </c>
      <c r="D11" s="21" t="n">
        <f aca="false">SUMIF(AVRtype,$B11,AVRmontant_solde_euro)</f>
        <v>0</v>
      </c>
      <c r="E11" s="22" t="e">
        <f aca="false">D11/D$13</f>
        <v>#DIV/0!</v>
      </c>
      <c r="G11" s="18"/>
    </row>
    <row r="12" customFormat="false" ht="16.5" hidden="false" customHeight="true" outlineLevel="0" collapsed="false">
      <c r="B12" s="19" t="s">
        <v>11</v>
      </c>
      <c r="C12" s="20" t="n">
        <f aca="false">COUNTIF(AVRtype,$B12)</f>
        <v>0</v>
      </c>
      <c r="D12" s="21" t="n">
        <f aca="false">SUMIF(AVRtype,$B12,AVRmontant_solde_euro)</f>
        <v>0</v>
      </c>
      <c r="E12" s="22" t="e">
        <f aca="false">D12/D$13</f>
        <v>#DIV/0!</v>
      </c>
      <c r="G12" s="18"/>
    </row>
    <row r="13" customFormat="false" ht="16.5" hidden="false" customHeight="true" outlineLevel="0" collapsed="false">
      <c r="B13" s="23" t="s">
        <v>3</v>
      </c>
      <c r="C13" s="20" t="n">
        <f aca="false">SUM(C6:C12)</f>
        <v>0</v>
      </c>
      <c r="D13" s="24" t="n">
        <f aca="false">ROUND(SUM(D6:D12),2)</f>
        <v>0</v>
      </c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9" t="s">
        <v>13</v>
      </c>
      <c r="C15" s="20" t="n">
        <f aca="false">COUNTIF(AVRsous_type,$B15)</f>
        <v>0</v>
      </c>
      <c r="D15" s="21" t="n">
        <f aca="false">SUMIF(AVRsous_type,B15,AVRmontant_solde_euro)</f>
        <v>0</v>
      </c>
      <c r="E15" s="22" t="e">
        <f aca="false">D15/D$20</f>
        <v>#DIV/0!</v>
      </c>
      <c r="G15" s="18"/>
    </row>
    <row r="16" customFormat="false" ht="16.5" hidden="false" customHeight="true" outlineLevel="0" collapsed="false">
      <c r="B16" s="19" t="s">
        <v>14</v>
      </c>
      <c r="C16" s="20" t="n">
        <f aca="false">COUNTIF(AVRsous_type,$B16)</f>
        <v>0</v>
      </c>
      <c r="D16" s="21" t="n">
        <f aca="false">SUMIF(AVRsous_type,B16,AVRmontant_solde_euro)</f>
        <v>0</v>
      </c>
      <c r="E16" s="22" t="e">
        <f aca="false">D16/D$20</f>
        <v>#DIV/0!</v>
      </c>
    </row>
    <row r="17" customFormat="false" ht="16.5" hidden="false" customHeight="true" outlineLevel="0" collapsed="false">
      <c r="B17" s="19" t="s">
        <v>15</v>
      </c>
      <c r="C17" s="20" t="n">
        <f aca="false">COUNTIF(AVRsous_type,$B17)</f>
        <v>0</v>
      </c>
      <c r="D17" s="21" t="n">
        <f aca="false">SUMIF(AVRsous_type,B17,AVRmontant_solde_euro)</f>
        <v>0</v>
      </c>
      <c r="E17" s="22" t="e">
        <f aca="false">D17/D$20</f>
        <v>#DIV/0!</v>
      </c>
    </row>
    <row r="18" customFormat="false" ht="16.5" hidden="false" customHeight="true" outlineLevel="0" collapsed="false">
      <c r="B18" s="19" t="s">
        <v>16</v>
      </c>
      <c r="C18" s="20" t="n">
        <f aca="false">COUNTIF(AVRsous_type,$B18)</f>
        <v>0</v>
      </c>
      <c r="D18" s="21" t="n">
        <f aca="false">SUMIF(AVRsous_type,B18,AVRmontant_solde_euro)</f>
        <v>0</v>
      </c>
      <c r="E18" s="22" t="e">
        <f aca="false">D18/D$20</f>
        <v>#DIV/0!</v>
      </c>
    </row>
    <row r="19" customFormat="false" ht="16.5" hidden="false" customHeight="true" outlineLevel="0" collapsed="false">
      <c r="B19" s="19"/>
      <c r="C19" s="20"/>
      <c r="D19" s="21"/>
      <c r="E19" s="22"/>
    </row>
    <row r="20" customFormat="false" ht="16.5" hidden="false" customHeight="true" outlineLevel="0" collapsed="false">
      <c r="B20" s="23" t="s">
        <v>3</v>
      </c>
      <c r="C20" s="20" t="n">
        <f aca="false">SUM(C15:C19)</f>
        <v>0</v>
      </c>
      <c r="D20" s="24" t="n">
        <f aca="false">ROUND(SUM(D15:D19),2)</f>
        <v>0</v>
      </c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/>
      <c r="C22" s="20"/>
      <c r="D22" s="21"/>
      <c r="E22" s="22"/>
      <c r="G22" s="18"/>
    </row>
    <row r="23" customFormat="false" ht="16.5" hidden="false" customHeight="true" outlineLevel="0" collapsed="false">
      <c r="B23" s="23" t="s">
        <v>3</v>
      </c>
      <c r="C23" s="20" t="n">
        <f aca="false">SUM(C22)</f>
        <v>0</v>
      </c>
      <c r="D23" s="24" t="n">
        <f aca="false">ROUND(SUM(D22),2)</f>
        <v>0</v>
      </c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9"/>
      <c r="C25" s="20"/>
      <c r="D25" s="30"/>
      <c r="E25" s="22"/>
    </row>
    <row r="26" customFormat="false" ht="16.5" hidden="false" customHeight="true" outlineLevel="0" collapsed="false">
      <c r="B26" s="23" t="s">
        <v>3</v>
      </c>
      <c r="C26" s="20" t="n">
        <f aca="false">SUM(C25)</f>
        <v>0</v>
      </c>
      <c r="D26" s="24" t="n">
        <f aca="false">ROUND(SUM(D25),2)</f>
        <v>0</v>
      </c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9" t="s">
        <v>20</v>
      </c>
      <c r="C28" s="20" t="n">
        <f aca="false">COUNTIF(AVRpropriete,$B28)</f>
        <v>0</v>
      </c>
      <c r="D28" s="21" t="n">
        <f aca="false">SUMIF(AVRpropriete,B28,AVRmontant_solde_euro)</f>
        <v>0</v>
      </c>
      <c r="E28" s="22" t="e">
        <f aca="false">D28/D$30</f>
        <v>#DIV/0!</v>
      </c>
      <c r="G28" s="18"/>
    </row>
    <row r="29" customFormat="false" ht="13.5" hidden="false" customHeight="true" outlineLevel="0" collapsed="false">
      <c r="B29" s="19" t="s">
        <v>21</v>
      </c>
      <c r="C29" s="20" t="n">
        <f aca="false">COUNTIF(AVRpropriete,$B29)</f>
        <v>0</v>
      </c>
      <c r="D29" s="21" t="n">
        <f aca="false">SUMIF(AVRpropriete,B29,AVRmontant_solde_euro)</f>
        <v>0</v>
      </c>
      <c r="E29" s="22" t="e">
        <f aca="false">D29/D$30</f>
        <v>#DIV/0!</v>
      </c>
      <c r="G29" s="18" t="s">
        <v>22</v>
      </c>
    </row>
    <row r="30" customFormat="false" ht="13.5" hidden="false" customHeight="true" outlineLevel="0" collapsed="false">
      <c r="B30" s="23" t="s">
        <v>3</v>
      </c>
      <c r="C30" s="20" t="n">
        <f aca="false">SUM(C28:C29)</f>
        <v>0</v>
      </c>
      <c r="D30" s="24" t="n">
        <f aca="false">ROUND(SUM(D28:D29),2)</f>
        <v>0</v>
      </c>
    </row>
    <row r="31" customFormat="false" ht="12.75" hidden="false" customHeight="true" outlineLevel="0" collapsed="false">
      <c r="B31" s="16" t="s">
        <v>23</v>
      </c>
      <c r="C31" s="25"/>
      <c r="D31" s="26"/>
      <c r="E31" s="14"/>
    </row>
    <row r="34" customFormat="false" ht="15.75" hidden="false" customHeight="true" outlineLevel="0" collapsed="false">
      <c r="J34" s="31"/>
      <c r="K34" s="32" t="s">
        <v>24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25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26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27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28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29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30</v>
      </c>
    </row>
    <row r="42" customFormat="false" ht="12.75" hidden="false" customHeight="true" outlineLevel="0" collapsed="false">
      <c r="J42" s="31"/>
      <c r="K42" s="31"/>
      <c r="L42" s="31"/>
      <c r="M42" s="34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7.97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3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31</v>
      </c>
      <c r="C1" s="48"/>
      <c r="D1" s="49"/>
      <c r="E1" s="49"/>
      <c r="F1" s="49"/>
      <c r="G1" s="49"/>
      <c r="H1" s="49"/>
      <c r="I1" s="14"/>
      <c r="J1" s="12"/>
      <c r="K1" s="12"/>
      <c r="L1" s="50" t="n">
        <v>0</v>
      </c>
      <c r="M1" s="44" t="s">
        <v>32</v>
      </c>
    </row>
    <row r="2" customFormat="false" ht="16.5" hidden="false" customHeight="true" outlineLevel="0" collapsed="false">
      <c r="A2" s="51" t="str">
        <f aca="false">Contrôles!N$22</f>
        <v>✓</v>
      </c>
      <c r="B2" s="52"/>
      <c r="C2" s="5"/>
      <c r="D2" s="12"/>
      <c r="E2" s="12"/>
      <c r="F2" s="53"/>
      <c r="G2" s="53"/>
      <c r="H2" s="54"/>
      <c r="I2" s="54" t="s">
        <v>33</v>
      </c>
      <c r="J2" s="54" t="s">
        <v>33</v>
      </c>
      <c r="K2" s="54" t="s">
        <v>34</v>
      </c>
      <c r="L2" s="55" t="n">
        <f aca="false">L6</f>
        <v>0</v>
      </c>
      <c r="M2" s="44" t="s">
        <v>35</v>
      </c>
    </row>
    <row r="3" customFormat="false" ht="20.25" hidden="false" customHeight="true" outlineLevel="0" collapsed="false">
      <c r="A3" s="56" t="s">
        <v>36</v>
      </c>
      <c r="B3" s="57" t="s">
        <v>37</v>
      </c>
      <c r="C3" s="57" t="s">
        <v>38</v>
      </c>
      <c r="D3" s="54" t="s">
        <v>39</v>
      </c>
      <c r="E3" s="58" t="s">
        <v>40</v>
      </c>
      <c r="F3" s="54" t="s">
        <v>41</v>
      </c>
      <c r="G3" s="54" t="s">
        <v>42</v>
      </c>
      <c r="H3" s="54" t="s">
        <v>43</v>
      </c>
      <c r="I3" s="54" t="s">
        <v>44</v>
      </c>
      <c r="J3" s="54" t="s">
        <v>43</v>
      </c>
      <c r="K3" s="54" t="s">
        <v>45</v>
      </c>
      <c r="L3" s="54" t="s">
        <v>46</v>
      </c>
    </row>
    <row r="4" customFormat="false" ht="16.5" hidden="false" customHeight="true" outlineLevel="0" collapsed="false">
      <c r="A4" s="59"/>
      <c r="B4" s="60"/>
      <c r="C4" s="61"/>
      <c r="D4" s="62"/>
      <c r="E4" s="62"/>
      <c r="F4" s="63"/>
      <c r="G4" s="63"/>
      <c r="H4" s="63"/>
      <c r="I4" s="63"/>
      <c r="J4" s="63"/>
      <c r="K4" s="63"/>
      <c r="L4" s="63"/>
    </row>
    <row r="5" customFormat="false" ht="16.5" hidden="false" customHeight="true" outlineLevel="0" collapsed="false">
      <c r="A5" s="59"/>
      <c r="B5" s="61"/>
      <c r="C5" s="61"/>
      <c r="D5" s="62"/>
      <c r="E5" s="62"/>
      <c r="F5" s="64"/>
      <c r="G5" s="64"/>
      <c r="H5" s="64"/>
      <c r="I5" s="64"/>
      <c r="J5" s="64"/>
      <c r="K5" s="65"/>
      <c r="L5" s="65"/>
    </row>
    <row r="6" customFormat="false" ht="17.25" hidden="false" customHeight="true" outlineLevel="0" collapsed="false">
      <c r="A6" s="66" t="s">
        <v>47</v>
      </c>
      <c r="B6" s="67"/>
      <c r="C6" s="68"/>
      <c r="D6" s="69"/>
      <c r="E6" s="69"/>
      <c r="F6" s="70"/>
      <c r="G6" s="70"/>
      <c r="H6" s="70"/>
      <c r="I6" s="71"/>
      <c r="J6" s="71"/>
      <c r="K6" s="71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9.63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Contrôles!N$22</f>
        <v>✓</v>
      </c>
      <c r="B1" s="76"/>
      <c r="C1" s="77" t="n">
        <f aca="false">C$2-365</f>
        <v>45746</v>
      </c>
      <c r="D1" s="77"/>
    </row>
    <row r="2" customFormat="false" ht="16.5" hidden="false" customHeight="true" outlineLevel="0" collapsed="false">
      <c r="A2" s="78"/>
      <c r="B2" s="14"/>
      <c r="C2" s="77" t="n">
        <f aca="true">TODAY()</f>
        <v>46111</v>
      </c>
      <c r="D2" s="77"/>
    </row>
    <row r="3" customFormat="false" ht="28.5" hidden="false" customHeight="true" outlineLevel="0" collapsed="false">
      <c r="A3" s="26" t="s">
        <v>48</v>
      </c>
      <c r="B3" s="26" t="s">
        <v>37</v>
      </c>
      <c r="C3" s="26" t="s">
        <v>49</v>
      </c>
      <c r="D3" s="26"/>
    </row>
    <row r="4" customFormat="false" ht="16.5" hidden="false" customHeight="true" outlineLevel="0" collapsed="false">
      <c r="A4" s="79"/>
      <c r="B4" s="80"/>
      <c r="C4" s="21"/>
      <c r="D4" s="21"/>
    </row>
    <row r="5" customFormat="false" ht="16.5" hidden="false" customHeight="true" outlineLevel="0" collapsed="false">
      <c r="A5" s="79" t="s">
        <v>50</v>
      </c>
      <c r="B5" s="81" t="s">
        <v>51</v>
      </c>
      <c r="C5" s="82" t="n">
        <f aca="false">SUMIF(J20:J34,A5,I20:I34)</f>
        <v>0</v>
      </c>
      <c r="D5" s="82"/>
    </row>
    <row r="6" customFormat="false" ht="16.5" hidden="false" customHeight="true" outlineLevel="0" collapsed="false">
      <c r="A6" s="79" t="s">
        <v>52</v>
      </c>
      <c r="B6" s="81" t="s">
        <v>51</v>
      </c>
      <c r="C6" s="82" t="n">
        <f aca="false">SUMIF(J20:J34,A6,I20:I34)</f>
        <v>0</v>
      </c>
      <c r="D6" s="82"/>
    </row>
    <row r="7" customFormat="false" ht="16.5" hidden="false" customHeight="true" outlineLevel="0" collapsed="false">
      <c r="A7" s="79" t="s">
        <v>53</v>
      </c>
      <c r="B7" s="80" t="s">
        <v>51</v>
      </c>
      <c r="C7" s="21" t="n">
        <f aca="false">SUMIF(J20:J34,A7,I20:I34)</f>
        <v>0</v>
      </c>
      <c r="D7" s="21"/>
    </row>
    <row r="8" customFormat="false" ht="16.5" hidden="false" customHeight="true" outlineLevel="0" collapsed="false">
      <c r="A8" s="79" t="s">
        <v>54</v>
      </c>
      <c r="B8" s="80" t="s">
        <v>51</v>
      </c>
      <c r="C8" s="21" t="n">
        <f aca="false">SUMIF(J20:J34,A8,I20:I34)</f>
        <v>0</v>
      </c>
      <c r="D8" s="21"/>
    </row>
    <row r="9" customFormat="false" ht="16.5" hidden="false" customHeight="true" outlineLevel="0" collapsed="false">
      <c r="A9" s="79" t="s">
        <v>55</v>
      </c>
      <c r="B9" s="80" t="s">
        <v>51</v>
      </c>
      <c r="C9" s="21" t="n">
        <f aca="false">SUMIF(J20:J34,A9,I20:I34)</f>
        <v>0</v>
      </c>
      <c r="D9" s="21"/>
    </row>
    <row r="10" customFormat="false" ht="16.5" hidden="false" customHeight="true" outlineLevel="0" collapsed="false">
      <c r="A10" s="79"/>
      <c r="B10" s="80"/>
      <c r="C10" s="21"/>
      <c r="D10" s="21"/>
    </row>
    <row r="11" customFormat="false" ht="17.25" hidden="false" customHeight="true" outlineLevel="0" collapsed="false">
      <c r="A11" s="83" t="s">
        <v>56</v>
      </c>
      <c r="B11" s="84"/>
      <c r="C11" s="85" t="n">
        <f aca="false">SUM(C5:C9)</f>
        <v>0</v>
      </c>
      <c r="D11" s="86"/>
    </row>
    <row r="12" customFormat="false" ht="16.5" hidden="false" customHeight="true" outlineLevel="0" collapsed="false">
      <c r="A12" s="87" t="s">
        <v>57</v>
      </c>
      <c r="B12" s="88"/>
      <c r="C12" s="89" t="n">
        <f aca="false">SUMIF($B5:$B9,"Fixe",C5:C9)</f>
        <v>0</v>
      </c>
      <c r="D12" s="90"/>
    </row>
    <row r="13" customFormat="false" ht="17.25" hidden="false" customHeight="true" outlineLevel="0" collapsed="false">
      <c r="A13" s="87" t="s">
        <v>58</v>
      </c>
      <c r="B13" s="88"/>
      <c r="C13" s="91" t="n">
        <f aca="false">C$12/12</f>
        <v>0</v>
      </c>
      <c r="D13" s="92"/>
    </row>
    <row r="14" customFormat="false" ht="16.5" hidden="false" customHeight="true" outlineLevel="0" collapsed="false">
      <c r="A14" s="93" t="s">
        <v>59</v>
      </c>
      <c r="B14" s="94"/>
      <c r="C14" s="95" t="n">
        <f aca="false">C$11-I$39</f>
        <v>0</v>
      </c>
      <c r="D14" s="96"/>
    </row>
    <row r="16" customFormat="false" ht="18.75" hidden="false" customHeight="true" outlineLevel="0" collapsed="false">
      <c r="E16" s="97" t="s">
        <v>60</v>
      </c>
      <c r="F16" s="97"/>
      <c r="G16" s="97"/>
      <c r="H16" s="97"/>
      <c r="I16" s="97"/>
      <c r="J16" s="97"/>
    </row>
    <row r="17" customFormat="false" ht="28.5" hidden="false" customHeight="true" outlineLevel="0" collapsed="false">
      <c r="E17" s="98" t="s">
        <v>61</v>
      </c>
      <c r="F17" s="99" t="s">
        <v>62</v>
      </c>
      <c r="G17" s="100" t="s">
        <v>63</v>
      </c>
      <c r="H17" s="75" t="s">
        <v>64</v>
      </c>
      <c r="I17" s="101" t="s">
        <v>65</v>
      </c>
      <c r="J17" s="101" t="s">
        <v>48</v>
      </c>
    </row>
    <row r="18" customFormat="false" ht="16.5" hidden="false" customHeight="true" outlineLevel="0" collapsed="false">
      <c r="E18" s="98" t="s">
        <v>66</v>
      </c>
      <c r="F18" s="102" t="n">
        <v>1</v>
      </c>
      <c r="G18" s="103"/>
      <c r="H18" s="104"/>
      <c r="I18" s="105"/>
      <c r="J18" s="105"/>
    </row>
    <row r="19" customFormat="false" ht="16.5" hidden="false" customHeight="true" outlineLevel="0" collapsed="false">
      <c r="E19" s="106"/>
      <c r="F19" s="107"/>
      <c r="G19" s="108"/>
      <c r="H19" s="109"/>
      <c r="I19" s="21"/>
      <c r="J19" s="110"/>
    </row>
    <row r="20" customFormat="false" ht="16.5" hidden="false" customHeight="true" outlineLevel="0" collapsed="false">
      <c r="E20" s="106" t="s">
        <v>67</v>
      </c>
      <c r="F20" s="107" t="n">
        <f aca="false">SUMIFS(OPmontant,OPdevise,F$17,OPcatégorie,$E20,OPdate,"&gt;"&amp;$C$2-365)</f>
        <v>0</v>
      </c>
      <c r="G20" s="108"/>
      <c r="H20" s="109"/>
      <c r="I20" s="21"/>
      <c r="J20" s="110" t="s">
        <v>54</v>
      </c>
    </row>
    <row r="21" customFormat="false" ht="16.5" hidden="false" customHeight="true" outlineLevel="0" collapsed="false">
      <c r="E21" s="111" t="s">
        <v>68</v>
      </c>
      <c r="F21" s="107" t="n">
        <f aca="false">SUMIFS(OPmontant,OPdevise,F$17,OPcatégorie,$E21,OPdate,"&gt;"&amp;$C$2-365)</f>
        <v>0</v>
      </c>
      <c r="G21" s="112"/>
      <c r="H21" s="109"/>
      <c r="I21" s="21"/>
      <c r="J21" s="110" t="s">
        <v>54</v>
      </c>
    </row>
    <row r="22" customFormat="false" ht="16.5" hidden="false" customHeight="true" outlineLevel="0" collapsed="false">
      <c r="E22" s="111" t="s">
        <v>69</v>
      </c>
      <c r="F22" s="107" t="n">
        <f aca="false">SUMIFS(OPmontant,OPdevise,F$17,OPcatégorie,$E22,OPdate,"&gt;"&amp;$C$2-365)</f>
        <v>0</v>
      </c>
      <c r="G22" s="113"/>
      <c r="H22" s="113"/>
      <c r="I22" s="21"/>
      <c r="J22" s="60" t="s">
        <v>54</v>
      </c>
    </row>
    <row r="23" customFormat="false" ht="16.5" hidden="false" customHeight="true" outlineLevel="0" collapsed="false">
      <c r="E23" s="111" t="s">
        <v>70</v>
      </c>
      <c r="F23" s="107" t="n">
        <f aca="false">SUMIFS(OPmontant,OPdevise,F$17,OPcatégorie,$E23,OPdate,"&gt;"&amp;$C$2-365)</f>
        <v>0</v>
      </c>
      <c r="G23" s="113"/>
      <c r="H23" s="113"/>
      <c r="I23" s="21"/>
      <c r="J23" s="60" t="s">
        <v>54</v>
      </c>
    </row>
    <row r="24" customFormat="false" ht="16.5" hidden="false" customHeight="true" outlineLevel="0" collapsed="false">
      <c r="E24" s="111" t="s">
        <v>71</v>
      </c>
      <c r="F24" s="107" t="n">
        <f aca="false">SUMIFS(OPmontant,OPdevise,F$17,OPcatégorie,$E24,OPdate,"&gt;"&amp;$C$2-365)</f>
        <v>0</v>
      </c>
      <c r="G24" s="113"/>
      <c r="H24" s="113"/>
      <c r="I24" s="21"/>
      <c r="J24" s="60" t="s">
        <v>54</v>
      </c>
    </row>
    <row r="25" customFormat="false" ht="16.5" hidden="false" customHeight="true" outlineLevel="0" collapsed="false">
      <c r="E25" s="111" t="s">
        <v>72</v>
      </c>
      <c r="F25" s="107" t="n">
        <f aca="false">SUMIFS(OPmontant,OPdevise,F$17,OPcatégorie,$E25,OPdate,"&gt;"&amp;$C$2-365)</f>
        <v>0</v>
      </c>
      <c r="G25" s="113"/>
      <c r="H25" s="113"/>
      <c r="I25" s="21"/>
      <c r="J25" s="60" t="s">
        <v>54</v>
      </c>
    </row>
    <row r="26" customFormat="false" ht="16.5" hidden="false" customHeight="true" outlineLevel="0" collapsed="false">
      <c r="E26" s="111" t="s">
        <v>73</v>
      </c>
      <c r="F26" s="107" t="n">
        <f aca="false">SUMIFS(OPmontant,OPdevise,F$17,OPcatégorie,$E26,OPdate,"&gt;"&amp;$C$2-365)</f>
        <v>0</v>
      </c>
      <c r="G26" s="114" t="n">
        <f aca="false">SUMPRODUCT(F26,F$18)</f>
        <v>0</v>
      </c>
      <c r="H26" s="115" t="n">
        <v>1</v>
      </c>
      <c r="I26" s="21" t="n">
        <f aca="false">G26*H26</f>
        <v>0</v>
      </c>
      <c r="J26" s="60" t="s">
        <v>54</v>
      </c>
    </row>
    <row r="27" customFormat="false" ht="16.5" hidden="false" customHeight="true" outlineLevel="0" collapsed="false">
      <c r="E27" s="111" t="s">
        <v>74</v>
      </c>
      <c r="F27" s="107" t="n">
        <f aca="false">SUMIFS(OPmontant,OPdevise,F$17,OPcatégorie,$E27,OPdate,"&gt;"&amp;$C$2-365)</f>
        <v>0</v>
      </c>
      <c r="G27" s="114" t="n">
        <f aca="false">SUMPRODUCT(F27,F$18)</f>
        <v>0</v>
      </c>
      <c r="H27" s="115" t="n">
        <v>1</v>
      </c>
      <c r="I27" s="21" t="n">
        <f aca="false">G27*H27</f>
        <v>0</v>
      </c>
      <c r="J27" s="60" t="s">
        <v>55</v>
      </c>
    </row>
    <row r="28" customFormat="false" ht="16.5" hidden="false" customHeight="true" outlineLevel="0" collapsed="false">
      <c r="E28" s="111" t="s">
        <v>75</v>
      </c>
      <c r="F28" s="107" t="n">
        <f aca="false">SUMIFS(OPmontant,OPdevise,F$17,OPcatégorie,$E28,OPdate,"&gt;"&amp;$C$2-365)</f>
        <v>0</v>
      </c>
      <c r="G28" s="114" t="n">
        <f aca="false">SUMPRODUCT(F28,F$18)</f>
        <v>0</v>
      </c>
      <c r="H28" s="115" t="n">
        <v>1</v>
      </c>
      <c r="I28" s="21" t="n">
        <f aca="false">G28*H28</f>
        <v>0</v>
      </c>
      <c r="J28" s="60" t="s">
        <v>55</v>
      </c>
    </row>
    <row r="29" customFormat="false" ht="16.5" hidden="false" customHeight="true" outlineLevel="0" collapsed="false">
      <c r="E29" s="111" t="s">
        <v>76</v>
      </c>
      <c r="F29" s="107" t="n">
        <f aca="false">SUMIFS(OPmontant,OPdevise,F$17,OPcatégorie,$E29,OPdate,"&gt;"&amp;$C$2-365)</f>
        <v>0</v>
      </c>
      <c r="G29" s="114" t="n">
        <f aca="false">SUMPRODUCT(F29,F$18)</f>
        <v>0</v>
      </c>
      <c r="H29" s="115" t="n">
        <v>1</v>
      </c>
      <c r="I29" s="21" t="n">
        <f aca="false">G29*H29</f>
        <v>0</v>
      </c>
      <c r="J29" s="60" t="s">
        <v>55</v>
      </c>
    </row>
    <row r="30" customFormat="false" ht="16.5" hidden="false" customHeight="true" outlineLevel="0" collapsed="false">
      <c r="E30" s="111" t="s">
        <v>77</v>
      </c>
      <c r="F30" s="107" t="n">
        <f aca="false">SUMIFS(OPmontant,OPdevise,F$17,OPcatégorie,$E30,OPdate,"&gt;"&amp;$C$2-365)</f>
        <v>0</v>
      </c>
      <c r="G30" s="114" t="n">
        <f aca="false">SUMPRODUCT(F30,F$18)</f>
        <v>0</v>
      </c>
      <c r="H30" s="115" t="n">
        <v>1</v>
      </c>
      <c r="I30" s="21" t="n">
        <f aca="false">G30*H30</f>
        <v>0</v>
      </c>
      <c r="J30" s="60" t="s">
        <v>53</v>
      </c>
    </row>
    <row r="31" customFormat="false" ht="16.5" hidden="false" customHeight="true" outlineLevel="0" collapsed="false">
      <c r="E31" s="111" t="s">
        <v>50</v>
      </c>
      <c r="F31" s="107" t="n">
        <f aca="false">SUMIFS(OPmontant,OPdevise,F$17,OPcatégorie,$E31,OPdate,"&gt;"&amp;$C$2-365)</f>
        <v>0</v>
      </c>
      <c r="G31" s="114" t="n">
        <f aca="false">SUMPRODUCT(F31,F$18)</f>
        <v>0</v>
      </c>
      <c r="H31" s="115" t="n">
        <v>1</v>
      </c>
      <c r="I31" s="21" t="n">
        <f aca="false">G31*H31</f>
        <v>0</v>
      </c>
      <c r="J31" s="60" t="s">
        <v>50</v>
      </c>
    </row>
    <row r="32" customFormat="false" ht="16.5" hidden="false" customHeight="true" outlineLevel="0" collapsed="false">
      <c r="E32" s="111" t="s">
        <v>78</v>
      </c>
      <c r="F32" s="107" t="n">
        <f aca="false">SUMIFS(OPmontant,OPdevise,F$17,OPcatégorie,$E32,OPdate,"&gt;"&amp;$C$2-365)</f>
        <v>0</v>
      </c>
      <c r="G32" s="114" t="n">
        <f aca="false">SUMPRODUCT(F32,F$18)</f>
        <v>0</v>
      </c>
      <c r="H32" s="115" t="n">
        <v>1</v>
      </c>
      <c r="I32" s="21" t="n">
        <f aca="false">G32*H32</f>
        <v>0</v>
      </c>
      <c r="J32" s="60" t="s">
        <v>53</v>
      </c>
    </row>
    <row r="33" customFormat="false" ht="16.5" hidden="false" customHeight="true" outlineLevel="0" collapsed="false">
      <c r="E33" s="111" t="s">
        <v>52</v>
      </c>
      <c r="F33" s="107" t="n">
        <f aca="false">SUMIFS(OPmontant,OPdevise,F$17,OPcatégorie,$E33,OPdate,"&gt;"&amp;$C$2-365)</f>
        <v>0</v>
      </c>
      <c r="G33" s="114" t="n">
        <f aca="false">SUMPRODUCT(F33,F$18)</f>
        <v>0</v>
      </c>
      <c r="H33" s="115" t="n">
        <v>1</v>
      </c>
      <c r="I33" s="21" t="n">
        <f aca="false">G33*H33</f>
        <v>0</v>
      </c>
      <c r="J33" s="60" t="s">
        <v>52</v>
      </c>
    </row>
    <row r="34" customFormat="false" ht="16.5" hidden="false" customHeight="true" outlineLevel="0" collapsed="false">
      <c r="E34" s="111" t="s">
        <v>79</v>
      </c>
      <c r="F34" s="107" t="n">
        <f aca="false">SUMIFS(OPmontant,OPdevise,F$17,OPcatégorie,$E34,OPdate,"&gt;"&amp;$C$2-365)</f>
        <v>0</v>
      </c>
      <c r="G34" s="114" t="n">
        <f aca="false">SUMPRODUCT(F34,F$18)</f>
        <v>0</v>
      </c>
      <c r="H34" s="115" t="n">
        <v>1</v>
      </c>
      <c r="I34" s="21" t="n">
        <f aca="false">G34*H34</f>
        <v>0</v>
      </c>
      <c r="J34" s="60" t="s">
        <v>54</v>
      </c>
    </row>
    <row r="35" customFormat="false" ht="16.5" hidden="false" customHeight="true" outlineLevel="0" collapsed="false">
      <c r="E35" s="111"/>
      <c r="F35" s="107"/>
      <c r="G35" s="114"/>
      <c r="H35" s="114"/>
      <c r="I35" s="21"/>
      <c r="J35" s="60"/>
    </row>
    <row r="36" customFormat="false" ht="19.5" hidden="false" customHeight="true" outlineLevel="0" collapsed="false">
      <c r="E36" s="83" t="s">
        <v>47</v>
      </c>
      <c r="F36" s="116" t="n">
        <f aca="false">SUM(F20:F34)</f>
        <v>0</v>
      </c>
      <c r="G36" s="117"/>
      <c r="H36" s="118"/>
      <c r="I36" s="117"/>
      <c r="J36" s="119"/>
    </row>
    <row r="37" customFormat="false" ht="18" hidden="false" customHeight="true" outlineLevel="0" collapsed="false">
      <c r="E37" s="120" t="s">
        <v>80</v>
      </c>
      <c r="F37" s="121" t="n">
        <f aca="false">SUMIFS(OPmontant,OPdevise,F$17,OPdate,"&gt;"&amp;$C$2-365,OPcatégorie,"&lt;&gt;"&amp;Spéciale)</f>
        <v>0</v>
      </c>
      <c r="G37" s="122"/>
      <c r="H37" s="123"/>
      <c r="I37" s="124"/>
      <c r="J37" s="92"/>
    </row>
    <row r="38" customFormat="false" ht="16.5" hidden="false" customHeight="true" outlineLevel="0" collapsed="false">
      <c r="E38" s="125" t="s">
        <v>81</v>
      </c>
      <c r="F38" s="95" t="n">
        <f aca="false">ROUND(F$36-F$37,2)</f>
        <v>0</v>
      </c>
      <c r="G38" s="126"/>
      <c r="H38" s="123"/>
      <c r="I38" s="91"/>
      <c r="J38" s="92"/>
    </row>
    <row r="39" customFormat="false" ht="21.75" hidden="false" customHeight="true" outlineLevel="0" collapsed="false">
      <c r="E39" s="87" t="s">
        <v>82</v>
      </c>
      <c r="F39" s="89" t="n">
        <f aca="false">SUM(F26:F34)</f>
        <v>0</v>
      </c>
      <c r="G39" s="95" t="n">
        <f aca="false">SUM(G26:G34)</f>
        <v>0</v>
      </c>
      <c r="H39" s="127"/>
      <c r="I39" s="128" t="n">
        <f aca="false">SUM(I26:I34)</f>
        <v>0</v>
      </c>
      <c r="J39" s="129"/>
    </row>
    <row r="40" customFormat="false" ht="16.5" hidden="false" customHeight="true" outlineLevel="0" collapsed="false">
      <c r="E40" s="93" t="s">
        <v>83</v>
      </c>
      <c r="F40" s="130" t="n">
        <f aca="false">F$39</f>
        <v>0</v>
      </c>
      <c r="G40" s="128" t="n">
        <f aca="false">SUM(F$40)</f>
        <v>0</v>
      </c>
      <c r="H40" s="131"/>
      <c r="I40" s="132"/>
      <c r="J40" s="96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C14 F38:I38 G37:I37 H39:H40 I40 J37:J40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G39">
    <cfRule type="cellIs" priority="6" operator="notEqual" aboveAverage="0" equalAverage="0" bottom="0" percent="0" rank="0" text="" dxfId="4">
      <formula>G$40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17.66"/>
    <col collapsed="false" customWidth="true" hidden="false" outlineLevel="0" max="2" min="2" style="74" width="30.6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33" width="14.21"/>
    <col collapsed="false" customWidth="true" hidden="false" outlineLevel="0" max="6" min="6" style="74" width="13.67"/>
    <col collapsed="false" customWidth="true" hidden="false" outlineLevel="0" max="7" min="7" style="133" width="9.16"/>
    <col collapsed="false" customWidth="true" hidden="false" outlineLevel="0" max="10" min="8" style="74" width="15.66"/>
    <col collapsed="false" customWidth="true" hidden="false" outlineLevel="0" max="12" min="11" style="133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34"/>
      <c r="B1" s="135" t="s">
        <v>84</v>
      </c>
      <c r="C1" s="14"/>
      <c r="D1" s="136"/>
      <c r="E1" s="14"/>
      <c r="F1" s="136"/>
      <c r="G1" s="14"/>
      <c r="H1" s="14"/>
      <c r="I1" s="14"/>
      <c r="J1" s="136"/>
      <c r="K1" s="136"/>
    </row>
    <row r="2" customFormat="false" ht="16.5" hidden="false" customHeight="true" outlineLevel="0" collapsed="false">
      <c r="A2" s="134"/>
      <c r="B2" s="137" t="str">
        <f aca="false">Contrôles!N22</f>
        <v>✓</v>
      </c>
      <c r="C2" s="57" t="s">
        <v>85</v>
      </c>
      <c r="D2" s="136"/>
      <c r="E2" s="14"/>
      <c r="F2" s="136"/>
      <c r="G2" s="14"/>
      <c r="H2" s="14"/>
      <c r="I2" s="14"/>
      <c r="J2" s="57"/>
      <c r="K2" s="14"/>
    </row>
    <row r="3" customFormat="false" ht="16.5" hidden="false" customHeight="true" outlineLevel="0" collapsed="false">
      <c r="A3" s="134"/>
      <c r="B3" s="135"/>
      <c r="C3" s="57"/>
      <c r="D3" s="136"/>
      <c r="E3" s="13" t="n">
        <f aca="false">E13</f>
        <v>0</v>
      </c>
      <c r="F3" s="136"/>
      <c r="G3" s="138" t="n">
        <f aca="false">G13</f>
        <v>0</v>
      </c>
      <c r="H3" s="57"/>
      <c r="I3" s="14"/>
      <c r="J3" s="57"/>
      <c r="K3" s="14"/>
    </row>
    <row r="4" customFormat="false" ht="30.75" hidden="false" customHeight="true" outlineLevel="0" collapsed="false">
      <c r="A4" s="139" t="s">
        <v>86</v>
      </c>
      <c r="B4" s="140" t="s">
        <v>87</v>
      </c>
      <c r="C4" s="26" t="s">
        <v>88</v>
      </c>
      <c r="D4" s="26" t="s">
        <v>40</v>
      </c>
      <c r="E4" s="141" t="s">
        <v>89</v>
      </c>
      <c r="F4" s="26" t="s">
        <v>90</v>
      </c>
      <c r="G4" s="58" t="s">
        <v>91</v>
      </c>
      <c r="H4" s="26" t="s">
        <v>92</v>
      </c>
      <c r="I4" s="142" t="s">
        <v>93</v>
      </c>
      <c r="J4" s="58" t="s">
        <v>94</v>
      </c>
      <c r="K4" s="142" t="s">
        <v>95</v>
      </c>
    </row>
    <row r="5" customFormat="false" ht="17.25" hidden="false" customHeight="true" outlineLevel="0" collapsed="false">
      <c r="A5" s="143" t="s">
        <v>96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7.25" hidden="false" customHeight="true" outlineLevel="0" collapsed="false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7.25" hidden="false" customHeight="true" outlineLevel="0" collapsed="false">
      <c r="A7" s="143" t="s">
        <v>97</v>
      </c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7.25" hidden="false" customHeight="true" outlineLevel="0" collapsed="false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7.25" hidden="false" customHeight="true" outlineLevel="0" collapsed="false">
      <c r="A9" s="143" t="s">
        <v>98</v>
      </c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7.25" hidden="false" customHeight="true" outlineLevel="0" collapsed="false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7.25" hidden="false" customHeight="true" outlineLevel="0" collapsed="false">
      <c r="A11" s="143" t="s">
        <v>99</v>
      </c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44"/>
      <c r="B12" s="144"/>
      <c r="C12" s="144"/>
      <c r="D12" s="144"/>
      <c r="E12" s="144"/>
      <c r="F12" s="144"/>
      <c r="G12" s="144"/>
      <c r="H12" s="144"/>
      <c r="I12" s="144"/>
      <c r="J12" s="144"/>
      <c r="K12" s="144"/>
    </row>
    <row r="13" customFormat="false" ht="16.5" hidden="false" customHeight="true" outlineLevel="0" collapsed="false">
      <c r="A13" s="145"/>
      <c r="B13" s="145" t="s">
        <v>100</v>
      </c>
      <c r="C13" s="145"/>
      <c r="D13" s="146" t="s">
        <v>62</v>
      </c>
      <c r="E13" s="147" t="n">
        <f aca="false">K13-(H13+I13)</f>
        <v>0</v>
      </c>
      <c r="F13" s="148" t="e">
        <f aca="false">E13/(I13+K13)</f>
        <v>#DIV/0!</v>
      </c>
      <c r="G13" s="149" t="n">
        <f aca="false">MIN(G14:G17)</f>
        <v>0</v>
      </c>
      <c r="H13" s="150" t="n">
        <f aca="false">SUM(H14:H17)</f>
        <v>0</v>
      </c>
      <c r="I13" s="150" t="n">
        <f aca="false">SUM(I14:I17)</f>
        <v>0</v>
      </c>
      <c r="J13" s="151" t="n">
        <f aca="false">MAX(J14:J17)</f>
        <v>0</v>
      </c>
      <c r="K13" s="150" t="n">
        <f aca="false">SUM(K14:K17)</f>
        <v>0</v>
      </c>
    </row>
    <row r="14" customFormat="false" ht="16.5" hidden="false" customHeight="true" outlineLevel="0" collapsed="false">
      <c r="A14" s="79"/>
      <c r="B14" s="79" t="s">
        <v>101</v>
      </c>
      <c r="C14" s="79"/>
      <c r="D14" s="19" t="s">
        <v>62</v>
      </c>
      <c r="E14" s="152" t="n">
        <f aca="false">K14-(H14+I14)</f>
        <v>0</v>
      </c>
      <c r="F14" s="153" t="e">
        <f aca="false">E14/(I14+K14)</f>
        <v>#DIV/0!</v>
      </c>
      <c r="G14" s="154" t="n">
        <f aca="false">MIN(_xlfn.MINIFS(G:G,A:A,"portefeuilles",C:C,"Retenu",G:G,"&gt;0"))</f>
        <v>0</v>
      </c>
      <c r="H14" s="152" t="n">
        <f aca="false">SUMIFS(H:H,A:A,"portefeuilles",C:C,"Retenu")</f>
        <v>0</v>
      </c>
      <c r="I14" s="152" t="n">
        <f aca="false">SUMIFS(I:I,A:A,"portefeuilles",C:C,"Retenu")</f>
        <v>0</v>
      </c>
      <c r="J14" s="154" t="n">
        <f aca="false">_xlfn.MAXIFS(J:J,A:A,"portefeuilles",C:C,"Retenu")</f>
        <v>0</v>
      </c>
      <c r="K14" s="152" t="n">
        <f aca="false">SUMIFS(K:K,A:A,"portefeuilles",C:C,"Retenu")</f>
        <v>0</v>
      </c>
    </row>
    <row r="15" customFormat="false" ht="16.5" hidden="false" customHeight="true" outlineLevel="0" collapsed="false">
      <c r="A15" s="79"/>
      <c r="B15" s="79" t="s">
        <v>102</v>
      </c>
      <c r="C15" s="79"/>
      <c r="D15" s="19" t="s">
        <v>62</v>
      </c>
      <c r="E15" s="152" t="n">
        <f aca="false">K15-(H15+I15)</f>
        <v>0</v>
      </c>
      <c r="F15" s="153" t="e">
        <f aca="false">E15/(I15+K15)</f>
        <v>#DIV/0!</v>
      </c>
      <c r="G15" s="154" t="n">
        <f aca="false">MIN(_xlfn.MINIFS(G:G,A:A,"métaux",G:G,"&gt;0"))</f>
        <v>0</v>
      </c>
      <c r="H15" s="152" t="n">
        <f aca="false">SUMIFS(H:H,A:A,"métaux")</f>
        <v>0</v>
      </c>
      <c r="I15" s="152" t="n">
        <f aca="false">SUMIFS(I:I,A:A,"métaux")</f>
        <v>0</v>
      </c>
      <c r="J15" s="154" t="n">
        <f aca="false">_xlfn.MAXIFS(J:J,A:A,"métaux")</f>
        <v>0</v>
      </c>
      <c r="K15" s="152" t="n">
        <f aca="false">SUMIFS(K:K,A:A,"métaux")</f>
        <v>0</v>
      </c>
    </row>
    <row r="16" customFormat="false" ht="16.5" hidden="false" customHeight="true" outlineLevel="0" collapsed="false">
      <c r="A16" s="79"/>
      <c r="B16" s="79" t="s">
        <v>103</v>
      </c>
      <c r="C16" s="79"/>
      <c r="D16" s="19" t="s">
        <v>62</v>
      </c>
      <c r="E16" s="152" t="n">
        <f aca="false">K16-(H16+I16)</f>
        <v>0</v>
      </c>
      <c r="F16" s="153" t="e">
        <f aca="false">E16/(I16+K16)</f>
        <v>#DIV/0!</v>
      </c>
      <c r="G16" s="154" t="n">
        <f aca="false">MIN(_xlfn.MINIFS(G:G,A:A,"crypto",G:G,"&gt;0"))</f>
        <v>0</v>
      </c>
      <c r="H16" s="152" t="n">
        <f aca="false">SUMIFS(H:H,A:A,"crypto")</f>
        <v>0</v>
      </c>
      <c r="I16" s="152" t="n">
        <f aca="false">SUMIFS(I:I,A:A,"crypto")</f>
        <v>0</v>
      </c>
      <c r="J16" s="154" t="n">
        <f aca="false">_xlfn.MAXIFS(J:J,A:A,"crypto")</f>
        <v>0</v>
      </c>
      <c r="K16" s="152" t="n">
        <f aca="false">SUMIFS(K:K,A:A,"crypto")</f>
        <v>0</v>
      </c>
    </row>
    <row r="17" customFormat="false" ht="16.5" hidden="false" customHeight="true" outlineLevel="0" collapsed="false">
      <c r="A17" s="79"/>
      <c r="B17" s="79" t="s">
        <v>104</v>
      </c>
      <c r="C17" s="79"/>
      <c r="D17" s="19" t="s">
        <v>62</v>
      </c>
      <c r="E17" s="152" t="n">
        <f aca="false">K17-(H17+I17)</f>
        <v>0</v>
      </c>
      <c r="F17" s="155" t="e">
        <f aca="false">E17/(I17+K17)</f>
        <v>#DIV/0!</v>
      </c>
      <c r="G17" s="154" t="n">
        <f aca="false">MIN(_xlfn.MINIFS(G:G,A:A,"devises",G:G,"&gt;0"))</f>
        <v>0</v>
      </c>
      <c r="H17" s="152" t="n">
        <f aca="false">SUMIFS(H:H,A:A,"devises")</f>
        <v>0</v>
      </c>
      <c r="I17" s="152" t="n">
        <f aca="false">SUMIFS(I:I,A:A,"devises")</f>
        <v>0</v>
      </c>
      <c r="J17" s="154" t="n">
        <f aca="false">_xlfn.MAXIFS(J:J,A:A,"devises")</f>
        <v>0</v>
      </c>
      <c r="K17" s="152" t="n">
        <f aca="false">SUMIFS(K:K,A:A,"devises")</f>
        <v>0</v>
      </c>
    </row>
    <row r="18" customFormat="false" ht="16.5" hidden="false" customHeight="true" outlineLevel="0" collapsed="false"/>
    <row r="19" customFormat="false" ht="16.5" hidden="false" customHeight="true" outlineLevel="0" collapsed="false">
      <c r="H19" s="156"/>
    </row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7.25" hidden="false" customHeight="true" outlineLevel="0" collapsed="false"/>
    <row r="23" customFormat="false" ht="17.25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7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9.84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57" t="s">
        <v>105</v>
      </c>
      <c r="B1" s="5"/>
      <c r="C1" s="5"/>
      <c r="D1" s="5"/>
      <c r="E1" s="158"/>
      <c r="F1" s="136" t="s">
        <v>106</v>
      </c>
      <c r="G1" s="5"/>
      <c r="H1" s="5"/>
      <c r="I1" s="5"/>
    </row>
    <row r="2" customFormat="false" ht="16.5" hidden="false" customHeight="true" outlineLevel="0" collapsed="false">
      <c r="A2" s="159" t="n">
        <f aca="true">TODAY()</f>
        <v>46111</v>
      </c>
      <c r="B2" s="51" t="str">
        <f aca="false">Contrôles!N$22</f>
        <v>✓</v>
      </c>
      <c r="C2" s="160"/>
      <c r="D2" s="5"/>
      <c r="E2" s="158"/>
      <c r="F2" s="161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15" hidden="false" customHeight="true" outlineLevel="0" collapsed="false">
      <c r="A3" s="54" t="s">
        <v>43</v>
      </c>
      <c r="B3" s="162" t="s">
        <v>107</v>
      </c>
      <c r="C3" s="54" t="s">
        <v>44</v>
      </c>
      <c r="D3" s="54" t="s">
        <v>40</v>
      </c>
      <c r="E3" s="54" t="s">
        <v>108</v>
      </c>
      <c r="F3" s="58" t="s">
        <v>109</v>
      </c>
      <c r="G3" s="54" t="s">
        <v>110</v>
      </c>
      <c r="H3" s="54" t="s">
        <v>87</v>
      </c>
      <c r="I3" s="57" t="s">
        <v>111</v>
      </c>
    </row>
    <row r="4" customFormat="false" ht="16.5" hidden="false" customHeight="true" outlineLevel="0" collapsed="false">
      <c r="B4" s="163"/>
      <c r="C4" s="164"/>
      <c r="D4" s="165"/>
      <c r="E4" s="164"/>
      <c r="F4" s="166"/>
      <c r="G4" s="167"/>
      <c r="H4" s="167"/>
      <c r="I4" s="163"/>
    </row>
    <row r="5" customFormat="false" ht="16.5" hidden="false" customHeight="true" outlineLevel="0" collapsed="false">
      <c r="B5" s="163"/>
      <c r="C5" s="164"/>
      <c r="D5" s="165"/>
      <c r="E5" s="164"/>
      <c r="F5" s="166"/>
      <c r="G5" s="167"/>
      <c r="H5" s="167"/>
      <c r="I5" s="163"/>
    </row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403:F1755 F1760:F1790 F1792:F1887 F1889:F1894 F1896:F2008 F2010:F2011 F2013:F4293 F1:F401">
    <cfRule type="cellIs" priority="2" operator="equal" aboveAverage="0" equalAverage="0" bottom="0" percent="0" rank="0" text="" dxfId="11">
      <formula>"-"</formula>
    </cfRule>
  </conditionalFormatting>
  <conditionalFormatting sqref="H1:H3 H6:H37 H41:H55 H58:H167 H171:H297 H301:H356 H358 H360:H519 H523:H686 H690:H742 H745:H792 H794:H803 H836 H838 H841:H847 H909:H911 H913 H960:H963 H1073:H1074 H1741:H1744 H1892:H1895 H1934 H2115 H2276:H2277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31.57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9.52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4" width="41.42"/>
    <col collapsed="false" customWidth="true" hidden="false" outlineLevel="0" max="14" min="14" style="74" width="14.98"/>
    <col collapsed="false" customWidth="true" hidden="false" outlineLevel="0" max="15" min="15" style="74" width="11"/>
    <col collapsed="false" customWidth="true" hidden="false" outlineLevel="0" max="16" min="16" style="74" width="15.51"/>
    <col collapsed="false" customWidth="false" hidden="false" outlineLevel="0" max="16371" min="19" style="74" width="19.16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8" t="str">
        <f aca="false">$N$22</f>
        <v>✓</v>
      </c>
      <c r="B1" s="12"/>
      <c r="C1" s="12" t="s">
        <v>23</v>
      </c>
      <c r="D1" s="12"/>
      <c r="E1" s="12"/>
      <c r="F1" s="12"/>
      <c r="G1" s="12"/>
      <c r="H1" s="169"/>
      <c r="I1" s="14"/>
      <c r="J1" s="14"/>
      <c r="K1" s="136"/>
      <c r="L1" s="136"/>
    </row>
    <row r="2" customFormat="false" ht="28.5" hidden="false" customHeight="true" outlineLevel="0" collapsed="false">
      <c r="A2" s="170" t="s">
        <v>112</v>
      </c>
      <c r="B2" s="171" t="s">
        <v>40</v>
      </c>
      <c r="C2" s="171" t="s">
        <v>113</v>
      </c>
      <c r="D2" s="171" t="s">
        <v>114</v>
      </c>
      <c r="E2" s="171" t="s">
        <v>115</v>
      </c>
      <c r="F2" s="171" t="s">
        <v>116</v>
      </c>
      <c r="G2" s="171" t="s">
        <v>117</v>
      </c>
      <c r="H2" s="26" t="s">
        <v>118</v>
      </c>
      <c r="I2" s="26" t="s">
        <v>119</v>
      </c>
      <c r="J2" s="26" t="s">
        <v>81</v>
      </c>
      <c r="K2" s="58" t="s">
        <v>120</v>
      </c>
      <c r="L2" s="26" t="s">
        <v>121</v>
      </c>
    </row>
    <row r="3" customFormat="false" ht="16.5" hidden="false" customHeight="true" outlineLevel="0" collapsed="false">
      <c r="A3" s="79"/>
      <c r="B3" s="80"/>
      <c r="C3" s="172"/>
      <c r="D3" s="173"/>
      <c r="E3" s="172"/>
      <c r="F3" s="173"/>
      <c r="G3" s="21"/>
      <c r="H3" s="21"/>
      <c r="I3" s="21"/>
      <c r="J3" s="21"/>
      <c r="K3" s="174"/>
      <c r="L3" s="173"/>
      <c r="XFC3" s="1"/>
      <c r="XFD3" s="1"/>
    </row>
    <row r="4" customFormat="false" ht="16.5" hidden="false" customHeight="true" outlineLevel="0" collapsed="false">
      <c r="A4" s="79"/>
      <c r="B4" s="80"/>
      <c r="C4" s="172"/>
      <c r="D4" s="173"/>
      <c r="E4" s="172"/>
      <c r="F4" s="173"/>
      <c r="G4" s="21"/>
      <c r="H4" s="21"/>
      <c r="I4" s="21"/>
      <c r="J4" s="21"/>
      <c r="K4" s="174"/>
      <c r="L4" s="173"/>
    </row>
    <row r="5" customFormat="false" ht="17.25" hidden="false" customHeight="true" outlineLevel="0" collapsed="false">
      <c r="A5" s="66" t="s">
        <v>122</v>
      </c>
      <c r="B5" s="70"/>
      <c r="C5" s="66"/>
      <c r="D5" s="70" t="n">
        <f aca="false">ABS(SUMIFS(D3:D4,D3:D4,1)-COUNTA(D3:D4))</f>
        <v>0</v>
      </c>
      <c r="E5" s="66"/>
      <c r="F5" s="70" t="n">
        <f aca="false">COUNTIF($F$3:$F$4,0)</f>
        <v>0</v>
      </c>
      <c r="G5" s="66"/>
      <c r="H5" s="66"/>
      <c r="I5" s="66"/>
      <c r="J5" s="66"/>
      <c r="K5" s="67"/>
      <c r="L5" s="70" t="n">
        <f aca="false">ABS(SUMIFS(L3:L4,L3:L4,1)-COUNTA(L3:L4))</f>
        <v>0</v>
      </c>
    </row>
    <row r="7" customFormat="false" ht="18.75" hidden="false" customHeight="true" outlineLevel="0" collapsed="false">
      <c r="M7" s="97" t="s">
        <v>123</v>
      </c>
      <c r="N7" s="97"/>
      <c r="O7" s="97"/>
      <c r="P7" s="97"/>
    </row>
    <row r="8" customFormat="false" ht="19.5" hidden="false" customHeight="true" outlineLevel="0" collapsed="false">
      <c r="M8" s="26" t="s">
        <v>124</v>
      </c>
      <c r="N8" s="26" t="s">
        <v>125</v>
      </c>
      <c r="O8" s="26" t="s">
        <v>126</v>
      </c>
      <c r="P8" s="26" t="s">
        <v>62</v>
      </c>
    </row>
    <row r="9" customFormat="false" ht="16.5" hidden="false" customHeight="true" outlineLevel="0" collapsed="false">
      <c r="M9" s="26"/>
      <c r="N9" s="26"/>
      <c r="O9" s="169"/>
      <c r="P9" s="175"/>
    </row>
    <row r="10" customFormat="false" ht="16.5" hidden="false" customHeight="true" outlineLevel="0" collapsed="false">
      <c r="M10" s="79" t="s">
        <v>127</v>
      </c>
      <c r="N10" s="176" t="str">
        <f aca="false">IF(SUM($O10:$P10)=0,"✓","✗")</f>
        <v>✓</v>
      </c>
      <c r="O10" s="177" t="n">
        <f aca="false">$D$5+$L$5+$F$5</f>
        <v>0</v>
      </c>
      <c r="P10" s="178" t="n">
        <f aca="false">COUNTIFS($B3:$B4,P$8,$K3:$K4,"Oui")-COUNTIFS($B3:$B4,P$8,$K3:$K4,"Oui",$J3:$J4,0)</f>
        <v>0</v>
      </c>
    </row>
    <row r="11" customFormat="false" ht="16.5" hidden="false" customHeight="true" outlineLevel="0" collapsed="false">
      <c r="M11" s="79" t="s">
        <v>128</v>
      </c>
      <c r="N11" s="179" t="str">
        <f aca="false">IF(SUM($O11:$P11)=0,"✓","✗")</f>
        <v>✓</v>
      </c>
      <c r="O11" s="177"/>
      <c r="P11" s="180" t="n">
        <f aca="false">Budget!F$38</f>
        <v>0</v>
      </c>
    </row>
    <row r="12" customFormat="false" ht="16.5" hidden="false" customHeight="true" outlineLevel="0" collapsed="false">
      <c r="M12" s="79" t="s">
        <v>43</v>
      </c>
      <c r="N12" s="179" t="str">
        <f aca="false">IF(O12=0,"✓","⚠")</f>
        <v>✓</v>
      </c>
      <c r="O12" s="177" t="n">
        <f aca="false">COUNTIF(OPdate,"&lt;"&amp;DATE(2020,1,1))+COUNTIF(OPdate,"&gt;"&amp;DATE(année_courante,12,31))</f>
        <v>0</v>
      </c>
      <c r="P12" s="178"/>
    </row>
    <row r="13" customFormat="false" ht="16.5" hidden="false" customHeight="true" outlineLevel="0" collapsed="false">
      <c r="M13" s="79" t="s">
        <v>129</v>
      </c>
      <c r="N13" s="179" t="str">
        <f aca="false">IF(O13=0,"✓","⚠")</f>
        <v>✓</v>
      </c>
      <c r="O13" s="177" t="n">
        <f aca="false">COUNTIFS(OPréf,"-")</f>
        <v>0</v>
      </c>
      <c r="P13" s="178" t="n">
        <f aca="false">COUNTIFS(OPréf,"-",OPdevise,P$8)</f>
        <v>0</v>
      </c>
    </row>
    <row r="14" customFormat="false" ht="16.5" hidden="false" customHeight="true" outlineLevel="0" collapsed="false">
      <c r="M14" s="181" t="s">
        <v>130</v>
      </c>
      <c r="N14" s="179" t="str">
        <f aca="false">IF(O14=0,"✓","⚠")</f>
        <v>✓</v>
      </c>
      <c r="O14" s="177" t="n">
        <f aca="false">3-COUNTIFS(O15:O19,0)</f>
        <v>0</v>
      </c>
      <c r="P14" s="178" t="n">
        <f aca="false">COUNTA($M15:$M17)-COUNTIFS(P15:P17,0)</f>
        <v>0</v>
      </c>
    </row>
    <row r="15" customFormat="false" ht="16.5" hidden="false" customHeight="true" outlineLevel="0" collapsed="false">
      <c r="M15" s="182" t="s">
        <v>131</v>
      </c>
      <c r="N15" s="19"/>
      <c r="O15" s="110"/>
      <c r="P15" s="183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4" t="s">
        <v>132</v>
      </c>
      <c r="N16" s="19"/>
      <c r="O16" s="110" t="n">
        <f aca="false">SUM(P16)</f>
        <v>0</v>
      </c>
      <c r="P16" s="180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2" t="s">
        <v>14</v>
      </c>
      <c r="N17" s="19"/>
      <c r="O17" s="110"/>
      <c r="P17" s="180" t="n">
        <f aca="false">ROUND(SUMIFS(OPmontant,OPdevise,P$8,OPcatégorie,"*titres"),0)</f>
        <v>0</v>
      </c>
    </row>
    <row r="18" customFormat="false" ht="16.5" hidden="false" customHeight="true" outlineLevel="0" collapsed="false">
      <c r="M18" s="184" t="s">
        <v>132</v>
      </c>
      <c r="N18" s="19"/>
      <c r="O18" s="110" t="n">
        <f aca="false">SUM(P18)</f>
        <v>0</v>
      </c>
      <c r="P18" s="180" t="n">
        <f aca="false">ROUND(SUMIFS(OPmontant,OPdevise,P$8,OPcatégorie,"*titres"),0)</f>
        <v>0</v>
      </c>
    </row>
    <row r="19" customFormat="false" ht="16.5" hidden="false" customHeight="true" outlineLevel="0" collapsed="false">
      <c r="M19" s="182" t="s">
        <v>133</v>
      </c>
      <c r="N19" s="19"/>
      <c r="O19" s="110" t="n">
        <f aca="false">SUMIFS(OPequiv_euro,OPcatégorie,"Change") + SUMIFS(OPequiv_euro,OPcatégorie,"Achat métaux")</f>
        <v>0</v>
      </c>
      <c r="P19" s="180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85" t="s">
        <v>134</v>
      </c>
      <c r="N20" s="19"/>
      <c r="O20" s="186" t="n">
        <f aca="false">O16+O18+O19</f>
        <v>0</v>
      </c>
      <c r="P20" s="180" t="n">
        <f aca="false">P16+P18+P19</f>
        <v>0</v>
      </c>
    </row>
    <row r="21" customFormat="false" ht="16.5" hidden="false" customHeight="true" outlineLevel="0" collapsed="false">
      <c r="M21" s="181" t="s">
        <v>135</v>
      </c>
      <c r="N21" s="179" t="str">
        <f aca="false">IF(O21=0,"✓","✗")</f>
        <v>✓</v>
      </c>
      <c r="O21" s="177" t="n">
        <f aca="false">SUMPRODUCT((COUNTIF(AVRintitulé,OPcompte)=0)*(OPcompte&lt;&gt;""))</f>
        <v>0</v>
      </c>
      <c r="P21" s="110"/>
    </row>
    <row r="22" customFormat="false" ht="16.5" hidden="false" customHeight="true" outlineLevel="0" collapsed="false">
      <c r="M22" s="67" t="s">
        <v>136</v>
      </c>
      <c r="N22" s="70" t="str">
        <f aca="false">IF(N10&amp;N11&amp;N12&amp;$N13&amp;$N14&amp;$N21="✓✓✓✓✓✓","✓",$N10&amp;$N11&amp;N12&amp;$N13&amp;$N14&amp;$N21)</f>
        <v>✓</v>
      </c>
      <c r="O22" s="187" t="n">
        <f aca="false">O18+O20+O21</f>
        <v>0</v>
      </c>
      <c r="P22" s="67"/>
    </row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P11 P15 P17:P18">
    <cfRule type="cellIs" priority="2" operator="notEqual" aboveAverage="0" equalAverage="0" bottom="0" percent="0" rank="0" text="" dxfId="0">
      <formula>0</formula>
    </cfRule>
  </conditionalFormatting>
  <conditionalFormatting sqref="O10:P10 O12 O22 P13:P14">
    <cfRule type="cellIs" priority="3" operator="notEqual" aboveAverage="0" equalAverage="0" bottom="0" percent="0" rank="0" text="" dxfId="0">
      <formula>0</formula>
    </cfRule>
  </conditionalFormatting>
  <conditionalFormatting sqref="N22">
    <cfRule type="cellIs" priority="4" operator="notEqual" aboveAverage="0" equalAverage="0" bottom="0" percent="0" rank="0" text="" dxfId="0">
      <formula>"."</formula>
    </cfRule>
  </conditionalFormatting>
  <conditionalFormatting sqref="N9">
    <cfRule type="expression" priority="5" aboveAverage="0" equalAverage="0" bottom="0" percent="0" rank="0" text="" dxfId="1">
      <formula>NOT(ISERROR(FIND("✗",INDIRECT("RC",0))))</formula>
    </cfRule>
    <cfRule type="expression" priority="6" aboveAverage="0" equalAverage="0" bottom="0" percent="0" rank="0" text="" dxfId="2">
      <formula>NOT(ISERROR(FIND("⚠",INDIRECT("RC",0))))</formula>
    </cfRule>
  </conditionalFormatting>
  <conditionalFormatting sqref="N10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1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2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A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C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N13:N14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O13:O14">
    <cfRule type="cellIs" priority="21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2" min="2" style="74" width="9"/>
    <col collapsed="false" customWidth="true" hidden="false" outlineLevel="0" max="3" min="3" style="133" width="9"/>
    <col collapsed="false" customWidth="true" hidden="false" outlineLevel="0" max="4" min="4" style="74" width="14.47"/>
    <col collapsed="false" customWidth="true" hidden="false" outlineLevel="0" max="5" min="5" style="74" width="15.33"/>
    <col collapsed="false" customWidth="true" hidden="false" outlineLevel="0" max="6" min="6" style="74" width="17.52"/>
    <col collapsed="false" customWidth="true" hidden="false" outlineLevel="0" max="7" min="7" style="44" width="9.83"/>
    <col collapsed="false" customWidth="true" hidden="false" outlineLevel="0" max="8" min="8" style="44" width="9.52"/>
    <col collapsed="false" customWidth="true" hidden="false" outlineLevel="0" max="9" min="9" style="44" width="3.5"/>
    <col collapsed="false" customWidth="true" hidden="false" outlineLevel="0" max="10" min="10" style="44" width="67.16"/>
    <col collapsed="false" customWidth="false" hidden="false" outlineLevel="0" max="16381" min="11" style="44" width="13.16"/>
    <col collapsed="false" customWidth="true" hidden="false" outlineLevel="0" max="16382" min="16382" style="1" width="11.5"/>
    <col collapsed="false" customWidth="true" hidden="false" outlineLevel="0" max="16384" min="16383" style="1" width="11.53"/>
  </cols>
  <sheetData>
    <row r="1" customFormat="false" ht="16.5" hidden="false" customHeight="true" outlineLevel="0" collapsed="false">
      <c r="A1" s="136" t="str">
        <f aca="false">Contrôles!$N$22</f>
        <v>✓</v>
      </c>
      <c r="B1" s="136"/>
      <c r="C1" s="136"/>
      <c r="D1" s="136" t="n">
        <f aca="false">année_courante</f>
        <v>2026</v>
      </c>
      <c r="E1" s="136"/>
      <c r="F1" s="14"/>
    </row>
    <row r="2" customFormat="false" ht="21" hidden="false" customHeight="true" outlineLevel="0" collapsed="false">
      <c r="A2" s="188" t="s">
        <v>137</v>
      </c>
      <c r="B2" s="188" t="s">
        <v>138</v>
      </c>
      <c r="C2" s="189" t="s">
        <v>139</v>
      </c>
      <c r="D2" s="58" t="s">
        <v>140</v>
      </c>
      <c r="E2" s="58" t="s">
        <v>43</v>
      </c>
      <c r="F2" s="58" t="s">
        <v>141</v>
      </c>
    </row>
    <row r="3" customFormat="false" ht="16.5" hidden="false" customHeight="true" outlineLevel="0" collapsed="false">
      <c r="A3" s="190" t="s">
        <v>16</v>
      </c>
      <c r="B3" s="190" t="s">
        <v>142</v>
      </c>
      <c r="C3" s="19" t="s">
        <v>62</v>
      </c>
      <c r="D3" s="65" t="n">
        <v>1</v>
      </c>
      <c r="E3" s="191"/>
      <c r="F3" s="191"/>
    </row>
    <row r="4" customFormat="false" ht="15" hidden="false" customHeight="true" outlineLevel="0" collapsed="false">
      <c r="A4" s="190"/>
      <c r="B4" s="190"/>
      <c r="C4" s="19"/>
      <c r="D4" s="65"/>
      <c r="E4" s="191"/>
      <c r="F4" s="191"/>
    </row>
    <row r="5" customFormat="false" ht="18" hidden="false" customHeight="true" outlineLevel="0" collapsed="false">
      <c r="A5" s="188" t="s">
        <v>23</v>
      </c>
      <c r="B5" s="188"/>
      <c r="C5" s="189"/>
      <c r="D5" s="58"/>
      <c r="E5" s="58"/>
      <c r="F5" s="58"/>
    </row>
    <row r="6" customFormat="false" ht="18" hidden="false" customHeight="true" outlineLevel="0" collapsed="false">
      <c r="D6" s="192"/>
      <c r="E6" s="192"/>
    </row>
    <row r="7" customFormat="false" ht="18" hidden="false" customHeight="true" outlineLevel="0" collapsed="false">
      <c r="D7" s="192"/>
      <c r="E7" s="192"/>
    </row>
    <row r="8" customFormat="false" ht="18" hidden="false" customHeight="true" outlineLevel="0" collapsed="false">
      <c r="D8" s="192"/>
      <c r="E8" s="192"/>
    </row>
    <row r="9" customFormat="false" ht="18" hidden="false" customHeight="true" outlineLevel="0" collapsed="false">
      <c r="D9" s="192"/>
      <c r="E9" s="192"/>
    </row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:B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2026-03-30T14:05:18Z</dcterms:modified>
  <cp:revision>949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