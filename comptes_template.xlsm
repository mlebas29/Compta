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ours_AgPr" vbProcedure="false">#REF!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Contrôles!$M$22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Contrôles!$M$10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<sst xmlns="http://schemas.openxmlformats.org/spreadsheetml/2006/main" count="177" uniqueCount="131">
  <si>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</si>
  <si>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</si>
  <si>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</si>
  <si>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</si>
  <si>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</si>
  <si>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</si>
  <si>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</si>
  <si>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</si>
  <si>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</si>
  <si>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</si>
  <si>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</si>
  <si>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</si>
  <si>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</si>
  <si>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</si>
  <si>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</si>
  <si>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</si>
  <si>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</si>
  <si>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</si>
  <si>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</si>
  <si>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</si>
  <si>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</si>
  <si>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</si>
  <si>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</si>
  <si>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</si>
  <si>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</si>
  <si>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</si>
  <si>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</si>
  <si>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</si>
  <si>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</si>
  <si>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</si>
  <si>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</si>
  <si>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valeur</t>
  </si>
  <si>
    <t xml:space="preserve">Antériorité</t>
  </si>
  <si>
    <t xml:space="preserve">Date et 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</si>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</sst>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7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2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3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6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6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0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4" fillId="2" borderId="5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2" fillId="19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COUNTA(AVRintitulé)-2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Plus_value!F15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F5" s="16"/>
      <c r="G5" s="17"/>
      <c r="H5" s="14"/>
      <c r="I5" s="15"/>
    </row>
    <row r="6" customFormat="false" ht="16.5" hidden="false" customHeight="true" outlineLevel="0" collapsed="false">
      <c r="B6" s="18" t="s">
        <v>5</v>
      </c>
      <c r="C6" s="19" t="n">
        <f aca="false">COUNTIF(AVRtype,$B6)</f>
        <v>0</v>
      </c>
      <c r="D6" s="20" t="n">
        <f aca="false">SUMIF(AVRtype,$B6,AVRmontant_solde_euro)</f>
        <v>0</v>
      </c>
      <c r="E6" s="21" t="e">
        <f aca="false">D6/D$13</f>
        <v>#DIV/0!</v>
      </c>
      <c r="G6" s="22"/>
    </row>
    <row r="7" customFormat="false" ht="16.5" hidden="false" customHeight="true" outlineLevel="0" collapsed="false">
      <c r="B7" s="18" t="s">
        <v>6</v>
      </c>
      <c r="C7" s="19" t="n">
        <f aca="false">COUNTIF(AVRtype,$B7)</f>
        <v>0</v>
      </c>
      <c r="D7" s="20" t="n">
        <f aca="false">SUMIF(AVRtype,$B7,AVRmontant_solde_euro)</f>
        <v>0</v>
      </c>
      <c r="E7" s="21" t="e">
        <f aca="false">D7/D$13</f>
        <v>#DIV/0!</v>
      </c>
    </row>
    <row r="8" customFormat="false" ht="16.5" hidden="false" customHeight="true" outlineLevel="0" collapsed="false">
      <c r="B8" s="18" t="s">
        <v>7</v>
      </c>
      <c r="C8" s="19" t="n">
        <f aca="false">COUNTIF(AVRtype,$B8)</f>
        <v>0</v>
      </c>
      <c r="D8" s="20" t="n">
        <f aca="false">SUMIF(AVRtype,$B8,AVRmontant_solde_euro)</f>
        <v>0</v>
      </c>
      <c r="E8" s="21" t="e">
        <f aca="false">D8/D$13</f>
        <v>#DIV/0!</v>
      </c>
    </row>
    <row r="9" customFormat="false" ht="16.5" hidden="false" customHeight="true" outlineLevel="0" collapsed="false">
      <c r="B9" s="18" t="s">
        <v>8</v>
      </c>
      <c r="C9" s="19" t="n">
        <f aca="false">COUNTIF(AVRtype,$B9)</f>
        <v>0</v>
      </c>
      <c r="D9" s="20" t="n">
        <f aca="false">SUMIF(AVRtype,$B9,AVRmontant_solde_euro)</f>
        <v>0</v>
      </c>
      <c r="E9" s="21" t="e">
        <f aca="false">D9/D$13</f>
        <v>#DIV/0!</v>
      </c>
    </row>
    <row r="10" customFormat="false" ht="16.5" hidden="false" customHeight="true" outlineLevel="0" collapsed="false">
      <c r="B10" s="18" t="s">
        <v>9</v>
      </c>
      <c r="C10" s="19" t="n">
        <f aca="false">COUNTIF(AVRtype,$B10)</f>
        <v>0</v>
      </c>
      <c r="D10" s="20" t="n">
        <f aca="false">SUMIF(AVRtype,$B10,AVRmontant_solde_euro)</f>
        <v>0</v>
      </c>
      <c r="E10" s="21" t="e">
        <f aca="false">D10/D$13</f>
        <v>#DIV/0!</v>
      </c>
    </row>
    <row r="11" customFormat="false" ht="16.5" hidden="false" customHeight="true" outlineLevel="0" collapsed="false">
      <c r="B11" s="18" t="s">
        <v>10</v>
      </c>
      <c r="C11" s="19" t="n">
        <f aca="false">COUNTIF(AVRtype,$B11)</f>
        <v>0</v>
      </c>
      <c r="D11" s="20" t="n">
        <f aca="false">SUMIF(AVRtype,$B11,AVRmontant_solde_euro)</f>
        <v>0</v>
      </c>
      <c r="E11" s="21" t="e">
        <f aca="false">D11/D$13</f>
        <v>#DIV/0!</v>
      </c>
      <c r="G11" s="22"/>
    </row>
    <row r="12" customFormat="false" ht="16.5" hidden="false" customHeight="true" outlineLevel="0" collapsed="false">
      <c r="B12" s="18" t="s">
        <v>11</v>
      </c>
      <c r="C12" s="19" t="n">
        <f aca="false">COUNTIF(AVRtype,$B12)</f>
        <v>0</v>
      </c>
      <c r="D12" s="20" t="n">
        <f aca="false">SUMIF(AVRtype,$B12,AVRmontant_solde_euro)</f>
        <v>0</v>
      </c>
      <c r="E12" s="21" t="e">
        <f aca="false">D12/D$13</f>
        <v>#DIV/0!</v>
      </c>
      <c r="G12" s="22"/>
    </row>
    <row r="13" customFormat="false" ht="16.5" hidden="false" customHeight="true" outlineLevel="0" collapsed="false">
      <c r="B13" s="23" t="s">
        <v>3</v>
      </c>
      <c r="C13" s="19" t="n">
        <f aca="false">SUM(C6:C12)</f>
        <v>0</v>
      </c>
      <c r="D13" s="24" t="n">
        <f aca="false">ROUND(SUM(D6:D12),2)</f>
        <v>0</v>
      </c>
      <c r="E13" s="21"/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8" t="s">
        <v>13</v>
      </c>
      <c r="C15" s="19" t="n">
        <f aca="false">COUNTIF(AVRsous_type,$B15)</f>
        <v>0</v>
      </c>
      <c r="D15" s="20" t="n">
        <f aca="false">SUMIF(AVRsous_type,B15,AVRmontant_solde_euro)</f>
        <v>0</v>
      </c>
      <c r="E15" s="21" t="e">
        <f aca="false">D15/D$20</f>
        <v>#DIV/0!</v>
      </c>
      <c r="G15" s="22"/>
    </row>
    <row r="16" customFormat="false" ht="16.5" hidden="false" customHeight="true" outlineLevel="0" collapsed="false">
      <c r="B16" s="18" t="s">
        <v>14</v>
      </c>
      <c r="C16" s="19" t="n">
        <f aca="false">COUNTIF(AVRsous_type,$B16)</f>
        <v>0</v>
      </c>
      <c r="D16" s="20" t="n">
        <f aca="false">SUMIF(AVRsous_type,B16,AVRmontant_solde_euro)</f>
        <v>0</v>
      </c>
      <c r="E16" s="21" t="e">
        <f aca="false">D16/D$20</f>
        <v>#DIV/0!</v>
      </c>
    </row>
    <row r="17" customFormat="false" ht="16.5" hidden="false" customHeight="true" outlineLevel="0" collapsed="false">
      <c r="B17" s="18" t="s">
        <v>15</v>
      </c>
      <c r="C17" s="19" t="n">
        <f aca="false">COUNTIF(AVRsous_type,$B17)</f>
        <v>0</v>
      </c>
      <c r="D17" s="20" t="n">
        <f aca="false">SUMIF(AVRsous_type,B17,AVRmontant_solde_euro)</f>
        <v>0</v>
      </c>
      <c r="E17" s="21" t="e">
        <f aca="false">D17/D$20</f>
        <v>#DIV/0!</v>
      </c>
    </row>
    <row r="18" customFormat="false" ht="16.5" hidden="false" customHeight="true" outlineLevel="0" collapsed="false">
      <c r="B18" s="18" t="s">
        <v>16</v>
      </c>
      <c r="C18" s="19" t="n">
        <f aca="false">COUNTIF(AVRsous_type,$B18)</f>
        <v>0</v>
      </c>
      <c r="D18" s="20" t="n">
        <f aca="false">SUMIF(AVRsous_type,B18,AVRmontant_solde_euro)</f>
        <v>0</v>
      </c>
      <c r="E18" s="21" t="e">
        <f aca="false">D18/D$20</f>
        <v>#DIV/0!</v>
      </c>
    </row>
    <row r="19" customFormat="false" ht="16.5" hidden="false" customHeight="true" outlineLevel="0" collapsed="false">
      <c r="B19" s="18" t="s">
        <v>11</v>
      </c>
      <c r="C19" s="19" t="n">
        <f aca="false">COUNTIF(AVRsous_type,$B19)</f>
        <v>0</v>
      </c>
      <c r="D19" s="20" t="n">
        <f aca="false">SUMIF(AVRsous_type,B19,AVRmontant_solde_euro)</f>
        <v>0</v>
      </c>
      <c r="E19" s="21" t="e">
        <f aca="false">D19/D$20</f>
        <v>#DIV/0!</v>
      </c>
    </row>
    <row r="20" customFormat="false" ht="16.5" hidden="false" customHeight="true" outlineLevel="0" collapsed="false">
      <c r="B20" s="23" t="s">
        <v>3</v>
      </c>
      <c r="C20" s="19" t="n">
        <f aca="false">SUM(C15:C19)</f>
        <v>0</v>
      </c>
      <c r="D20" s="24" t="n">
        <f aca="false">ROUND(SUM(D15:D19),2)</f>
        <v>0</v>
      </c>
      <c r="E20" s="21"/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 t="s">
        <v>11</v>
      </c>
      <c r="C22" s="19" t="n">
        <f aca="false">COUNTIF(AVRdomiciliation,$B22)</f>
        <v>0</v>
      </c>
      <c r="D22" s="20" t="n">
        <f aca="false">SUMIF(AVRdomiciliation,$B22,AVRmontant_solde_euro)</f>
        <v>0</v>
      </c>
      <c r="E22" s="21" t="e">
        <f aca="false">D22/D$23</f>
        <v>#DIV/0!</v>
      </c>
      <c r="G22" s="22"/>
    </row>
    <row r="23" customFormat="false" ht="16.5" hidden="false" customHeight="true" outlineLevel="0" collapsed="false">
      <c r="B23" s="23" t="s">
        <v>3</v>
      </c>
      <c r="C23" s="19" t="n">
        <f aca="false">SUM(C22)</f>
        <v>0</v>
      </c>
      <c r="D23" s="24" t="n">
        <f aca="false">ROUND(SUM(D22),2)</f>
        <v>0</v>
      </c>
      <c r="E23" s="21"/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8" t="s">
        <v>11</v>
      </c>
      <c r="C25" s="19" t="n">
        <f aca="false">COUNTIF(AVRtitulaire,$B25)</f>
        <v>0</v>
      </c>
      <c r="D25" s="30" t="n">
        <f aca="false">SUMIF(AVRtitulaire,$B25,AVRmontant_solde_euro)</f>
        <v>0</v>
      </c>
      <c r="E25" s="21" t="e">
        <f aca="false">D25/D$26</f>
        <v>#DIV/0!</v>
      </c>
    </row>
    <row r="26" customFormat="false" ht="16.5" hidden="false" customHeight="true" outlineLevel="0" collapsed="false">
      <c r="B26" s="23" t="s">
        <v>3</v>
      </c>
      <c r="C26" s="19" t="n">
        <f aca="false">SUM(C25)</f>
        <v>0</v>
      </c>
      <c r="D26" s="24" t="n">
        <f aca="false">ROUND(SUM(D25),2)</f>
        <v>0</v>
      </c>
      <c r="E26" s="21"/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8" t="s">
        <v>20</v>
      </c>
      <c r="C28" s="19" t="n">
        <f aca="false">COUNTIF(AVRpropriete,$B28)</f>
        <v>0</v>
      </c>
      <c r="D28" s="20" t="n">
        <f aca="false">SUMIF(AVRpropriete,B28,AVRmontant_solde_euro)</f>
        <v>0</v>
      </c>
      <c r="E28" s="21" t="e">
        <f aca="false">D28/D$30</f>
        <v>#DIV/0!</v>
      </c>
      <c r="G28" s="22"/>
    </row>
    <row r="29" customFormat="false" ht="13.5" hidden="false" customHeight="true" outlineLevel="0" collapsed="false">
      <c r="B29" s="18" t="s">
        <v>21</v>
      </c>
      <c r="C29" s="19" t="n">
        <f aca="false">COUNTIF(AVRpropriete,$B29)</f>
        <v>0</v>
      </c>
      <c r="D29" s="20" t="n">
        <f aca="false">SUMIF(AVRpropriete,B29,AVRmontant_solde_euro)</f>
        <v>0</v>
      </c>
      <c r="E29" s="21" t="e">
        <f aca="false">D29/D$30</f>
        <v>#DIV/0!</v>
      </c>
      <c r="G29" s="22" t="s">
        <v>22</v>
      </c>
    </row>
    <row r="30" customFormat="false" ht="13.5" hidden="false" customHeight="true" outlineLevel="0" collapsed="false">
      <c r="B30" s="23" t="s">
        <v>3</v>
      </c>
      <c r="C30" s="19" t="n">
        <f aca="false">SUM(C28:C29)</f>
        <v>0</v>
      </c>
      <c r="D30" s="24" t="n">
        <f aca="false">ROUND(SUM(D28:D29),2)</f>
        <v>0</v>
      </c>
      <c r="E30" s="21"/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42" customFormat="false" ht="12.75" hidden="false" customHeight="true" outlineLevel="0" collapsed="false">
      <c r="J42" s="31"/>
      <c r="K42" s="31"/>
      <c r="L42" s="31"/>
      <c r="M42" s="34"/>
    </row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50"/>
      <c r="J1" s="49"/>
      <c r="K1" s="49"/>
      <c r="L1" s="51" t="n">
        <v>0</v>
      </c>
      <c r="M1" s="44" t="s">
        <v>31</v>
      </c>
    </row>
    <row r="2" customFormat="false" ht="16.5" hidden="false" customHeight="true" outlineLevel="0" collapsed="false">
      <c r="A2" s="52" t="str">
        <f aca="false">Contrôles!K$23</f>
        <v>✓</v>
      </c>
      <c r="B2" s="53"/>
      <c r="C2" s="5"/>
      <c r="D2" s="12"/>
      <c r="E2" s="12"/>
      <c r="F2" s="54"/>
      <c r="G2" s="54"/>
      <c r="H2" s="47" t="s">
        <v>32</v>
      </c>
      <c r="I2" s="55"/>
      <c r="J2" s="47" t="s">
        <v>33</v>
      </c>
      <c r="K2" s="55"/>
      <c r="L2" s="56" t="n">
        <f aca="false">L6</f>
        <v>0</v>
      </c>
      <c r="M2" s="44" t="s">
        <v>34</v>
      </c>
    </row>
    <row r="3" customFormat="false" ht="33.75" hidden="false" customHeight="true" outlineLevel="0" collapsed="false">
      <c r="A3" s="57" t="s">
        <v>35</v>
      </c>
      <c r="B3" s="16" t="s">
        <v>36</v>
      </c>
      <c r="C3" s="16" t="s">
        <v>37</v>
      </c>
      <c r="D3" s="11" t="s">
        <v>38</v>
      </c>
      <c r="E3" s="58" t="s">
        <v>39</v>
      </c>
      <c r="F3" s="11" t="s">
        <v>40</v>
      </c>
      <c r="G3" s="11" t="s">
        <v>41</v>
      </c>
      <c r="H3" s="11" t="s">
        <v>42</v>
      </c>
      <c r="I3" s="59" t="s">
        <v>43</v>
      </c>
      <c r="J3" s="60" t="s">
        <v>42</v>
      </c>
      <c r="K3" s="61" t="s">
        <v>44</v>
      </c>
      <c r="L3" s="61" t="s">
        <v>45</v>
      </c>
    </row>
    <row r="4" customFormat="false" ht="14.25" hidden="false" customHeight="true" outlineLevel="0" collapsed="false">
      <c r="A4" s="62" t="s">
        <v>46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46</v>
      </c>
      <c r="B5" s="64"/>
      <c r="C5" s="64"/>
      <c r="D5" s="65"/>
      <c r="E5" s="65"/>
      <c r="F5" s="67"/>
      <c r="G5" s="67"/>
      <c r="H5" s="67"/>
      <c r="I5" s="67"/>
      <c r="J5" s="67"/>
      <c r="K5" s="67"/>
      <c r="L5" s="67"/>
    </row>
    <row r="6" customFormat="false" ht="17.25" hidden="false" customHeight="true" outlineLevel="0" collapsed="false">
      <c r="A6" s="68" t="s">
        <v>47</v>
      </c>
      <c r="B6" s="69"/>
      <c r="C6" s="70"/>
      <c r="D6" s="71"/>
      <c r="E6" s="71"/>
      <c r="F6" s="72"/>
      <c r="G6" s="72"/>
      <c r="H6" s="72"/>
      <c r="I6" s="73"/>
      <c r="J6" s="73"/>
      <c r="K6" s="73"/>
      <c r="L6" s="73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4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5" width="31.68"/>
    <col collapsed="false" customWidth="true" hidden="false" outlineLevel="0" max="6" min="6" style="75" width="13.37"/>
    <col collapsed="false" customWidth="true" hidden="false" outlineLevel="0" max="7" min="7" style="75" width="12.84"/>
    <col collapsed="false" customWidth="true" hidden="false" outlineLevel="0" max="8" min="8" style="75" width="11.12"/>
    <col collapsed="false" customWidth="true" hidden="false" outlineLevel="0" max="9" min="9" style="75" width="13.16"/>
    <col collapsed="false" customWidth="true" hidden="false" outlineLevel="0" max="10" min="10" style="75" width="37"/>
    <col collapsed="false" customWidth="false" hidden="false" outlineLevel="0" max="16366" min="29" style="75" width="10.83"/>
    <col collapsed="false" customWidth="true" hidden="false" outlineLevel="0" max="16384" min="16367" style="75" width="11.53"/>
  </cols>
  <sheetData>
    <row r="1" customFormat="false" ht="16.5" hidden="false" customHeight="true" outlineLevel="0" collapsed="false">
      <c r="A1" s="76" t="str">
        <f aca="false">Contrôles!K$23</f>
        <v>✓</v>
      </c>
      <c r="B1" s="77"/>
      <c r="C1" s="78" t="n">
        <f aca="false">C$2-365</f>
        <v>45755</v>
      </c>
      <c r="D1" s="78"/>
    </row>
    <row r="2" customFormat="false" ht="16.5" hidden="false" customHeight="true" outlineLevel="0" collapsed="false">
      <c r="A2" s="79"/>
      <c r="B2" s="14"/>
      <c r="C2" s="78" t="n">
        <f aca="true">TODAY()</f>
        <v>46120</v>
      </c>
      <c r="D2" s="78"/>
    </row>
    <row r="3" customFormat="false" ht="28.5" hidden="false" customHeight="true" outlineLevel="0" collapsed="false">
      <c r="A3" s="26" t="s">
        <v>48</v>
      </c>
      <c r="B3" s="26" t="s">
        <v>36</v>
      </c>
      <c r="C3" s="26" t="s">
        <v>49</v>
      </c>
      <c r="D3" s="26"/>
    </row>
    <row r="4" customFormat="false" ht="15.5" hidden="false" customHeight="true" outlineLevel="0" collapsed="false">
      <c r="A4" s="80" t="s">
        <v>46</v>
      </c>
      <c r="B4" s="20"/>
      <c r="C4" s="20"/>
      <c r="D4" s="20"/>
    </row>
    <row r="5" customFormat="false" ht="16.5" hidden="false" customHeight="true" outlineLevel="0" collapsed="false">
      <c r="A5" s="80" t="s">
        <v>50</v>
      </c>
      <c r="B5" s="81" t="s">
        <v>51</v>
      </c>
      <c r="C5" s="20" t="n">
        <f aca="false">SUMIF(J16:J22,A5,I16:I22)</f>
        <v>0</v>
      </c>
      <c r="D5" s="20"/>
    </row>
    <row r="6" customFormat="false" ht="16.5" hidden="false" customHeight="true" outlineLevel="0" collapsed="false">
      <c r="A6" s="80" t="s">
        <v>46</v>
      </c>
      <c r="B6" s="81"/>
      <c r="C6" s="20"/>
      <c r="D6" s="20"/>
    </row>
    <row r="7" customFormat="false" ht="17.25" hidden="false" customHeight="true" outlineLevel="0" collapsed="false">
      <c r="A7" s="82" t="s">
        <v>52</v>
      </c>
      <c r="B7" s="83"/>
      <c r="C7" s="84" t="n">
        <f aca="false">SUM(C5)</f>
        <v>0</v>
      </c>
      <c r="D7" s="85"/>
    </row>
    <row r="8" customFormat="false" ht="16.5" hidden="false" customHeight="true" outlineLevel="0" collapsed="false">
      <c r="A8" s="86" t="s">
        <v>53</v>
      </c>
      <c r="B8" s="87"/>
      <c r="C8" s="88" t="n">
        <f aca="false">SUMIF($B5,"Fixe",C5)</f>
        <v>0</v>
      </c>
      <c r="D8" s="89"/>
    </row>
    <row r="9" customFormat="false" ht="17.25" hidden="false" customHeight="true" outlineLevel="0" collapsed="false">
      <c r="A9" s="86" t="s">
        <v>54</v>
      </c>
      <c r="B9" s="87"/>
      <c r="C9" s="90" t="n">
        <f aca="false">C$8/12</f>
        <v>0</v>
      </c>
      <c r="D9" s="91"/>
    </row>
    <row r="10" customFormat="false" ht="16.5" hidden="false" customHeight="true" outlineLevel="0" collapsed="false">
      <c r="A10" s="92" t="s">
        <v>55</v>
      </c>
      <c r="B10" s="93"/>
      <c r="C10" s="94" t="n">
        <f aca="false">ROUND(C$7-I$27,2)</f>
        <v>0</v>
      </c>
      <c r="D10" s="95"/>
    </row>
    <row r="12" customFormat="false" ht="18.75" hidden="false" customHeight="true" outlineLevel="0" collapsed="false">
      <c r="E12" s="96" t="s">
        <v>56</v>
      </c>
      <c r="F12" s="96"/>
      <c r="G12" s="96"/>
      <c r="H12" s="96"/>
      <c r="I12" s="96"/>
      <c r="J12" s="96"/>
    </row>
    <row r="13" customFormat="false" ht="37.9" hidden="false" customHeight="true" outlineLevel="0" collapsed="false">
      <c r="E13" s="97" t="s">
        <v>57</v>
      </c>
      <c r="F13" s="98" t="s">
        <v>58</v>
      </c>
      <c r="G13" s="99" t="s">
        <v>59</v>
      </c>
      <c r="H13" s="98" t="s">
        <v>60</v>
      </c>
      <c r="I13" s="99" t="s">
        <v>61</v>
      </c>
      <c r="J13" s="99" t="s">
        <v>48</v>
      </c>
    </row>
    <row r="14" customFormat="false" ht="15.5" hidden="false" customHeight="true" outlineLevel="0" collapsed="false">
      <c r="E14" s="97" t="s">
        <v>62</v>
      </c>
      <c r="F14" s="100" t="n">
        <v>1</v>
      </c>
      <c r="G14" s="101"/>
      <c r="H14" s="102"/>
      <c r="I14" s="103"/>
      <c r="J14" s="103"/>
    </row>
    <row r="15" customFormat="false" ht="15.5" hidden="false" customHeight="true" outlineLevel="0" collapsed="false">
      <c r="E15" s="104" t="s">
        <v>46</v>
      </c>
      <c r="F15" s="105"/>
      <c r="G15" s="106"/>
      <c r="H15" s="107"/>
      <c r="I15" s="20"/>
      <c r="J15" s="74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0"/>
      <c r="J16" s="74"/>
    </row>
    <row r="17" customFormat="false" ht="16.5" hidden="false" customHeight="true" outlineLevel="0" collapsed="false">
      <c r="E17" s="108" t="s">
        <v>64</v>
      </c>
      <c r="F17" s="105" t="n">
        <f aca="false">SUMIFS(OPmontant,OPdevise,F$13,OPcatégorie,$E17,OPdate,"&gt;"&amp;$C$2-365)</f>
        <v>0</v>
      </c>
      <c r="G17" s="109"/>
      <c r="H17" s="107"/>
      <c r="I17" s="20"/>
      <c r="J17" s="74"/>
    </row>
    <row r="18" customFormat="false" ht="16.5" hidden="false" customHeight="true" outlineLevel="0" collapsed="false">
      <c r="E18" s="108" t="s">
        <v>65</v>
      </c>
      <c r="F18" s="105" t="n">
        <f aca="false">SUMIFS(OPmontant,OPdevise,F$13,OPcatégorie,$E18,OPdate,"&gt;"&amp;$C$2-365)</f>
        <v>0</v>
      </c>
      <c r="G18" s="110"/>
      <c r="H18" s="110"/>
      <c r="I18" s="20"/>
      <c r="J18" s="63"/>
    </row>
    <row r="19" customFormat="false" ht="16.5" hidden="false" customHeight="true" outlineLevel="0" collapsed="false">
      <c r="E19" s="108" t="s">
        <v>66</v>
      </c>
      <c r="F19" s="105" t="n">
        <f aca="false">SUMIFS(OPmontant,OPdevise,F$13,OPcatégorie,$E19,OPdate,"&gt;"&amp;$C$2-365)</f>
        <v>0</v>
      </c>
      <c r="G19" s="110"/>
      <c r="H19" s="110"/>
      <c r="I19" s="20"/>
      <c r="J19" s="63"/>
    </row>
    <row r="20" customFormat="false" ht="16.5" hidden="false" customHeight="true" outlineLevel="0" collapsed="false">
      <c r="E20" s="108" t="s">
        <v>67</v>
      </c>
      <c r="F20" s="105" t="n">
        <f aca="false">SUMIFS(OPmontant,OPdevise,F$13,OPcatégorie,$E20,OPdate,"&gt;"&amp;$C$2-365)</f>
        <v>0</v>
      </c>
      <c r="G20" s="110"/>
      <c r="H20" s="110"/>
      <c r="I20" s="20"/>
      <c r="J20" s="63"/>
    </row>
    <row r="21" customFormat="false" ht="16.5" hidden="false" customHeight="true" outlineLevel="0" collapsed="false">
      <c r="E21" s="104" t="s">
        <v>68</v>
      </c>
      <c r="F21" s="105" t="n">
        <f aca="false">SUMIFS(OPmontant,OPdevise,F$13,OPcatégorie,$E21,OPdate,"&gt;"&amp;$C$2-365)</f>
        <v>0</v>
      </c>
      <c r="G21" s="106"/>
      <c r="H21" s="107"/>
      <c r="I21" s="20"/>
      <c r="J21" s="74"/>
    </row>
    <row r="22" customFormat="false" ht="17.25" hidden="false" customHeight="true" outlineLevel="0" collapsed="false">
      <c r="E22" s="108" t="s">
        <v>11</v>
      </c>
      <c r="F22" s="105" t="n">
        <f aca="false">SUMIFS(OPmontant,OPdevise,F$13,OPcatégorie,$E22,OPdate,"&gt;"&amp;$C$2-365)</f>
        <v>0</v>
      </c>
      <c r="G22" s="111" t="n">
        <f aca="false">SUMPRODUCT(F22,F$14)</f>
        <v>0</v>
      </c>
      <c r="H22" s="112" t="n">
        <v>1</v>
      </c>
      <c r="I22" s="20" t="n">
        <f aca="false">G22*H22</f>
        <v>0</v>
      </c>
      <c r="J22" s="63" t="s">
        <v>50</v>
      </c>
    </row>
    <row r="23" customFormat="false" ht="17.25" hidden="false" customHeight="true" outlineLevel="0" collapsed="false">
      <c r="E23" s="113" t="s">
        <v>46</v>
      </c>
      <c r="F23" s="114"/>
      <c r="G23" s="111"/>
      <c r="H23" s="114"/>
      <c r="I23" s="114"/>
      <c r="J23" s="115"/>
    </row>
    <row r="24" customFormat="false" ht="19.5" hidden="false" customHeight="true" outlineLevel="0" collapsed="false">
      <c r="E24" s="82" t="s">
        <v>47</v>
      </c>
      <c r="F24" s="116" t="n">
        <f aca="false">SUM(F16:F22)</f>
        <v>0</v>
      </c>
      <c r="G24" s="117" t="n">
        <f aca="false">SUM(G16:G22)</f>
        <v>0</v>
      </c>
      <c r="H24" s="118"/>
      <c r="I24" s="117"/>
      <c r="J24" s="119"/>
    </row>
    <row r="25" customFormat="false" ht="18" hidden="false" customHeight="true" outlineLevel="0" collapsed="false">
      <c r="E25" s="120" t="s">
        <v>69</v>
      </c>
      <c r="F25" s="121" t="n">
        <f aca="false">SUMIFS(OPmontant,OPdevise,F$13,OPdate,"&gt;"&amp;$C$2-365,OPcatégorie,"&lt;&gt;"&amp;Spéciale)</f>
        <v>0</v>
      </c>
      <c r="G25" s="122"/>
      <c r="H25" s="123"/>
      <c r="I25" s="124"/>
      <c r="J25" s="91"/>
    </row>
    <row r="26" customFormat="false" ht="16.5" hidden="false" customHeight="true" outlineLevel="0" collapsed="false">
      <c r="E26" s="125" t="s">
        <v>70</v>
      </c>
      <c r="F26" s="94" t="n">
        <f aca="false">ROUND(F$24-F$25,2)</f>
        <v>0</v>
      </c>
      <c r="G26" s="126"/>
      <c r="H26" s="123"/>
      <c r="I26" s="90"/>
      <c r="J26" s="91"/>
    </row>
    <row r="27" customFormat="false" ht="21.75" hidden="false" customHeight="true" outlineLevel="0" collapsed="false">
      <c r="E27" s="86" t="s">
        <v>71</v>
      </c>
      <c r="F27" s="88" t="n">
        <f aca="false">SUM(F22)</f>
        <v>0</v>
      </c>
      <c r="G27" s="94" t="n">
        <f aca="false">SUM(G22)</f>
        <v>0</v>
      </c>
      <c r="H27" s="127"/>
      <c r="I27" s="128" t="n">
        <f aca="false">SUM(I22)</f>
        <v>0</v>
      </c>
      <c r="J27" s="129"/>
    </row>
    <row r="28" customFormat="false" ht="16.5" hidden="false" customHeight="true" outlineLevel="0" collapsed="false">
      <c r="E28" s="92" t="s">
        <v>72</v>
      </c>
      <c r="F28" s="121" t="n">
        <f aca="false">F$27</f>
        <v>0</v>
      </c>
      <c r="G28" s="128" t="n">
        <f aca="false">SUM(F$28)</f>
        <v>0</v>
      </c>
      <c r="H28" s="130"/>
      <c r="I28" s="131"/>
      <c r="J28" s="95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21.44"/>
    <col collapsed="false" customWidth="true" hidden="false" outlineLevel="0" max="2" min="2" style="75" width="27.01"/>
    <col collapsed="false" customWidth="true" hidden="false" outlineLevel="0" max="3" min="3" style="75" width="28.57"/>
    <col collapsed="false" customWidth="true" hidden="false" outlineLevel="0" max="4" min="4" style="75" width="15.09"/>
    <col collapsed="false" customWidth="true" hidden="false" outlineLevel="0" max="5" min="5" style="132" width="14.21"/>
    <col collapsed="false" customWidth="true" hidden="false" outlineLevel="0" max="6" min="6" style="75" width="13.67"/>
    <col collapsed="false" customWidth="true" hidden="false" outlineLevel="0" max="7" min="7" style="132" width="9.16"/>
    <col collapsed="false" customWidth="true" hidden="false" outlineLevel="0" max="10" min="8" style="75" width="15.66"/>
    <col collapsed="false" customWidth="true" hidden="false" outlineLevel="0" max="12" min="11" style="132" width="13.67"/>
    <col collapsed="false" customWidth="false" hidden="false" outlineLevel="0" max="16379" min="13" style="75" width="13.16"/>
    <col collapsed="false" customWidth="true" hidden="false" outlineLevel="0" max="16384" min="16380" style="75" width="11.53"/>
  </cols>
  <sheetData>
    <row r="1" customFormat="false" ht="16.5" hidden="false" customHeight="true" outlineLevel="0" collapsed="false">
      <c r="A1" s="133" t="str">
        <f aca="false">Contrôles!$K23</f>
        <v>✓</v>
      </c>
      <c r="B1" s="134" t="s">
        <v>73</v>
      </c>
      <c r="C1" s="14"/>
      <c r="D1" s="133"/>
      <c r="E1" s="14"/>
      <c r="F1" s="133"/>
      <c r="G1" s="14"/>
      <c r="H1" s="14"/>
      <c r="I1" s="14"/>
      <c r="J1" s="133"/>
      <c r="K1" s="133"/>
    </row>
    <row r="2" customFormat="false" ht="16.5" hidden="false" customHeight="true" outlineLevel="0" collapsed="false">
      <c r="A2" s="134"/>
      <c r="B2" s="134" t="s">
        <v>74</v>
      </c>
      <c r="C2" s="134"/>
      <c r="D2" s="133"/>
      <c r="E2" s="14"/>
      <c r="F2" s="133"/>
      <c r="G2" s="14"/>
      <c r="H2" s="14"/>
      <c r="I2" s="14"/>
      <c r="J2" s="134"/>
      <c r="K2" s="14"/>
    </row>
    <row r="3" customFormat="false" ht="16.5" hidden="false" customHeight="true" outlineLevel="0" collapsed="false">
      <c r="A3" s="134"/>
      <c r="B3" s="134"/>
      <c r="C3" s="134"/>
      <c r="D3" s="133"/>
      <c r="E3" s="13" t="n">
        <f aca="false">E15</f>
        <v>0</v>
      </c>
      <c r="F3" s="133"/>
      <c r="G3" s="135" t="n">
        <f aca="false">G15</f>
        <v>0</v>
      </c>
      <c r="H3" s="134"/>
      <c r="I3" s="14"/>
      <c r="J3" s="134"/>
      <c r="K3" s="14"/>
    </row>
    <row r="4" customFormat="false" ht="21.75" hidden="false" customHeight="true" outlineLevel="0" collapsed="false">
      <c r="A4" s="136" t="s">
        <v>75</v>
      </c>
      <c r="B4" s="26" t="s">
        <v>76</v>
      </c>
      <c r="C4" s="26" t="s">
        <v>77</v>
      </c>
      <c r="D4" s="26" t="s">
        <v>39</v>
      </c>
      <c r="E4" s="137" t="s">
        <v>78</v>
      </c>
      <c r="F4" s="26" t="s">
        <v>79</v>
      </c>
      <c r="G4" s="138" t="s">
        <v>80</v>
      </c>
      <c r="H4" s="26" t="s">
        <v>81</v>
      </c>
      <c r="I4" s="58" t="s">
        <v>82</v>
      </c>
      <c r="J4" s="138" t="s">
        <v>83</v>
      </c>
      <c r="K4" s="58" t="s">
        <v>84</v>
      </c>
    </row>
    <row r="5" customFormat="false" ht="16.5" hidden="false" customHeight="true" outlineLevel="0" collapsed="false">
      <c r="A5" s="80" t="s">
        <v>46</v>
      </c>
      <c r="B5" s="80"/>
      <c r="C5" s="80"/>
      <c r="D5" s="80"/>
      <c r="E5" s="80"/>
      <c r="F5" s="80"/>
      <c r="G5" s="80"/>
      <c r="H5" s="80"/>
      <c r="I5" s="80"/>
      <c r="J5" s="80"/>
      <c r="K5" s="80"/>
    </row>
    <row r="6" customFormat="false" ht="16.5" hidden="false" customHeight="true" outlineLevel="0" collapsed="false">
      <c r="A6" s="139" t="s">
        <v>85</v>
      </c>
      <c r="B6" s="80"/>
      <c r="C6" s="80"/>
      <c r="D6" s="80"/>
      <c r="E6" s="80"/>
      <c r="F6" s="80"/>
      <c r="G6" s="80"/>
      <c r="H6" s="80"/>
      <c r="I6" s="80"/>
      <c r="J6" s="80"/>
      <c r="K6" s="80"/>
    </row>
    <row r="7" customFormat="false" ht="16.5" hidden="false" customHeight="true" outlineLevel="0" collapsed="false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</row>
    <row r="8" customFormat="false" ht="16.5" hidden="false" customHeight="true" outlineLevel="0" collapsed="false">
      <c r="A8" s="139" t="s">
        <v>86</v>
      </c>
      <c r="B8" s="80"/>
      <c r="C8" s="80"/>
      <c r="D8" s="80"/>
      <c r="E8" s="80"/>
      <c r="F8" s="80"/>
      <c r="G8" s="80"/>
      <c r="H8" s="80"/>
      <c r="I8" s="80"/>
      <c r="J8" s="80"/>
      <c r="K8" s="80"/>
    </row>
    <row r="9" customFormat="false" ht="16.5" hidden="false" customHeight="true" outlineLevel="0" collapsed="false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</row>
    <row r="10" customFormat="false" ht="16.5" hidden="false" customHeight="true" outlineLevel="0" collapsed="false">
      <c r="A10" s="139" t="s">
        <v>87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</row>
    <row r="11" customFormat="false" ht="16.5" hidden="false" customHeight="true" outlineLevel="0" collapsed="false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</row>
    <row r="12" customFormat="false" ht="16.5" hidden="false" customHeight="true" outlineLevel="0" collapsed="false">
      <c r="A12" s="139" t="s">
        <v>88</v>
      </c>
      <c r="B12" s="80"/>
      <c r="C12" s="80"/>
      <c r="D12" s="80"/>
      <c r="E12" s="80"/>
      <c r="F12" s="80"/>
      <c r="G12" s="80"/>
      <c r="H12" s="80"/>
      <c r="I12" s="80"/>
      <c r="J12" s="80"/>
      <c r="K12" s="80"/>
    </row>
    <row r="13" customFormat="false" ht="16.5" hidden="false" customHeight="true" outlineLevel="0" collapsed="false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</row>
    <row r="14" customFormat="false" ht="16.5" hidden="false" customHeight="true" outlineLevel="0" collapsed="false">
      <c r="A14" s="140" t="s">
        <v>46</v>
      </c>
      <c r="B14" s="140"/>
      <c r="C14" s="141"/>
      <c r="D14" s="142"/>
      <c r="E14" s="141"/>
      <c r="F14" s="143"/>
      <c r="G14" s="144"/>
      <c r="H14" s="141"/>
      <c r="I14" s="141"/>
      <c r="J14" s="141"/>
      <c r="K14" s="141"/>
    </row>
    <row r="15" customFormat="false" ht="16.5" hidden="false" customHeight="true" outlineLevel="0" collapsed="false">
      <c r="A15" s="80" t="s">
        <v>89</v>
      </c>
      <c r="B15" s="80"/>
      <c r="C15" s="80"/>
      <c r="D15" s="18" t="s">
        <v>58</v>
      </c>
      <c r="E15" s="145" t="n">
        <f aca="false">SUM(E16:E19)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80"/>
      <c r="K15" s="148" t="n">
        <f aca="false">SUM(K16:K19)</f>
        <v>0</v>
      </c>
    </row>
    <row r="16" customFormat="false" ht="16.5" hidden="false" customHeight="true" outlineLevel="0" collapsed="false">
      <c r="A16" s="80" t="s">
        <v>90</v>
      </c>
      <c r="B16" s="80"/>
      <c r="C16" s="80"/>
      <c r="D16" s="18" t="s">
        <v>58</v>
      </c>
      <c r="E16" s="148" t="n">
        <f aca="false">K16-(H16+I16)</f>
        <v>0</v>
      </c>
      <c r="F16" s="149" t="e">
        <f aca="false">E16/(I16+K16)</f>
        <v>#DIV/0!</v>
      </c>
      <c r="G16" s="150" t="n">
        <f aca="false">MIN(_xlfn.MINIFS(G:G,A:A,"portefeuilles",C:C,"Retenu",G:G,"&gt;0"))</f>
        <v>0</v>
      </c>
      <c r="H16" s="148" t="n">
        <f aca="false">SUMIFS(H:H,A:A,"portefeuilles",C:C,"Retenu")</f>
        <v>0</v>
      </c>
      <c r="I16" s="148" t="n">
        <f aca="false">SUMIFS(I:I,A:A,"portefeuilles",C:C,"Retenu")</f>
        <v>0</v>
      </c>
      <c r="J16" s="150" t="n">
        <f aca="false">_xlfn.MAXIFS(J:J,A:A,"portefeuilles",C:C,"Retenu")</f>
        <v>0</v>
      </c>
      <c r="K16" s="148" t="n">
        <f aca="false">SUMIFS(K:K,A:A,"portefeuilles",C:C,"Retenu")</f>
        <v>0</v>
      </c>
    </row>
    <row r="17" customFormat="false" ht="16.5" hidden="false" customHeight="true" outlineLevel="0" collapsed="false">
      <c r="A17" s="80" t="s">
        <v>91</v>
      </c>
      <c r="B17" s="80"/>
      <c r="C17" s="80"/>
      <c r="D17" s="18" t="s">
        <v>58</v>
      </c>
      <c r="E17" s="148" t="n">
        <f aca="false">K17-(H17+I17)</f>
        <v>0</v>
      </c>
      <c r="F17" s="149" t="e">
        <f aca="false">E17/(I17+K17)</f>
        <v>#DIV/0!</v>
      </c>
      <c r="G17" s="150" t="n">
        <f aca="false">MIN(_xlfn.MINIFS(G:G,A:A,"métaux",G:G,"&gt;0"))</f>
        <v>0</v>
      </c>
      <c r="H17" s="148" t="n">
        <f aca="false">SUMIFS(H:H,A:A,"métaux")</f>
        <v>0</v>
      </c>
      <c r="I17" s="148" t="n">
        <f aca="false">SUMIFS(I:I,A:A,"métaux")</f>
        <v>0</v>
      </c>
      <c r="J17" s="150" t="n">
        <f aca="false">_xlfn.MAXIFS(J:J,A:A,"métaux")</f>
        <v>0</v>
      </c>
      <c r="K17" s="148" t="n">
        <f aca="false">SUMIFS(K:K,A:A,"métaux")</f>
        <v>0</v>
      </c>
    </row>
    <row r="18" customFormat="false" ht="16.5" hidden="false" customHeight="true" outlineLevel="0" collapsed="false">
      <c r="A18" s="80" t="s">
        <v>92</v>
      </c>
      <c r="B18" s="80"/>
      <c r="C18" s="80"/>
      <c r="D18" s="18" t="s">
        <v>58</v>
      </c>
      <c r="E18" s="148" t="n">
        <f aca="false">K18-(H18+I18)</f>
        <v>0</v>
      </c>
      <c r="F18" s="149" t="e">
        <f aca="false">E18/(I18+K18)</f>
        <v>#DIV/0!</v>
      </c>
      <c r="G18" s="150" t="n">
        <f aca="false">MIN(_xlfn.MINIFS(G:G,A:A,"crypto",G:G,"&gt;0"))</f>
        <v>0</v>
      </c>
      <c r="H18" s="148" t="n">
        <f aca="false">SUMIFS(H:H,A:A,"crypto")</f>
        <v>0</v>
      </c>
      <c r="I18" s="148" t="n">
        <f aca="false">SUMIFS(I:I,A:A,"crypto")</f>
        <v>0</v>
      </c>
      <c r="J18" s="150" t="n">
        <f aca="false">_xlfn.MAXIFS(J:J,A:A,"crypto")</f>
        <v>0</v>
      </c>
      <c r="K18" s="148" t="n">
        <f aca="false">SUMIFS(K:K,A:A,"crypto")</f>
        <v>0</v>
      </c>
    </row>
    <row r="19" customFormat="false" ht="16.5" hidden="false" customHeight="true" outlineLevel="0" collapsed="false">
      <c r="A19" s="80" t="s">
        <v>93</v>
      </c>
      <c r="B19" s="80"/>
      <c r="C19" s="80"/>
      <c r="D19" s="18" t="s">
        <v>58</v>
      </c>
      <c r="E19" s="148" t="n">
        <f aca="false">K19-(H19+I19)</f>
        <v>0</v>
      </c>
      <c r="F19" s="151" t="e">
        <f aca="false">E19/(I19+K19)</f>
        <v>#DIV/0!</v>
      </c>
      <c r="G19" s="150" t="n">
        <f aca="false">MIN(_xlfn.MINIFS(G:G,A:A,"devises",G:G,"&gt;0"))</f>
        <v>0</v>
      </c>
      <c r="H19" s="148" t="n">
        <f aca="false">SUMIFS(H:H,A:A,"devises")</f>
        <v>0</v>
      </c>
      <c r="I19" s="148" t="n">
        <f aca="false">SUMIFS(I:I,A:A,"devises")</f>
        <v>0</v>
      </c>
      <c r="J19" s="150" t="n">
        <f aca="false">_xlfn.MAXIFS(J:J,A:A,"devises")</f>
        <v>0</v>
      </c>
      <c r="K19" s="148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2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3" t="s">
        <v>94</v>
      </c>
      <c r="B1" s="5"/>
      <c r="C1" s="5"/>
      <c r="D1" s="5"/>
      <c r="E1" s="154"/>
      <c r="F1" s="14" t="s">
        <v>95</v>
      </c>
      <c r="G1" s="5"/>
      <c r="H1" s="5"/>
      <c r="I1" s="5"/>
    </row>
    <row r="2" customFormat="false" ht="16.5" hidden="false" customHeight="true" outlineLevel="0" collapsed="false">
      <c r="A2" s="155" t="n">
        <f aca="true">TODAY()</f>
        <v>46120</v>
      </c>
      <c r="B2" s="52" t="str">
        <f aca="false">Contrôles!K$23</f>
        <v>✓</v>
      </c>
      <c r="C2" s="156"/>
      <c r="D2" s="5"/>
      <c r="E2" s="154"/>
      <c r="F2" s="157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8" t="s">
        <v>42</v>
      </c>
      <c r="B3" s="159" t="s">
        <v>96</v>
      </c>
      <c r="C3" s="160" t="s">
        <v>43</v>
      </c>
      <c r="D3" s="160" t="s">
        <v>39</v>
      </c>
      <c r="E3" s="160" t="s">
        <v>97</v>
      </c>
      <c r="F3" s="138" t="s">
        <v>98</v>
      </c>
      <c r="G3" s="160" t="s">
        <v>99</v>
      </c>
      <c r="H3" s="160" t="s">
        <v>76</v>
      </c>
      <c r="I3" s="134" t="s">
        <v>100</v>
      </c>
    </row>
    <row r="4" customFormat="false" ht="14.25" hidden="false" customHeight="true" outlineLevel="0" collapsed="false">
      <c r="A4" s="161" t="s">
        <v>46</v>
      </c>
      <c r="B4" s="162"/>
      <c r="C4" s="163"/>
      <c r="D4" s="164"/>
      <c r="E4" s="163"/>
      <c r="F4" s="165"/>
      <c r="G4" s="166"/>
      <c r="H4" s="166"/>
      <c r="I4" s="162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8" hidden="false" customHeight="true" outlineLevel="0" collapsed="false"/>
    <row r="1044901" customFormat="false" ht="12.8" hidden="false" customHeight="true" outlineLevel="0" collapsed="false"/>
    <row r="1044902" customFormat="false" ht="12.8" hidden="false" customHeight="true" outlineLevel="0" collapsed="false"/>
    <row r="1044903" customFormat="false" ht="12.8" hidden="false" customHeight="true" outlineLevel="0" collapsed="false"/>
    <row r="1044904" customFormat="false" ht="12.8" hidden="false" customHeight="true" outlineLevel="0" collapsed="false"/>
    <row r="1044905" customFormat="false" ht="12.8" hidden="false" customHeight="true" outlineLevel="0" collapsed="false"/>
    <row r="1044906" customFormat="false" ht="12.8" hidden="false" customHeight="true" outlineLevel="0" collapsed="false"/>
    <row r="1044907" customFormat="false" ht="12.8" hidden="false" customHeight="true" outlineLevel="0" collapsed="false"/>
    <row r="1044908" customFormat="false" ht="12.8" hidden="false" customHeight="true" outlineLevel="0" collapsed="false"/>
    <row r="1044909" customFormat="false" ht="12.8" hidden="false" customHeight="true" outlineLevel="0" collapsed="false"/>
    <row r="1044910" customFormat="false" ht="12.8" hidden="false" customHeight="true" outlineLevel="0" collapsed="false"/>
    <row r="1044911" customFormat="false" ht="12.8" hidden="false" customHeight="true" outlineLevel="0" collapsed="false"/>
    <row r="1044912" customFormat="false" ht="12.8" hidden="false" customHeight="true" outlineLevel="0" collapsed="false"/>
    <row r="1044913" customFormat="false" ht="12.8" hidden="false" customHeight="true" outlineLevel="0" collapsed="false"/>
    <row r="1044914" customFormat="false" ht="12.8" hidden="false" customHeight="true" outlineLevel="0" collapsed="false"/>
    <row r="1044915" customFormat="false" ht="12.8" hidden="false" customHeight="true" outlineLevel="0" collapsed="false"/>
    <row r="1044916" customFormat="false" ht="12.8" hidden="false" customHeight="true" outlineLevel="0" collapsed="false"/>
    <row r="1044917" customFormat="false" ht="12.8" hidden="false" customHeight="true" outlineLevel="0" collapsed="false"/>
    <row r="1044918" customFormat="false" ht="12.8" hidden="false" customHeight="true" outlineLevel="0" collapsed="false"/>
    <row r="1044919" customFormat="false" ht="12.8" hidden="false" customHeight="true" outlineLevel="0" collapsed="false"/>
    <row r="1044920" customFormat="false" ht="12.8" hidden="false" customHeight="true" outlineLevel="0" collapsed="false"/>
    <row r="1044921" customFormat="false" ht="12.8" hidden="false" customHeight="true" outlineLevel="0" collapsed="false"/>
    <row r="1044922" customFormat="false" ht="12.8" hidden="false" customHeight="true" outlineLevel="0" collapsed="false"/>
    <row r="1044923" customFormat="false" ht="12.8" hidden="false" customHeight="true" outlineLevel="0" collapsed="false"/>
    <row r="1044924" customFormat="false" ht="12.8" hidden="false" customHeight="true" outlineLevel="0" collapsed="false"/>
    <row r="1044925" customFormat="false" ht="12.8" hidden="false" customHeight="true" outlineLevel="0" collapsed="false"/>
    <row r="1044926" customFormat="false" ht="12.8" hidden="false" customHeight="true" outlineLevel="0" collapsed="false"/>
    <row r="1044927" customFormat="false" ht="12.8" hidden="false" customHeight="true" outlineLevel="0" collapsed="false"/>
    <row r="1044928" customFormat="false" ht="12.8" hidden="false" customHeight="true" outlineLevel="0" collapsed="false"/>
    <row r="1044929" customFormat="false" ht="12.8" hidden="false" customHeight="true" outlineLevel="0" collapsed="false"/>
    <row r="1044930" customFormat="false" ht="12.8" hidden="false" customHeight="true" outlineLevel="0" collapsed="false"/>
    <row r="1044931" customFormat="false" ht="12.8" hidden="false" customHeight="true" outlineLevel="0" collapsed="false"/>
    <row r="1044932" customFormat="false" ht="12.8" hidden="false" customHeight="true" outlineLevel="0" collapsed="false"/>
    <row r="1044933" customFormat="false" ht="12.8" hidden="false" customHeight="true" outlineLevel="0" collapsed="false"/>
    <row r="1044934" customFormat="false" ht="12.8" hidden="false" customHeight="true" outlineLevel="0" collapsed="false"/>
    <row r="1044935" customFormat="false" ht="12.8" hidden="false" customHeight="true" outlineLevel="0" collapsed="false"/>
    <row r="1044936" customFormat="false" ht="12.8" hidden="false" customHeight="true" outlineLevel="0" collapsed="false"/>
    <row r="1044937" customFormat="false" ht="12.8" hidden="false" customHeight="true" outlineLevel="0" collapsed="false"/>
    <row r="1044938" customFormat="false" ht="12.8" hidden="false" customHeight="true" outlineLevel="0" collapsed="false"/>
    <row r="1044939" customFormat="false" ht="12.8" hidden="false" customHeight="true" outlineLevel="0" collapsed="false"/>
    <row r="1044940" customFormat="false" ht="12.8" hidden="false" customHeight="true" outlineLevel="0" collapsed="false"/>
    <row r="1044941" customFormat="false" ht="12.8" hidden="false" customHeight="true" outlineLevel="0" collapsed="false"/>
    <row r="1044942" customFormat="false" ht="12.8" hidden="false" customHeight="true" outlineLevel="0" collapsed="false"/>
    <row r="1044943" customFormat="false" ht="12.8" hidden="false" customHeight="true" outlineLevel="0" collapsed="false"/>
    <row r="1044944" customFormat="false" ht="12.8" hidden="false" customHeight="true" outlineLevel="0" collapsed="false"/>
    <row r="1044945" customFormat="false" ht="12.8" hidden="false" customHeight="true" outlineLevel="0" collapsed="false"/>
    <row r="1044946" customFormat="false" ht="12.8" hidden="false" customHeight="true" outlineLevel="0" collapsed="false"/>
    <row r="1044947" customFormat="false" ht="12.8" hidden="false" customHeight="true" outlineLevel="0" collapsed="false"/>
    <row r="1044948" customFormat="false" ht="12.8" hidden="false" customHeight="true" outlineLevel="0" collapsed="false"/>
    <row r="1044949" customFormat="false" ht="12.8" hidden="false" customHeight="true" outlineLevel="0" collapsed="false"/>
    <row r="1044950" customFormat="false" ht="12.8" hidden="false" customHeight="true" outlineLevel="0" collapsed="false"/>
    <row r="1044951" customFormat="false" ht="12.8" hidden="false" customHeight="true" outlineLevel="0" collapsed="false"/>
    <row r="1044952" customFormat="false" ht="12.8" hidden="false" customHeight="true" outlineLevel="0" collapsed="false"/>
    <row r="1044953" customFormat="false" ht="12.8" hidden="false" customHeight="true" outlineLevel="0" collapsed="false"/>
    <row r="1044954" customFormat="false" ht="12.8" hidden="false" customHeight="true" outlineLevel="0" collapsed="false"/>
    <row r="1044955" customFormat="false" ht="12.8" hidden="false" customHeight="true" outlineLevel="0" collapsed="false"/>
    <row r="1044956" customFormat="false" ht="12.8" hidden="false" customHeight="true" outlineLevel="0" collapsed="false"/>
    <row r="1044957" customFormat="false" ht="12.8" hidden="false" customHeight="true" outlineLevel="0" collapsed="false"/>
    <row r="1044958" customFormat="false" ht="12.8" hidden="false" customHeight="true" outlineLevel="0" collapsed="false"/>
    <row r="1044959" customFormat="false" ht="12.8" hidden="false" customHeight="true" outlineLevel="0" collapsed="false"/>
    <row r="1044960" customFormat="false" ht="12.8" hidden="false" customHeight="true" outlineLevel="0" collapsed="false"/>
    <row r="1044961" customFormat="false" ht="12.8" hidden="false" customHeight="true" outlineLevel="0" collapsed="false"/>
    <row r="1044962" customFormat="false" ht="12.8" hidden="false" customHeight="true" outlineLevel="0" collapsed="false"/>
    <row r="1044963" customFormat="false" ht="12.8" hidden="false" customHeight="true" outlineLevel="0" collapsed="false"/>
    <row r="1044964" customFormat="false" ht="12.8" hidden="false" customHeight="true" outlineLevel="0" collapsed="false"/>
    <row r="1044965" customFormat="false" ht="12.8" hidden="false" customHeight="true" outlineLevel="0" collapsed="false"/>
    <row r="1044966" customFormat="false" ht="12.8" hidden="false" customHeight="true" outlineLevel="0" collapsed="false"/>
    <row r="1044967" customFormat="false" ht="12.8" hidden="false" customHeight="true" outlineLevel="0" collapsed="false"/>
    <row r="1044968" customFormat="false" ht="12.8" hidden="false" customHeight="true" outlineLevel="0" collapsed="false"/>
    <row r="1044969" customFormat="false" ht="12.8" hidden="false" customHeight="true" outlineLevel="0" collapsed="false"/>
    <row r="1044970" customFormat="false" ht="12.8" hidden="false" customHeight="true" outlineLevel="0" collapsed="false"/>
    <row r="1044971" customFormat="false" ht="12.8" hidden="false" customHeight="true" outlineLevel="0" collapsed="false"/>
    <row r="1044972" customFormat="false" ht="12.8" hidden="false" customHeight="true" outlineLevel="0" collapsed="false"/>
    <row r="1044973" customFormat="false" ht="12.8" hidden="false" customHeight="true" outlineLevel="0" collapsed="false"/>
    <row r="1044974" customFormat="false" ht="12.8" hidden="false" customHeight="true" outlineLevel="0" collapsed="false"/>
    <row r="1044975" customFormat="false" ht="12.8" hidden="false" customHeight="true" outlineLevel="0" collapsed="false"/>
    <row r="1044976" customFormat="false" ht="12.8" hidden="false" customHeight="true" outlineLevel="0" collapsed="false"/>
    <row r="1044977" customFormat="false" ht="12.8" hidden="false" customHeight="true" outlineLevel="0" collapsed="false"/>
    <row r="1044978" customFormat="false" ht="12.8" hidden="false" customHeight="true" outlineLevel="0" collapsed="false"/>
    <row r="1044979" customFormat="false" ht="12.8" hidden="false" customHeight="true" outlineLevel="0" collapsed="false"/>
    <row r="1044980" customFormat="false" ht="12.8" hidden="false" customHeight="true" outlineLevel="0" collapsed="false"/>
    <row r="1044981" customFormat="false" ht="12.8" hidden="false" customHeight="true" outlineLevel="0" collapsed="false"/>
    <row r="1044982" customFormat="false" ht="12.8" hidden="false" customHeight="true" outlineLevel="0" collapsed="false"/>
    <row r="1044983" customFormat="false" ht="12.8" hidden="false" customHeight="true" outlineLevel="0" collapsed="false"/>
    <row r="1044984" customFormat="false" ht="12.8" hidden="false" customHeight="true" outlineLevel="0" collapsed="false"/>
    <row r="1044985" customFormat="false" ht="12.8" hidden="false" customHeight="true" outlineLevel="0" collapsed="false"/>
    <row r="1044986" customFormat="false" ht="12.8" hidden="false" customHeight="true" outlineLevel="0" collapsed="false"/>
    <row r="1044987" customFormat="false" ht="12.8" hidden="false" customHeight="true" outlineLevel="0" collapsed="false"/>
    <row r="1044988" customFormat="false" ht="12.8" hidden="false" customHeight="true" outlineLevel="0" collapsed="false"/>
    <row r="1044989" customFormat="false" ht="12.8" hidden="false" customHeight="true" outlineLevel="0" collapsed="false"/>
    <row r="1044990" customFormat="false" ht="12.8" hidden="false" customHeight="true" outlineLevel="0" collapsed="false"/>
    <row r="1044991" customFormat="false" ht="12.8" hidden="false" customHeight="true" outlineLevel="0" collapsed="false"/>
    <row r="1044992" customFormat="false" ht="12.8" hidden="false" customHeight="true" outlineLevel="0" collapsed="false"/>
    <row r="1044993" customFormat="false" ht="12.8" hidden="false" customHeight="true" outlineLevel="0" collapsed="false"/>
    <row r="1044994" customFormat="false" ht="12.8" hidden="false" customHeight="true" outlineLevel="0" collapsed="false"/>
    <row r="1044995" customFormat="false" ht="12.8" hidden="false" customHeight="true" outlineLevel="0" collapsed="false"/>
    <row r="1044996" customFormat="false" ht="12.8" hidden="false" customHeight="true" outlineLevel="0" collapsed="false"/>
    <row r="1044997" customFormat="false" ht="12.8" hidden="false" customHeight="true" outlineLevel="0" collapsed="false"/>
    <row r="1044998" customFormat="false" ht="12.8" hidden="false" customHeight="true" outlineLevel="0" collapsed="false"/>
    <row r="1044999" customFormat="false" ht="12.8" hidden="false" customHeight="true" outlineLevel="0" collapsed="false"/>
    <row r="1045000" customFormat="false" ht="12.8" hidden="false" customHeight="true" outlineLevel="0" collapsed="false"/>
    <row r="1045001" customFormat="false" ht="12.8" hidden="false" customHeight="true" outlineLevel="0" collapsed="false"/>
    <row r="1045002" customFormat="false" ht="12.8" hidden="false" customHeight="true" outlineLevel="0" collapsed="false"/>
    <row r="1045003" customFormat="false" ht="12.8" hidden="false" customHeight="true" outlineLevel="0" collapsed="false"/>
    <row r="1045004" customFormat="false" ht="12.8" hidden="false" customHeight="true" outlineLevel="0" collapsed="false"/>
    <row r="1045005" customFormat="false" ht="12.8" hidden="false" customHeight="true" outlineLevel="0" collapsed="false"/>
    <row r="1045006" customFormat="false" ht="12.8" hidden="false" customHeight="true" outlineLevel="0" collapsed="false"/>
    <row r="1045007" customFormat="false" ht="12.8" hidden="false" customHeight="true" outlineLevel="0" collapsed="false"/>
    <row r="1045008" customFormat="false" ht="12.8" hidden="false" customHeight="true" outlineLevel="0" collapsed="false"/>
    <row r="1045009" customFormat="false" ht="12.8" hidden="false" customHeight="true" outlineLevel="0" collapsed="false"/>
    <row r="1045010" customFormat="false" ht="12.8" hidden="false" customHeight="true" outlineLevel="0" collapsed="false"/>
    <row r="1045011" customFormat="false" ht="12.8" hidden="false" customHeight="true" outlineLevel="0" collapsed="false"/>
    <row r="1045012" customFormat="false" ht="12.8" hidden="false" customHeight="true" outlineLevel="0" collapsed="false"/>
    <row r="1045013" customFormat="false" ht="12.8" hidden="false" customHeight="true" outlineLevel="0" collapsed="false"/>
    <row r="1045014" customFormat="false" ht="12.8" hidden="false" customHeight="true" outlineLevel="0" collapsed="false"/>
    <row r="1045015" customFormat="false" ht="12.8" hidden="false" customHeight="true" outlineLevel="0" collapsed="false"/>
    <row r="1045016" customFormat="false" ht="12.8" hidden="false" customHeight="true" outlineLevel="0" collapsed="false"/>
    <row r="1045017" customFormat="false" ht="12.8" hidden="false" customHeight="true" outlineLevel="0" collapsed="false"/>
    <row r="1045018" customFormat="false" ht="12.8" hidden="false" customHeight="true" outlineLevel="0" collapsed="false"/>
    <row r="1045019" customFormat="false" ht="12.8" hidden="false" customHeight="true" outlineLevel="0" collapsed="false"/>
    <row r="1045020" customFormat="false" ht="12.8" hidden="false" customHeight="true" outlineLevel="0" collapsed="false"/>
    <row r="1045021" customFormat="false" ht="12.8" hidden="false" customHeight="true" outlineLevel="0" collapsed="false"/>
    <row r="1045022" customFormat="false" ht="12.8" hidden="false" customHeight="true" outlineLevel="0" collapsed="false"/>
    <row r="1045023" customFormat="false" ht="12.8" hidden="false" customHeight="true" outlineLevel="0" collapsed="false"/>
    <row r="1045024" customFormat="false" ht="12.8" hidden="false" customHeight="true" outlineLevel="0" collapsed="false"/>
    <row r="1045025" customFormat="false" ht="12.8" hidden="false" customHeight="true" outlineLevel="0" collapsed="false"/>
    <row r="1045026" customFormat="false" ht="12.8" hidden="false" customHeight="true" outlineLevel="0" collapsed="false"/>
    <row r="1045027" customFormat="false" ht="12.8" hidden="false" customHeight="true" outlineLevel="0" collapsed="false"/>
    <row r="1045028" customFormat="false" ht="12.8" hidden="false" customHeight="true" outlineLevel="0" collapsed="false"/>
    <row r="1045029" customFormat="false" ht="12.8" hidden="false" customHeight="true" outlineLevel="0" collapsed="false"/>
    <row r="1045030" customFormat="false" ht="12.8" hidden="false" customHeight="true" outlineLevel="0" collapsed="false"/>
    <row r="1045031" customFormat="false" ht="12.8" hidden="false" customHeight="true" outlineLevel="0" collapsed="false"/>
    <row r="1045032" customFormat="false" ht="12.8" hidden="false" customHeight="true" outlineLevel="0" collapsed="false"/>
    <row r="1045033" customFormat="false" ht="12.8" hidden="false" customHeight="true" outlineLevel="0" collapsed="false"/>
    <row r="1045034" customFormat="false" ht="12.8" hidden="false" customHeight="true" outlineLevel="0" collapsed="false"/>
    <row r="1045035" customFormat="false" ht="12.8" hidden="false" customHeight="true" outlineLevel="0" collapsed="false"/>
    <row r="1045036" customFormat="false" ht="12.8" hidden="false" customHeight="true" outlineLevel="0" collapsed="false"/>
    <row r="1045037" customFormat="false" ht="12.8" hidden="false" customHeight="true" outlineLevel="0" collapsed="false"/>
    <row r="1045038" customFormat="false" ht="12.8" hidden="false" customHeight="true" outlineLevel="0" collapsed="false"/>
    <row r="1045039" customFormat="false" ht="12.8" hidden="false" customHeight="true" outlineLevel="0" collapsed="false"/>
    <row r="1045040" customFormat="false" ht="12.8" hidden="false" customHeight="true" outlineLevel="0" collapsed="false"/>
    <row r="1045041" customFormat="false" ht="12.8" hidden="false" customHeight="true" outlineLevel="0" collapsed="false"/>
    <row r="1045042" customFormat="false" ht="12.8" hidden="false" customHeight="true" outlineLevel="0" collapsed="false"/>
    <row r="1045043" customFormat="false" ht="12.8" hidden="false" customHeight="true" outlineLevel="0" collapsed="false"/>
    <row r="1045044" customFormat="false" ht="12.8" hidden="false" customHeight="true" outlineLevel="0" collapsed="false"/>
    <row r="1045045" customFormat="false" ht="12.8" hidden="false" customHeight="true" outlineLevel="0" collapsed="false"/>
    <row r="1045046" customFormat="false" ht="12.8" hidden="false" customHeight="true" outlineLevel="0" collapsed="false"/>
    <row r="1045047" customFormat="false" ht="12.8" hidden="false" customHeight="true" outlineLevel="0" collapsed="false"/>
    <row r="1045048" customFormat="false" ht="12.8" hidden="false" customHeight="true" outlineLevel="0" collapsed="false"/>
    <row r="1045049" customFormat="false" ht="12.8" hidden="false" customHeight="true" outlineLevel="0" collapsed="false"/>
    <row r="1045050" customFormat="false" ht="12.8" hidden="false" customHeight="true" outlineLevel="0" collapsed="false"/>
    <row r="1045051" customFormat="false" ht="12.8" hidden="false" customHeight="true" outlineLevel="0" collapsed="false"/>
    <row r="1045052" customFormat="false" ht="12.8" hidden="false" customHeight="true" outlineLevel="0" collapsed="false"/>
    <row r="1045053" customFormat="false" ht="12.8" hidden="false" customHeight="true" outlineLevel="0" collapsed="false"/>
    <row r="1045054" customFormat="false" ht="12.8" hidden="false" customHeight="true" outlineLevel="0" collapsed="false"/>
    <row r="1045055" customFormat="false" ht="12.8" hidden="false" customHeight="true" outlineLevel="0" collapsed="false"/>
    <row r="1045056" customFormat="false" ht="12.8" hidden="false" customHeight="true" outlineLevel="0" collapsed="false"/>
    <row r="1045057" customFormat="false" ht="12.8" hidden="false" customHeight="true" outlineLevel="0" collapsed="false"/>
    <row r="1045058" customFormat="false" ht="12.8" hidden="false" customHeight="true" outlineLevel="0" collapsed="false"/>
    <row r="1045059" customFormat="false" ht="12.8" hidden="false" customHeight="true" outlineLevel="0" collapsed="false"/>
    <row r="1045060" customFormat="false" ht="12.8" hidden="false" customHeight="true" outlineLevel="0" collapsed="false"/>
    <row r="1045061" customFormat="false" ht="12.8" hidden="false" customHeight="true" outlineLevel="0" collapsed="false"/>
    <row r="1045062" customFormat="false" ht="12.8" hidden="false" customHeight="true" outlineLevel="0" collapsed="false"/>
    <row r="1045063" customFormat="false" ht="12.8" hidden="false" customHeight="true" outlineLevel="0" collapsed="false"/>
    <row r="1045064" customFormat="false" ht="12.8" hidden="false" customHeight="true" outlineLevel="0" collapsed="false"/>
    <row r="1045065" customFormat="false" ht="12.8" hidden="false" customHeight="true" outlineLevel="0" collapsed="false"/>
    <row r="1045066" customFormat="false" ht="12.8" hidden="false" customHeight="true" outlineLevel="0" collapsed="false"/>
    <row r="1045067" customFormat="false" ht="12.8" hidden="false" customHeight="true" outlineLevel="0" collapsed="false"/>
    <row r="1045068" customFormat="false" ht="12.8" hidden="false" customHeight="true" outlineLevel="0" collapsed="false"/>
    <row r="1045069" customFormat="false" ht="12.8" hidden="false" customHeight="true" outlineLevel="0" collapsed="false"/>
    <row r="1045070" customFormat="false" ht="12.8" hidden="false" customHeight="true" outlineLevel="0" collapsed="false"/>
    <row r="1045071" customFormat="false" ht="12.8" hidden="false" customHeight="true" outlineLevel="0" collapsed="false"/>
    <row r="1045072" customFormat="false" ht="12.8" hidden="false" customHeight="true" outlineLevel="0" collapsed="false"/>
    <row r="1045073" customFormat="false" ht="12.8" hidden="false" customHeight="true" outlineLevel="0" collapsed="false"/>
    <row r="1045074" customFormat="false" ht="12.8" hidden="false" customHeight="true" outlineLevel="0" collapsed="false"/>
    <row r="1045075" customFormat="false" ht="12.8" hidden="false" customHeight="true" outlineLevel="0" collapsed="false"/>
    <row r="1045076" customFormat="false" ht="12.8" hidden="false" customHeight="true" outlineLevel="0" collapsed="false"/>
    <row r="1045077" customFormat="false" ht="12.8" hidden="false" customHeight="true" outlineLevel="0" collapsed="false"/>
    <row r="1045078" customFormat="false" ht="12.8" hidden="false" customHeight="true" outlineLevel="0" collapsed="false"/>
    <row r="1045079" customFormat="false" ht="12.8" hidden="false" customHeight="true" outlineLevel="0" collapsed="false"/>
    <row r="1045080" customFormat="false" ht="12.8" hidden="false" customHeight="true" outlineLevel="0" collapsed="false"/>
    <row r="1045081" customFormat="false" ht="12.8" hidden="false" customHeight="true" outlineLevel="0" collapsed="false"/>
    <row r="1045082" customFormat="false" ht="12.8" hidden="false" customHeight="true" outlineLevel="0" collapsed="false"/>
    <row r="1045083" customFormat="false" ht="12.8" hidden="false" customHeight="true" outlineLevel="0" collapsed="false"/>
    <row r="1045084" customFormat="false" ht="12.8" hidden="false" customHeight="true" outlineLevel="0" collapsed="false"/>
    <row r="1045085" customFormat="false" ht="12.8" hidden="false" customHeight="true" outlineLevel="0" collapsed="false"/>
    <row r="1045086" customFormat="false" ht="12.8" hidden="false" customHeight="true" outlineLevel="0" collapsed="false"/>
    <row r="1045087" customFormat="false" ht="12.8" hidden="false" customHeight="true" outlineLevel="0" collapsed="false"/>
    <row r="1045088" customFormat="false" ht="12.8" hidden="false" customHeight="true" outlineLevel="0" collapsed="false"/>
    <row r="1045089" customFormat="false" ht="12.8" hidden="false" customHeight="true" outlineLevel="0" collapsed="false"/>
    <row r="1045090" customFormat="false" ht="12.8" hidden="false" customHeight="true" outlineLevel="0" collapsed="false"/>
    <row r="1045091" customFormat="false" ht="12.8" hidden="false" customHeight="true" outlineLevel="0" collapsed="false"/>
    <row r="1045092" customFormat="false" ht="12.8" hidden="false" customHeight="true" outlineLevel="0" collapsed="false"/>
    <row r="1045093" customFormat="false" ht="12.8" hidden="false" customHeight="true" outlineLevel="0" collapsed="false"/>
    <row r="1045094" customFormat="false" ht="12.8" hidden="false" customHeight="true" outlineLevel="0" collapsed="false"/>
    <row r="1045095" customFormat="false" ht="12.8" hidden="false" customHeight="true" outlineLevel="0" collapsed="false"/>
    <row r="1045096" customFormat="false" ht="12.8" hidden="false" customHeight="true" outlineLevel="0" collapsed="false"/>
    <row r="1045097" customFormat="false" ht="12.8" hidden="false" customHeight="true" outlineLevel="0" collapsed="false"/>
    <row r="1045098" customFormat="false" ht="12.8" hidden="false" customHeight="true" outlineLevel="0" collapsed="false"/>
    <row r="1045099" customFormat="false" ht="12.8" hidden="false" customHeight="true" outlineLevel="0" collapsed="false"/>
    <row r="1045100" customFormat="false" ht="12.8" hidden="false" customHeight="true" outlineLevel="0" collapsed="false"/>
    <row r="1045101" customFormat="false" ht="12.8" hidden="false" customHeight="true" outlineLevel="0" collapsed="false"/>
    <row r="1045102" customFormat="false" ht="12.8" hidden="false" customHeight="true" outlineLevel="0" collapsed="false"/>
    <row r="1045103" customFormat="false" ht="12.8" hidden="false" customHeight="true" outlineLevel="0" collapsed="false"/>
    <row r="1045104" customFormat="false" ht="12.8" hidden="false" customHeight="true" outlineLevel="0" collapsed="false"/>
    <row r="1045105" customFormat="false" ht="12.8" hidden="false" customHeight="true" outlineLevel="0" collapsed="false"/>
    <row r="1045106" customFormat="false" ht="12.8" hidden="false" customHeight="true" outlineLevel="0" collapsed="false"/>
    <row r="1045107" customFormat="false" ht="12.8" hidden="false" customHeight="true" outlineLevel="0" collapsed="false"/>
    <row r="1045108" customFormat="false" ht="12.8" hidden="false" customHeight="true" outlineLevel="0" collapsed="false"/>
    <row r="1045109" customFormat="false" ht="12.8" hidden="false" customHeight="true" outlineLevel="0" collapsed="false"/>
    <row r="1045110" customFormat="false" ht="12.8" hidden="false" customHeight="true" outlineLevel="0" collapsed="false"/>
    <row r="1045111" customFormat="false" ht="12.8" hidden="false" customHeight="true" outlineLevel="0" collapsed="false"/>
    <row r="1045112" customFormat="false" ht="12.8" hidden="false" customHeight="true" outlineLevel="0" collapsed="false"/>
    <row r="1045113" customFormat="false" ht="12.8" hidden="false" customHeight="true" outlineLevel="0" collapsed="false"/>
    <row r="1045114" customFormat="false" ht="12.8" hidden="false" customHeight="true" outlineLevel="0" collapsed="false"/>
    <row r="1045115" customFormat="false" ht="12.8" hidden="false" customHeight="true" outlineLevel="0" collapsed="false"/>
    <row r="1045116" customFormat="false" ht="12.8" hidden="false" customHeight="true" outlineLevel="0" collapsed="false"/>
    <row r="1045117" customFormat="false" ht="12.8" hidden="false" customHeight="true" outlineLevel="0" collapsed="false"/>
    <row r="1045118" customFormat="false" ht="12.8" hidden="false" customHeight="true" outlineLevel="0" collapsed="false"/>
    <row r="1045119" customFormat="false" ht="12.8" hidden="false" customHeight="true" outlineLevel="0" collapsed="false"/>
    <row r="1045120" customFormat="false" ht="12.8" hidden="false" customHeight="true" outlineLevel="0" collapsed="false"/>
    <row r="1045121" customFormat="false" ht="12.8" hidden="false" customHeight="true" outlineLevel="0" collapsed="false"/>
    <row r="1045122" customFormat="false" ht="12.8" hidden="false" customHeight="true" outlineLevel="0" collapsed="false"/>
    <row r="1045123" customFormat="false" ht="12.8" hidden="false" customHeight="true" outlineLevel="0" collapsed="false"/>
    <row r="1045124" customFormat="false" ht="12.8" hidden="false" customHeight="true" outlineLevel="0" collapsed="false"/>
    <row r="1045125" customFormat="false" ht="12.8" hidden="false" customHeight="true" outlineLevel="0" collapsed="false"/>
    <row r="1045126" customFormat="false" ht="12.8" hidden="false" customHeight="true" outlineLevel="0" collapsed="false"/>
    <row r="1045127" customFormat="false" ht="12.8" hidden="false" customHeight="true" outlineLevel="0" collapsed="false"/>
    <row r="1045128" customFormat="false" ht="12.8" hidden="false" customHeight="true" outlineLevel="0" collapsed="false"/>
    <row r="1045129" customFormat="false" ht="12.8" hidden="false" customHeight="true" outlineLevel="0" collapsed="false"/>
    <row r="1045130" customFormat="false" ht="12.8" hidden="false" customHeight="true" outlineLevel="0" collapsed="false"/>
    <row r="1045131" customFormat="false" ht="12.8" hidden="false" customHeight="true" outlineLevel="0" collapsed="false"/>
    <row r="1045132" customFormat="false" ht="12.8" hidden="false" customHeight="true" outlineLevel="0" collapsed="false"/>
    <row r="1045133" customFormat="false" ht="12.8" hidden="false" customHeight="true" outlineLevel="0" collapsed="false"/>
    <row r="1045134" customFormat="false" ht="12.8" hidden="false" customHeight="true" outlineLevel="0" collapsed="false"/>
    <row r="1045135" customFormat="false" ht="12.8" hidden="false" customHeight="true" outlineLevel="0" collapsed="false"/>
    <row r="1045136" customFormat="false" ht="12.8" hidden="false" customHeight="true" outlineLevel="0" collapsed="false"/>
    <row r="1045137" customFormat="false" ht="12.8" hidden="false" customHeight="true" outlineLevel="0" collapsed="false"/>
    <row r="1045138" customFormat="false" ht="12.8" hidden="false" customHeight="true" outlineLevel="0" collapsed="false"/>
    <row r="1045139" customFormat="false" ht="12.8" hidden="false" customHeight="true" outlineLevel="0" collapsed="false"/>
    <row r="1045140" customFormat="false" ht="12.8" hidden="false" customHeight="true" outlineLevel="0" collapsed="false"/>
    <row r="1045141" customFormat="false" ht="12.8" hidden="false" customHeight="true" outlineLevel="0" collapsed="false"/>
    <row r="1045142" customFormat="false" ht="12.8" hidden="false" customHeight="true" outlineLevel="0" collapsed="false"/>
    <row r="1045143" customFormat="false" ht="12.8" hidden="false" customHeight="true" outlineLevel="0" collapsed="false"/>
    <row r="1045144" customFormat="false" ht="12.8" hidden="false" customHeight="true" outlineLevel="0" collapsed="false"/>
    <row r="1045145" customFormat="false" ht="12.8" hidden="false" customHeight="true" outlineLevel="0" collapsed="false"/>
    <row r="1045146" customFormat="false" ht="12.8" hidden="false" customHeight="true" outlineLevel="0" collapsed="false"/>
    <row r="1045147" customFormat="false" ht="12.8" hidden="false" customHeight="true" outlineLevel="0" collapsed="false"/>
    <row r="1045148" customFormat="false" ht="12.8" hidden="false" customHeight="true" outlineLevel="0" collapsed="false"/>
    <row r="1045149" customFormat="false" ht="12.8" hidden="false" customHeight="true" outlineLevel="0" collapsed="false"/>
    <row r="1045150" customFormat="false" ht="12.8" hidden="false" customHeight="true" outlineLevel="0" collapsed="false"/>
    <row r="1045151" customFormat="false" ht="12.8" hidden="false" customHeight="true" outlineLevel="0" collapsed="false"/>
    <row r="1045152" customFormat="false" ht="12.8" hidden="false" customHeight="true" outlineLevel="0" collapsed="false"/>
    <row r="1045153" customFormat="false" ht="12.8" hidden="false" customHeight="true" outlineLevel="0" collapsed="false"/>
    <row r="1045154" customFormat="false" ht="12.8" hidden="false" customHeight="true" outlineLevel="0" collapsed="false"/>
    <row r="1045155" customFormat="false" ht="12.8" hidden="false" customHeight="true" outlineLevel="0" collapsed="false"/>
    <row r="1045156" customFormat="false" ht="12.8" hidden="false" customHeight="true" outlineLevel="0" collapsed="false"/>
    <row r="1045157" customFormat="false" ht="12.8" hidden="false" customHeight="true" outlineLevel="0" collapsed="false"/>
    <row r="1045158" customFormat="false" ht="12.8" hidden="false" customHeight="true" outlineLevel="0" collapsed="false"/>
    <row r="1045159" customFormat="false" ht="12.8" hidden="false" customHeight="true" outlineLevel="0" collapsed="false"/>
    <row r="1045160" customFormat="false" ht="12.8" hidden="false" customHeight="true" outlineLevel="0" collapsed="false"/>
    <row r="1045161" customFormat="false" ht="12.8" hidden="false" customHeight="true" outlineLevel="0" collapsed="false"/>
    <row r="1045162" customFormat="false" ht="12.8" hidden="false" customHeight="true" outlineLevel="0" collapsed="false"/>
    <row r="1045163" customFormat="false" ht="12.8" hidden="false" customHeight="true" outlineLevel="0" collapsed="false"/>
    <row r="1045164" customFormat="false" ht="12.8" hidden="false" customHeight="true" outlineLevel="0" collapsed="false"/>
    <row r="1045165" customFormat="false" ht="12.8" hidden="false" customHeight="true" outlineLevel="0" collapsed="false"/>
    <row r="1045166" customFormat="false" ht="12.8" hidden="false" customHeight="true" outlineLevel="0" collapsed="false"/>
    <row r="1045167" customFormat="false" ht="12.8" hidden="false" customHeight="true" outlineLevel="0" collapsed="false"/>
    <row r="1045168" customFormat="false" ht="12.8" hidden="false" customHeight="true" outlineLevel="0" collapsed="false"/>
    <row r="1045169" customFormat="false" ht="12.8" hidden="false" customHeight="true" outlineLevel="0" collapsed="false"/>
    <row r="1045170" customFormat="false" ht="12.8" hidden="false" customHeight="true" outlineLevel="0" collapsed="false"/>
    <row r="1045171" customFormat="false" ht="12.8" hidden="false" customHeight="true" outlineLevel="0" collapsed="false"/>
    <row r="1045172" customFormat="false" ht="12.8" hidden="false" customHeight="true" outlineLevel="0" collapsed="false"/>
    <row r="1045173" customFormat="false" ht="12.8" hidden="false" customHeight="true" outlineLevel="0" collapsed="false"/>
    <row r="1045174" customFormat="false" ht="12.8" hidden="false" customHeight="true" outlineLevel="0" collapsed="false"/>
    <row r="1045175" customFormat="false" ht="12.8" hidden="false" customHeight="true" outlineLevel="0" collapsed="false"/>
    <row r="1045176" customFormat="false" ht="12.8" hidden="false" customHeight="true" outlineLevel="0" collapsed="false"/>
    <row r="1045177" customFormat="false" ht="12.8" hidden="false" customHeight="true" outlineLevel="0" collapsed="false"/>
    <row r="1045178" customFormat="false" ht="12.8" hidden="false" customHeight="true" outlineLevel="0" collapsed="false"/>
    <row r="1045179" customFormat="false" ht="12.8" hidden="false" customHeight="true" outlineLevel="0" collapsed="false"/>
    <row r="1045180" customFormat="false" ht="12.8" hidden="false" customHeight="true" outlineLevel="0" collapsed="false"/>
    <row r="1045181" customFormat="false" ht="12.8" hidden="false" customHeight="true" outlineLevel="0" collapsed="false"/>
    <row r="1045182" customFormat="false" ht="12.8" hidden="false" customHeight="true" outlineLevel="0" collapsed="false"/>
    <row r="1045183" customFormat="false" ht="12.8" hidden="false" customHeight="true" outlineLevel="0" collapsed="false"/>
    <row r="1045184" customFormat="false" ht="12.8" hidden="false" customHeight="true" outlineLevel="0" collapsed="false"/>
    <row r="1045185" customFormat="false" ht="12.8" hidden="false" customHeight="true" outlineLevel="0" collapsed="false"/>
    <row r="1045186" customFormat="false" ht="12.8" hidden="false" customHeight="true" outlineLevel="0" collapsed="false"/>
    <row r="1045187" customFormat="false" ht="12.8" hidden="false" customHeight="true" outlineLevel="0" collapsed="false"/>
    <row r="1045188" customFormat="false" ht="12.8" hidden="false" customHeight="true" outlineLevel="0" collapsed="false"/>
    <row r="1045189" customFormat="false" ht="12.8" hidden="false" customHeight="true" outlineLevel="0" collapsed="false"/>
    <row r="1045190" customFormat="false" ht="12.8" hidden="false" customHeight="true" outlineLevel="0" collapsed="false"/>
    <row r="1045191" customFormat="false" ht="12.8" hidden="false" customHeight="true" outlineLevel="0" collapsed="false"/>
    <row r="1045192" customFormat="false" ht="12.8" hidden="false" customHeight="true" outlineLevel="0" collapsed="false"/>
    <row r="1045193" customFormat="false" ht="12.8" hidden="false" customHeight="true" outlineLevel="0" collapsed="false"/>
    <row r="1045194" customFormat="false" ht="12.8" hidden="false" customHeight="true" outlineLevel="0" collapsed="false"/>
    <row r="1045195" customFormat="false" ht="12.8" hidden="false" customHeight="true" outlineLevel="0" collapsed="false"/>
    <row r="1045196" customFormat="false" ht="12.8" hidden="false" customHeight="true" outlineLevel="0" collapsed="false"/>
    <row r="1045197" customFormat="false" ht="12.8" hidden="false" customHeight="true" outlineLevel="0" collapsed="false"/>
    <row r="1045198" customFormat="false" ht="12.8" hidden="false" customHeight="true" outlineLevel="0" collapsed="false"/>
    <row r="1045199" customFormat="false" ht="12.8" hidden="false" customHeight="true" outlineLevel="0" collapsed="false"/>
    <row r="1045200" customFormat="false" ht="12.8" hidden="false" customHeight="true" outlineLevel="0" collapsed="false"/>
    <row r="1045201" customFormat="false" ht="12.8" hidden="false" customHeight="true" outlineLevel="0" collapsed="false"/>
    <row r="1045202" customFormat="false" ht="12.8" hidden="false" customHeight="true" outlineLevel="0" collapsed="false"/>
    <row r="1045203" customFormat="false" ht="12.8" hidden="false" customHeight="true" outlineLevel="0" collapsed="false"/>
    <row r="1045204" customFormat="false" ht="12.8" hidden="false" customHeight="true" outlineLevel="0" collapsed="false"/>
    <row r="1045205" customFormat="false" ht="12.8" hidden="false" customHeight="true" outlineLevel="0" collapsed="false"/>
    <row r="1045206" customFormat="false" ht="12.8" hidden="false" customHeight="true" outlineLevel="0" collapsed="false"/>
    <row r="1045207" customFormat="false" ht="12.8" hidden="false" customHeight="true" outlineLevel="0" collapsed="false"/>
    <row r="1045208" customFormat="false" ht="12.8" hidden="false" customHeight="true" outlineLevel="0" collapsed="false"/>
    <row r="1045209" customFormat="false" ht="12.8" hidden="false" customHeight="true" outlineLevel="0" collapsed="false"/>
    <row r="1045210" customFormat="false" ht="12.8" hidden="false" customHeight="true" outlineLevel="0" collapsed="false"/>
    <row r="1045211" customFormat="false" ht="12.8" hidden="false" customHeight="true" outlineLevel="0" collapsed="false"/>
    <row r="1045212" customFormat="false" ht="12.8" hidden="false" customHeight="true" outlineLevel="0" collapsed="false"/>
    <row r="1045213" customFormat="false" ht="12.8" hidden="false" customHeight="true" outlineLevel="0" collapsed="false"/>
    <row r="1045214" customFormat="false" ht="12.8" hidden="false" customHeight="true" outlineLevel="0" collapsed="false"/>
    <row r="1045215" customFormat="false" ht="12.8" hidden="false" customHeight="true" outlineLevel="0" collapsed="false"/>
    <row r="1045216" customFormat="false" ht="12.8" hidden="false" customHeight="true" outlineLevel="0" collapsed="false"/>
    <row r="1045217" customFormat="false" ht="12.8" hidden="false" customHeight="true" outlineLevel="0" collapsed="false"/>
    <row r="1045218" customFormat="false" ht="12.8" hidden="false" customHeight="true" outlineLevel="0" collapsed="false"/>
    <row r="1045219" customFormat="false" ht="12.8" hidden="false" customHeight="true" outlineLevel="0" collapsed="false"/>
    <row r="1045220" customFormat="false" ht="12.8" hidden="false" customHeight="true" outlineLevel="0" collapsed="false"/>
    <row r="1045221" customFormat="false" ht="12.8" hidden="false" customHeight="true" outlineLevel="0" collapsed="false"/>
    <row r="1045222" customFormat="false" ht="12.8" hidden="false" customHeight="true" outlineLevel="0" collapsed="false"/>
    <row r="1045223" customFormat="false" ht="12.8" hidden="false" customHeight="true" outlineLevel="0" collapsed="false"/>
    <row r="1045224" customFormat="false" ht="12.8" hidden="false" customHeight="true" outlineLevel="0" collapsed="false"/>
    <row r="1045225" customFormat="false" ht="12.8" hidden="false" customHeight="true" outlineLevel="0" collapsed="false"/>
    <row r="1045226" customFormat="false" ht="12.8" hidden="false" customHeight="true" outlineLevel="0" collapsed="false"/>
    <row r="1045227" customFormat="false" ht="12.8" hidden="false" customHeight="true" outlineLevel="0" collapsed="false"/>
    <row r="1045228" customFormat="false" ht="12.8" hidden="false" customHeight="true" outlineLevel="0" collapsed="false"/>
    <row r="1045229" customFormat="false" ht="12.8" hidden="false" customHeight="true" outlineLevel="0" collapsed="false"/>
    <row r="1045230" customFormat="false" ht="12.8" hidden="false" customHeight="true" outlineLevel="0" collapsed="false"/>
    <row r="1045231" customFormat="false" ht="12.8" hidden="false" customHeight="true" outlineLevel="0" collapsed="false"/>
    <row r="1045232" customFormat="false" ht="12.8" hidden="false" customHeight="true" outlineLevel="0" collapsed="false"/>
    <row r="1045233" customFormat="false" ht="12.8" hidden="false" customHeight="true" outlineLevel="0" collapsed="false"/>
    <row r="1045234" customFormat="false" ht="12.8" hidden="false" customHeight="true" outlineLevel="0" collapsed="false"/>
    <row r="1045235" customFormat="false" ht="12.8" hidden="false" customHeight="true" outlineLevel="0" collapsed="false"/>
    <row r="1045236" customFormat="false" ht="12.8" hidden="false" customHeight="true" outlineLevel="0" collapsed="false"/>
    <row r="1045237" customFormat="false" ht="12.8" hidden="false" customHeight="true" outlineLevel="0" collapsed="false"/>
    <row r="1045238" customFormat="false" ht="12.8" hidden="false" customHeight="true" outlineLevel="0" collapsed="false"/>
    <row r="1045239" customFormat="false" ht="12.8" hidden="false" customHeight="true" outlineLevel="0" collapsed="false"/>
    <row r="1045240" customFormat="false" ht="12.8" hidden="false" customHeight="true" outlineLevel="0" collapsed="false"/>
    <row r="1045241" customFormat="false" ht="12.8" hidden="false" customHeight="true" outlineLevel="0" collapsed="false"/>
    <row r="1045242" customFormat="false" ht="12.8" hidden="false" customHeight="true" outlineLevel="0" collapsed="false"/>
    <row r="1045243" customFormat="false" ht="12.8" hidden="false" customHeight="true" outlineLevel="0" collapsed="false"/>
    <row r="1045244" customFormat="false" ht="12.8" hidden="false" customHeight="true" outlineLevel="0" collapsed="false"/>
    <row r="1045245" customFormat="false" ht="12.8" hidden="false" customHeight="true" outlineLevel="0" collapsed="false"/>
    <row r="1045246" customFormat="false" ht="12.8" hidden="false" customHeight="true" outlineLevel="0" collapsed="false"/>
    <row r="1045247" customFormat="false" ht="12.8" hidden="false" customHeight="true" outlineLevel="0" collapsed="false"/>
    <row r="1045248" customFormat="false" ht="12.8" hidden="false" customHeight="true" outlineLevel="0" collapsed="false"/>
    <row r="1045249" customFormat="false" ht="12.8" hidden="false" customHeight="true" outlineLevel="0" collapsed="false"/>
    <row r="1045250" customFormat="false" ht="12.8" hidden="false" customHeight="true" outlineLevel="0" collapsed="false"/>
    <row r="1045251" customFormat="false" ht="12.8" hidden="false" customHeight="true" outlineLevel="0" collapsed="false"/>
    <row r="1045252" customFormat="false" ht="12.8" hidden="false" customHeight="true" outlineLevel="0" collapsed="false"/>
    <row r="1045253" customFormat="false" ht="12.8" hidden="false" customHeight="true" outlineLevel="0" collapsed="false"/>
    <row r="1045254" customFormat="false" ht="12.8" hidden="false" customHeight="true" outlineLevel="0" collapsed="false"/>
    <row r="1045255" customFormat="false" ht="12.8" hidden="false" customHeight="true" outlineLevel="0" collapsed="false"/>
    <row r="1045256" customFormat="false" ht="12.8" hidden="false" customHeight="true" outlineLevel="0" collapsed="false"/>
    <row r="1045257" customFormat="false" ht="12.8" hidden="false" customHeight="true" outlineLevel="0" collapsed="false"/>
    <row r="1045258" customFormat="false" ht="12.8" hidden="false" customHeight="true" outlineLevel="0" collapsed="false"/>
    <row r="1045259" customFormat="false" ht="12.8" hidden="false" customHeight="true" outlineLevel="0" collapsed="false"/>
    <row r="1045260" customFormat="false" ht="12.8" hidden="false" customHeight="true" outlineLevel="0" collapsed="false"/>
    <row r="1045261" customFormat="false" ht="12.8" hidden="false" customHeight="true" outlineLevel="0" collapsed="false"/>
    <row r="1045262" customFormat="false" ht="12.8" hidden="false" customHeight="true" outlineLevel="0" collapsed="false"/>
    <row r="1045263" customFormat="false" ht="12.8" hidden="false" customHeight="true" outlineLevel="0" collapsed="false"/>
    <row r="1045264" customFormat="false" ht="12.8" hidden="false" customHeight="true" outlineLevel="0" collapsed="false"/>
    <row r="1045265" customFormat="false" ht="12.8" hidden="false" customHeight="true" outlineLevel="0" collapsed="false"/>
    <row r="1045266" customFormat="false" ht="12.8" hidden="false" customHeight="true" outlineLevel="0" collapsed="false"/>
    <row r="1045267" customFormat="false" ht="12.8" hidden="false" customHeight="true" outlineLevel="0" collapsed="false"/>
    <row r="1045268" customFormat="false" ht="12.8" hidden="false" customHeight="true" outlineLevel="0" collapsed="false"/>
    <row r="1045269" customFormat="false" ht="12.8" hidden="false" customHeight="true" outlineLevel="0" collapsed="false"/>
    <row r="1045270" customFormat="false" ht="12.8" hidden="false" customHeight="true" outlineLevel="0" collapsed="false"/>
    <row r="1045271" customFormat="false" ht="12.8" hidden="false" customHeight="true" outlineLevel="0" collapsed="false"/>
    <row r="1045272" customFormat="false" ht="12.8" hidden="false" customHeight="true" outlineLevel="0" collapsed="false"/>
    <row r="1045273" customFormat="false" ht="12.8" hidden="false" customHeight="true" outlineLevel="0" collapsed="false"/>
    <row r="1045274" customFormat="false" ht="12.8" hidden="false" customHeight="true" outlineLevel="0" collapsed="false"/>
    <row r="1045275" customFormat="false" ht="12.8" hidden="false" customHeight="true" outlineLevel="0" collapsed="false"/>
    <row r="1045276" customFormat="false" ht="12.8" hidden="false" customHeight="true" outlineLevel="0" collapsed="false"/>
    <row r="1045277" customFormat="false" ht="12.8" hidden="false" customHeight="true" outlineLevel="0" collapsed="false"/>
    <row r="1045278" customFormat="false" ht="12.8" hidden="false" customHeight="true" outlineLevel="0" collapsed="false"/>
    <row r="1045279" customFormat="false" ht="12.8" hidden="false" customHeight="true" outlineLevel="0" collapsed="false"/>
    <row r="1045280" customFormat="false" ht="12.8" hidden="false" customHeight="true" outlineLevel="0" collapsed="false"/>
    <row r="1045281" customFormat="false" ht="12.8" hidden="false" customHeight="true" outlineLevel="0" collapsed="false"/>
    <row r="1045282" customFormat="false" ht="12.8" hidden="false" customHeight="true" outlineLevel="0" collapsed="false"/>
    <row r="1045283" customFormat="false" ht="12.8" hidden="false" customHeight="true" outlineLevel="0" collapsed="false"/>
    <row r="1045284" customFormat="false" ht="12.8" hidden="false" customHeight="true" outlineLevel="0" collapsed="false"/>
    <row r="1045285" customFormat="false" ht="12.8" hidden="false" customHeight="true" outlineLevel="0" collapsed="false"/>
    <row r="1045286" customFormat="false" ht="12.8" hidden="false" customHeight="true" outlineLevel="0" collapsed="false"/>
    <row r="1045287" customFormat="false" ht="12.8" hidden="false" customHeight="true" outlineLevel="0" collapsed="false"/>
    <row r="1045288" customFormat="false" ht="12.8" hidden="false" customHeight="true" outlineLevel="0" collapsed="false"/>
    <row r="1045289" customFormat="false" ht="12.8" hidden="false" customHeight="true" outlineLevel="0" collapsed="false"/>
    <row r="1045290" customFormat="false" ht="12.8" hidden="false" customHeight="true" outlineLevel="0" collapsed="false"/>
    <row r="1045291" customFormat="false" ht="12.8" hidden="false" customHeight="true" outlineLevel="0" collapsed="false"/>
    <row r="1045292" customFormat="false" ht="12.8" hidden="false" customHeight="true" outlineLevel="0" collapsed="false"/>
    <row r="1045293" customFormat="false" ht="12.8" hidden="false" customHeight="true" outlineLevel="0" collapsed="false"/>
    <row r="1045294" customFormat="false" ht="12.8" hidden="false" customHeight="true" outlineLevel="0" collapsed="false"/>
    <row r="1045295" customFormat="false" ht="12.8" hidden="false" customHeight="true" outlineLevel="0" collapsed="false"/>
    <row r="1045296" customFormat="false" ht="12.8" hidden="false" customHeight="true" outlineLevel="0" collapsed="false"/>
    <row r="1045297" customFormat="false" ht="12.8" hidden="false" customHeight="true" outlineLevel="0" collapsed="false"/>
    <row r="1045298" customFormat="false" ht="12.8" hidden="false" customHeight="true" outlineLevel="0" collapsed="false"/>
    <row r="1045299" customFormat="false" ht="12.8" hidden="false" customHeight="true" outlineLevel="0" collapsed="false"/>
    <row r="1045300" customFormat="false" ht="12.8" hidden="false" customHeight="true" outlineLevel="0" collapsed="false"/>
    <row r="1045301" customFormat="false" ht="12.8" hidden="false" customHeight="true" outlineLevel="0" collapsed="false"/>
    <row r="1045302" customFormat="false" ht="12.8" hidden="false" customHeight="true" outlineLevel="0" collapsed="false"/>
    <row r="1045303" customFormat="false" ht="12.8" hidden="false" customHeight="true" outlineLevel="0" collapsed="false"/>
    <row r="1045304" customFormat="false" ht="12.8" hidden="false" customHeight="true" outlineLevel="0" collapsed="false"/>
    <row r="1045305" customFormat="false" ht="12.8" hidden="false" customHeight="true" outlineLevel="0" collapsed="false"/>
    <row r="1045306" customFormat="false" ht="12.8" hidden="false" customHeight="true" outlineLevel="0" collapsed="false"/>
    <row r="1045307" customFormat="false" ht="12.8" hidden="false" customHeight="true" outlineLevel="0" collapsed="false"/>
    <row r="1045308" customFormat="false" ht="12.8" hidden="false" customHeight="true" outlineLevel="0" collapsed="false"/>
    <row r="1045309" customFormat="false" ht="12.8" hidden="false" customHeight="true" outlineLevel="0" collapsed="false"/>
    <row r="1045310" customFormat="false" ht="12.8" hidden="false" customHeight="true" outlineLevel="0" collapsed="false"/>
    <row r="1045311" customFormat="false" ht="12.8" hidden="false" customHeight="true" outlineLevel="0" collapsed="false"/>
    <row r="1045312" customFormat="false" ht="12.8" hidden="false" customHeight="true" outlineLevel="0" collapsed="false"/>
    <row r="1045313" customFormat="false" ht="12.8" hidden="false" customHeight="true" outlineLevel="0" collapsed="false"/>
    <row r="1045314" customFormat="false" ht="12.8" hidden="false" customHeight="true" outlineLevel="0" collapsed="false"/>
    <row r="1045315" customFormat="false" ht="12.8" hidden="false" customHeight="true" outlineLevel="0" collapsed="false"/>
    <row r="1045316" customFormat="false" ht="12.8" hidden="false" customHeight="true" outlineLevel="0" collapsed="false"/>
    <row r="1045317" customFormat="false" ht="12.8" hidden="false" customHeight="true" outlineLevel="0" collapsed="false"/>
    <row r="1045318" customFormat="false" ht="12.8" hidden="false" customHeight="true" outlineLevel="0" collapsed="false"/>
    <row r="1045319" customFormat="false" ht="12.8" hidden="false" customHeight="true" outlineLevel="0" collapsed="false"/>
    <row r="1045320" customFormat="false" ht="12.8" hidden="false" customHeight="true" outlineLevel="0" collapsed="false"/>
    <row r="1045321" customFormat="false" ht="12.8" hidden="false" customHeight="true" outlineLevel="0" collapsed="false"/>
    <row r="1045322" customFormat="false" ht="12.8" hidden="false" customHeight="true" outlineLevel="0" collapsed="false"/>
    <row r="1045323" customFormat="false" ht="12.8" hidden="false" customHeight="true" outlineLevel="0" collapsed="false"/>
    <row r="1045324" customFormat="false" ht="12.8" hidden="false" customHeight="true" outlineLevel="0" collapsed="false"/>
    <row r="1045325" customFormat="false" ht="12.8" hidden="false" customHeight="true" outlineLevel="0" collapsed="false"/>
    <row r="1045326" customFormat="false" ht="12.8" hidden="false" customHeight="true" outlineLevel="0" collapsed="false"/>
    <row r="1045327" customFormat="false" ht="12.8" hidden="false" customHeight="true" outlineLevel="0" collapsed="false"/>
    <row r="1045328" customFormat="false" ht="12.8" hidden="false" customHeight="true" outlineLevel="0" collapsed="false"/>
    <row r="1045329" customFormat="false" ht="12.8" hidden="false" customHeight="true" outlineLevel="0" collapsed="false"/>
    <row r="1045330" customFormat="false" ht="12.8" hidden="false" customHeight="true" outlineLevel="0" collapsed="false"/>
    <row r="1045331" customFormat="false" ht="12.8" hidden="false" customHeight="true" outlineLevel="0" collapsed="false"/>
    <row r="1045332" customFormat="false" ht="12.8" hidden="false" customHeight="true" outlineLevel="0" collapsed="false"/>
    <row r="1045333" customFormat="false" ht="12.8" hidden="false" customHeight="true" outlineLevel="0" collapsed="false"/>
    <row r="1045334" customFormat="false" ht="12.8" hidden="false" customHeight="true" outlineLevel="0" collapsed="false"/>
    <row r="1045335" customFormat="false" ht="12.8" hidden="false" customHeight="true" outlineLevel="0" collapsed="false"/>
    <row r="1045336" customFormat="false" ht="12.8" hidden="false" customHeight="true" outlineLevel="0" collapsed="false"/>
    <row r="1045337" customFormat="false" ht="12.8" hidden="false" customHeight="true" outlineLevel="0" collapsed="false"/>
    <row r="1045338" customFormat="false" ht="12.8" hidden="false" customHeight="true" outlineLevel="0" collapsed="false"/>
    <row r="1045339" customFormat="false" ht="12.8" hidden="false" customHeight="true" outlineLevel="0" collapsed="false"/>
    <row r="1045340" customFormat="false" ht="12.8" hidden="false" customHeight="true" outlineLevel="0" collapsed="false"/>
    <row r="1045341" customFormat="false" ht="12.8" hidden="false" customHeight="true" outlineLevel="0" collapsed="false"/>
    <row r="1045342" customFormat="false" ht="12.8" hidden="false" customHeight="true" outlineLevel="0" collapsed="false"/>
    <row r="1045343" customFormat="false" ht="12.8" hidden="false" customHeight="true" outlineLevel="0" collapsed="false"/>
    <row r="1045344" customFormat="false" ht="12.8" hidden="false" customHeight="true" outlineLevel="0" collapsed="false"/>
    <row r="1045345" customFormat="false" ht="12.8" hidden="false" customHeight="true" outlineLevel="0" collapsed="false"/>
    <row r="1045346" customFormat="false" ht="12.8" hidden="false" customHeight="true" outlineLevel="0" collapsed="false"/>
    <row r="1045347" customFormat="false" ht="12.8" hidden="false" customHeight="true" outlineLevel="0" collapsed="false"/>
    <row r="1045348" customFormat="false" ht="12.8" hidden="false" customHeight="true" outlineLevel="0" collapsed="false"/>
    <row r="1045349" customFormat="false" ht="12.8" hidden="false" customHeight="true" outlineLevel="0" collapsed="false"/>
    <row r="1045350" customFormat="false" ht="12.8" hidden="false" customHeight="true" outlineLevel="0" collapsed="false"/>
    <row r="1045351" customFormat="false" ht="12.8" hidden="false" customHeight="true" outlineLevel="0" collapsed="false"/>
    <row r="1045352" customFormat="false" ht="12.8" hidden="false" customHeight="true" outlineLevel="0" collapsed="false"/>
    <row r="1045353" customFormat="false" ht="12.8" hidden="false" customHeight="true" outlineLevel="0" collapsed="false"/>
    <row r="1045354" customFormat="false" ht="12.8" hidden="false" customHeight="true" outlineLevel="0" collapsed="false"/>
    <row r="1045355" customFormat="false" ht="12.8" hidden="false" customHeight="true" outlineLevel="0" collapsed="false"/>
    <row r="1045356" customFormat="false" ht="12.8" hidden="false" customHeight="true" outlineLevel="0" collapsed="false"/>
    <row r="1045357" customFormat="false" ht="12.8" hidden="false" customHeight="true" outlineLevel="0" collapsed="false"/>
    <row r="1045358" customFormat="false" ht="12.8" hidden="false" customHeight="true" outlineLevel="0" collapsed="false"/>
    <row r="1045359" customFormat="false" ht="12.8" hidden="false" customHeight="true" outlineLevel="0" collapsed="false"/>
    <row r="1045360" customFormat="false" ht="12.8" hidden="false" customHeight="true" outlineLevel="0" collapsed="false"/>
    <row r="1045361" customFormat="false" ht="12.8" hidden="false" customHeight="true" outlineLevel="0" collapsed="false"/>
    <row r="1045362" customFormat="false" ht="12.8" hidden="false" customHeight="true" outlineLevel="0" collapsed="false"/>
    <row r="1045363" customFormat="false" ht="12.8" hidden="false" customHeight="true" outlineLevel="0" collapsed="false"/>
    <row r="1045364" customFormat="false" ht="12.8" hidden="false" customHeight="true" outlineLevel="0" collapsed="false"/>
    <row r="1045365" customFormat="false" ht="12.8" hidden="false" customHeight="true" outlineLevel="0" collapsed="false"/>
    <row r="1045366" customFormat="false" ht="12.8" hidden="false" customHeight="true" outlineLevel="0" collapsed="false"/>
    <row r="1045367" customFormat="false" ht="12.8" hidden="false" customHeight="true" outlineLevel="0" collapsed="false"/>
    <row r="1045368" customFormat="false" ht="12.8" hidden="false" customHeight="true" outlineLevel="0" collapsed="false"/>
    <row r="1045369" customFormat="false" ht="12.8" hidden="false" customHeight="true" outlineLevel="0" collapsed="false"/>
    <row r="1045370" customFormat="false" ht="12.8" hidden="false" customHeight="true" outlineLevel="0" collapsed="false"/>
    <row r="1045371" customFormat="false" ht="12.8" hidden="false" customHeight="true" outlineLevel="0" collapsed="false"/>
    <row r="1045372" customFormat="false" ht="12.8" hidden="false" customHeight="true" outlineLevel="0" collapsed="false"/>
    <row r="1045373" customFormat="false" ht="12.8" hidden="false" customHeight="true" outlineLevel="0" collapsed="false"/>
    <row r="1045374" customFormat="false" ht="12.8" hidden="false" customHeight="true" outlineLevel="0" collapsed="false"/>
    <row r="1045375" customFormat="false" ht="12.8" hidden="false" customHeight="true" outlineLevel="0" collapsed="false"/>
    <row r="1045376" customFormat="false" ht="12.8" hidden="false" customHeight="true" outlineLevel="0" collapsed="false"/>
    <row r="1045377" customFormat="false" ht="12.8" hidden="false" customHeight="true" outlineLevel="0" collapsed="false"/>
    <row r="1045378" customFormat="false" ht="12.8" hidden="false" customHeight="true" outlineLevel="0" collapsed="false"/>
    <row r="1045379" customFormat="false" ht="12.8" hidden="false" customHeight="true" outlineLevel="0" collapsed="false"/>
    <row r="1045380" customFormat="false" ht="12.8" hidden="false" customHeight="true" outlineLevel="0" collapsed="false"/>
    <row r="1045381" customFormat="false" ht="12.8" hidden="false" customHeight="true" outlineLevel="0" collapsed="false"/>
    <row r="1045382" customFormat="false" ht="12.8" hidden="false" customHeight="true" outlineLevel="0" collapsed="false"/>
    <row r="1045383" customFormat="false" ht="12.8" hidden="false" customHeight="true" outlineLevel="0" collapsed="false"/>
    <row r="1045384" customFormat="false" ht="12.8" hidden="false" customHeight="true" outlineLevel="0" collapsed="false"/>
    <row r="1045385" customFormat="false" ht="12.8" hidden="false" customHeight="true" outlineLevel="0" collapsed="false"/>
    <row r="1045386" customFormat="false" ht="12.8" hidden="false" customHeight="true" outlineLevel="0" collapsed="false"/>
    <row r="1045387" customFormat="false" ht="12.8" hidden="false" customHeight="true" outlineLevel="0" collapsed="false"/>
    <row r="1045388" customFormat="false" ht="12.8" hidden="false" customHeight="true" outlineLevel="0" collapsed="false"/>
    <row r="1045389" customFormat="false" ht="12.8" hidden="false" customHeight="true" outlineLevel="0" collapsed="false"/>
    <row r="1045390" customFormat="false" ht="12.8" hidden="false" customHeight="true" outlineLevel="0" collapsed="false"/>
    <row r="1045391" customFormat="false" ht="12.8" hidden="false" customHeight="true" outlineLevel="0" collapsed="false"/>
    <row r="1045392" customFormat="false" ht="12.8" hidden="false" customHeight="true" outlineLevel="0" collapsed="false"/>
    <row r="1045393" customFormat="false" ht="12.8" hidden="false" customHeight="true" outlineLevel="0" collapsed="false"/>
    <row r="1045394" customFormat="false" ht="12.8" hidden="false" customHeight="true" outlineLevel="0" collapsed="false"/>
    <row r="1045395" customFormat="false" ht="12.8" hidden="false" customHeight="true" outlineLevel="0" collapsed="false"/>
    <row r="1045396" customFormat="false" ht="12.8" hidden="false" customHeight="true" outlineLevel="0" collapsed="false"/>
    <row r="1045397" customFormat="false" ht="12.8" hidden="false" customHeight="true" outlineLevel="0" collapsed="false"/>
    <row r="1045398" customFormat="false" ht="12.8" hidden="false" customHeight="true" outlineLevel="0" collapsed="false"/>
    <row r="1045399" customFormat="false" ht="12.8" hidden="false" customHeight="true" outlineLevel="0" collapsed="false"/>
    <row r="1045400" customFormat="false" ht="12.8" hidden="false" customHeight="true" outlineLevel="0" collapsed="false"/>
    <row r="1045401" customFormat="false" ht="12.8" hidden="false" customHeight="true" outlineLevel="0" collapsed="false"/>
    <row r="1045402" customFormat="false" ht="12.8" hidden="false" customHeight="true" outlineLevel="0" collapsed="false"/>
    <row r="1045403" customFormat="false" ht="12.8" hidden="false" customHeight="true" outlineLevel="0" collapsed="false"/>
    <row r="1045404" customFormat="false" ht="12.8" hidden="false" customHeight="true" outlineLevel="0" collapsed="false"/>
    <row r="1045405" customFormat="false" ht="12.8" hidden="false" customHeight="true" outlineLevel="0" collapsed="false"/>
    <row r="1045406" customFormat="false" ht="12.8" hidden="false" customHeight="true" outlineLevel="0" collapsed="false"/>
    <row r="1045407" customFormat="false" ht="12.8" hidden="false" customHeight="true" outlineLevel="0" collapsed="false"/>
    <row r="1045408" customFormat="false" ht="12.8" hidden="false" customHeight="true" outlineLevel="0" collapsed="false"/>
    <row r="1045409" customFormat="false" ht="12.8" hidden="false" customHeight="true" outlineLevel="0" collapsed="false"/>
    <row r="1045410" customFormat="false" ht="12.8" hidden="false" customHeight="true" outlineLevel="0" collapsed="false"/>
    <row r="1045411" customFormat="false" ht="12.8" hidden="false" customHeight="true" outlineLevel="0" collapsed="false"/>
    <row r="1045412" customFormat="false" ht="12.8" hidden="false" customHeight="true" outlineLevel="0" collapsed="false"/>
    <row r="1045413" customFormat="false" ht="12.8" hidden="false" customHeight="true" outlineLevel="0" collapsed="false"/>
    <row r="1045414" customFormat="false" ht="12.8" hidden="false" customHeight="true" outlineLevel="0" collapsed="false"/>
    <row r="1045415" customFormat="false" ht="12.8" hidden="false" customHeight="true" outlineLevel="0" collapsed="false"/>
    <row r="1045416" customFormat="false" ht="12.8" hidden="false" customHeight="true" outlineLevel="0" collapsed="false"/>
    <row r="1045417" customFormat="false" ht="12.8" hidden="false" customHeight="true" outlineLevel="0" collapsed="false"/>
    <row r="1045418" customFormat="false" ht="12.8" hidden="false" customHeight="true" outlineLevel="0" collapsed="false"/>
    <row r="1045419" customFormat="false" ht="12.8" hidden="false" customHeight="true" outlineLevel="0" collapsed="false"/>
    <row r="1045420" customFormat="false" ht="12.8" hidden="false" customHeight="true" outlineLevel="0" collapsed="false"/>
    <row r="1045421" customFormat="false" ht="12.8" hidden="false" customHeight="true" outlineLevel="0" collapsed="false"/>
    <row r="1045422" customFormat="false" ht="12.8" hidden="false" customHeight="true" outlineLevel="0" collapsed="false"/>
    <row r="1045423" customFormat="false" ht="12.8" hidden="false" customHeight="true" outlineLevel="0" collapsed="false"/>
    <row r="1045424" customFormat="false" ht="12.8" hidden="false" customHeight="true" outlineLevel="0" collapsed="false"/>
    <row r="1045425" customFormat="false" ht="12.8" hidden="false" customHeight="true" outlineLevel="0" collapsed="false"/>
    <row r="1045426" customFormat="false" ht="12.8" hidden="false" customHeight="true" outlineLevel="0" collapsed="false"/>
    <row r="1045427" customFormat="false" ht="12.8" hidden="false" customHeight="true" outlineLevel="0" collapsed="false"/>
    <row r="1045428" customFormat="false" ht="12.8" hidden="false" customHeight="true" outlineLevel="0" collapsed="false"/>
    <row r="1045429" customFormat="false" ht="12.8" hidden="false" customHeight="true" outlineLevel="0" collapsed="false"/>
    <row r="1045430" customFormat="false" ht="12.8" hidden="false" customHeight="true" outlineLevel="0" collapsed="false"/>
    <row r="1045431" customFormat="false" ht="12.8" hidden="false" customHeight="true" outlineLevel="0" collapsed="false"/>
    <row r="1045432" customFormat="false" ht="12.8" hidden="false" customHeight="true" outlineLevel="0" collapsed="false"/>
    <row r="1045433" customFormat="false" ht="12.8" hidden="false" customHeight="true" outlineLevel="0" collapsed="false"/>
    <row r="1045434" customFormat="false" ht="12.8" hidden="false" customHeight="true" outlineLevel="0" collapsed="false"/>
    <row r="1045435" customFormat="false" ht="12.8" hidden="false" customHeight="true" outlineLevel="0" collapsed="false"/>
    <row r="1045436" customFormat="false" ht="12.8" hidden="false" customHeight="true" outlineLevel="0" collapsed="false"/>
    <row r="1045437" customFormat="false" ht="12.8" hidden="false" customHeight="true" outlineLevel="0" collapsed="false"/>
    <row r="1045438" customFormat="false" ht="12.8" hidden="false" customHeight="true" outlineLevel="0" collapsed="false"/>
    <row r="1045439" customFormat="false" ht="12.8" hidden="false" customHeight="true" outlineLevel="0" collapsed="false"/>
    <row r="1045440" customFormat="false" ht="12.8" hidden="false" customHeight="true" outlineLevel="0" collapsed="false"/>
    <row r="1045441" customFormat="false" ht="12.8" hidden="false" customHeight="true" outlineLevel="0" collapsed="false"/>
    <row r="1045442" customFormat="false" ht="12.8" hidden="false" customHeight="true" outlineLevel="0" collapsed="false"/>
    <row r="1045443" customFormat="false" ht="12.8" hidden="false" customHeight="true" outlineLevel="0" collapsed="false"/>
    <row r="1045444" customFormat="false" ht="12.8" hidden="false" customHeight="true" outlineLevel="0" collapsed="false"/>
    <row r="1045445" customFormat="false" ht="12.8" hidden="false" customHeight="true" outlineLevel="0" collapsed="false"/>
    <row r="1045446" customFormat="false" ht="12.8" hidden="false" customHeight="true" outlineLevel="0" collapsed="false"/>
    <row r="1045447" customFormat="false" ht="12.8" hidden="false" customHeight="true" outlineLevel="0" collapsed="false"/>
    <row r="1045448" customFormat="false" ht="12.8" hidden="false" customHeight="true" outlineLevel="0" collapsed="false"/>
    <row r="1045449" customFormat="false" ht="12.8" hidden="false" customHeight="true" outlineLevel="0" collapsed="false"/>
    <row r="1045450" customFormat="false" ht="12.8" hidden="false" customHeight="true" outlineLevel="0" collapsed="false"/>
    <row r="1045451" customFormat="false" ht="12.8" hidden="false" customHeight="true" outlineLevel="0" collapsed="false"/>
    <row r="1045452" customFormat="false" ht="12.8" hidden="false" customHeight="true" outlineLevel="0" collapsed="false"/>
    <row r="1045453" customFormat="false" ht="12.8" hidden="false" customHeight="true" outlineLevel="0" collapsed="false"/>
    <row r="1045454" customFormat="false" ht="12.8" hidden="false" customHeight="true" outlineLevel="0" collapsed="false"/>
    <row r="1045455" customFormat="false" ht="12.8" hidden="false" customHeight="true" outlineLevel="0" collapsed="false"/>
    <row r="1045456" customFormat="false" ht="12.8" hidden="false" customHeight="true" outlineLevel="0" collapsed="false"/>
    <row r="1045457" customFormat="false" ht="12.8" hidden="false" customHeight="true" outlineLevel="0" collapsed="false"/>
    <row r="1045458" customFormat="false" ht="12.8" hidden="false" customHeight="true" outlineLevel="0" collapsed="false"/>
    <row r="1045459" customFormat="false" ht="12.8" hidden="false" customHeight="true" outlineLevel="0" collapsed="false"/>
    <row r="1045460" customFormat="false" ht="12.8" hidden="false" customHeight="true" outlineLevel="0" collapsed="false"/>
    <row r="1045461" customFormat="false" ht="12.8" hidden="false" customHeight="true" outlineLevel="0" collapsed="false"/>
    <row r="1045462" customFormat="false" ht="12.8" hidden="false" customHeight="true" outlineLevel="0" collapsed="false"/>
    <row r="1045463" customFormat="false" ht="12.8" hidden="false" customHeight="true" outlineLevel="0" collapsed="false"/>
    <row r="1045464" customFormat="false" ht="12.8" hidden="false" customHeight="true" outlineLevel="0" collapsed="false"/>
    <row r="1045465" customFormat="false" ht="12.8" hidden="false" customHeight="true" outlineLevel="0" collapsed="false"/>
    <row r="1045466" customFormat="false" ht="12.8" hidden="false" customHeight="true" outlineLevel="0" collapsed="false"/>
    <row r="1045467" customFormat="false" ht="12.8" hidden="false" customHeight="true" outlineLevel="0" collapsed="false"/>
    <row r="1045468" customFormat="false" ht="12.8" hidden="false" customHeight="true" outlineLevel="0" collapsed="false"/>
    <row r="1045469" customFormat="false" ht="12.8" hidden="false" customHeight="true" outlineLevel="0" collapsed="false"/>
    <row r="1045470" customFormat="false" ht="12.8" hidden="false" customHeight="true" outlineLevel="0" collapsed="false"/>
    <row r="1045471" customFormat="false" ht="12.8" hidden="false" customHeight="true" outlineLevel="0" collapsed="false"/>
    <row r="1045472" customFormat="false" ht="12.8" hidden="false" customHeight="true" outlineLevel="0" collapsed="false"/>
    <row r="1045473" customFormat="false" ht="12.8" hidden="false" customHeight="true" outlineLevel="0" collapsed="false"/>
    <row r="1045474" customFormat="false" ht="12.8" hidden="false" customHeight="true" outlineLevel="0" collapsed="false"/>
    <row r="1045475" customFormat="false" ht="12.8" hidden="false" customHeight="true" outlineLevel="0" collapsed="false"/>
    <row r="1045476" customFormat="false" ht="12.8" hidden="false" customHeight="true" outlineLevel="0" collapsed="false"/>
    <row r="1045477" customFormat="false" ht="12.8" hidden="false" customHeight="true" outlineLevel="0" collapsed="false"/>
    <row r="1045478" customFormat="false" ht="12.8" hidden="false" customHeight="true" outlineLevel="0" collapsed="false"/>
    <row r="1045479" customFormat="false" ht="12.8" hidden="false" customHeight="true" outlineLevel="0" collapsed="false"/>
    <row r="1045480" customFormat="false" ht="12.8" hidden="false" customHeight="true" outlineLevel="0" collapsed="false"/>
    <row r="1045481" customFormat="false" ht="12.8" hidden="false" customHeight="true" outlineLevel="0" collapsed="false"/>
    <row r="1045482" customFormat="false" ht="12.8" hidden="false" customHeight="true" outlineLevel="0" collapsed="false"/>
    <row r="1045483" customFormat="false" ht="12.8" hidden="false" customHeight="true" outlineLevel="0" collapsed="false"/>
    <row r="1045484" customFormat="false" ht="12.8" hidden="false" customHeight="true" outlineLevel="0" collapsed="false"/>
    <row r="1045485" customFormat="false" ht="12.8" hidden="false" customHeight="true" outlineLevel="0" collapsed="false"/>
    <row r="1045486" customFormat="false" ht="12.8" hidden="false" customHeight="true" outlineLevel="0" collapsed="false"/>
    <row r="1045487" customFormat="false" ht="12.8" hidden="false" customHeight="true" outlineLevel="0" collapsed="false"/>
    <row r="1045488" customFormat="false" ht="12.8" hidden="false" customHeight="true" outlineLevel="0" collapsed="false"/>
    <row r="1045489" customFormat="false" ht="12.8" hidden="false" customHeight="true" outlineLevel="0" collapsed="false"/>
    <row r="1045490" customFormat="false" ht="12.8" hidden="false" customHeight="true" outlineLevel="0" collapsed="false"/>
    <row r="1045491" customFormat="false" ht="12.8" hidden="false" customHeight="true" outlineLevel="0" collapsed="false"/>
    <row r="1045492" customFormat="false" ht="12.8" hidden="false" customHeight="true" outlineLevel="0" collapsed="false"/>
    <row r="1045493" customFormat="false" ht="12.8" hidden="false" customHeight="true" outlineLevel="0" collapsed="false"/>
    <row r="1045494" customFormat="false" ht="12.8" hidden="false" customHeight="true" outlineLevel="0" collapsed="false"/>
    <row r="1045495" customFormat="false" ht="12.8" hidden="false" customHeight="true" outlineLevel="0" collapsed="false"/>
    <row r="1045496" customFormat="false" ht="12.8" hidden="false" customHeight="true" outlineLevel="0" collapsed="false"/>
    <row r="1045497" customFormat="false" ht="12.8" hidden="false" customHeight="true" outlineLevel="0" collapsed="false"/>
    <row r="1045498" customFormat="false" ht="12.8" hidden="false" customHeight="true" outlineLevel="0" collapsed="false"/>
    <row r="1045499" customFormat="false" ht="12.8" hidden="false" customHeight="true" outlineLevel="0" collapsed="false"/>
    <row r="1045500" customFormat="false" ht="12.8" hidden="false" customHeight="true" outlineLevel="0" collapsed="false"/>
    <row r="1045501" customFormat="false" ht="12.8" hidden="false" customHeight="true" outlineLevel="0" collapsed="false"/>
    <row r="1045502" customFormat="false" ht="12.8" hidden="false" customHeight="true" outlineLevel="0" collapsed="false"/>
    <row r="1045503" customFormat="false" ht="12.8" hidden="false" customHeight="true" outlineLevel="0" collapsed="false"/>
    <row r="1045504" customFormat="false" ht="12.8" hidden="false" customHeight="true" outlineLevel="0" collapsed="false"/>
    <row r="1045505" customFormat="false" ht="12.8" hidden="false" customHeight="true" outlineLevel="0" collapsed="false"/>
    <row r="1045506" customFormat="false" ht="12.8" hidden="false" customHeight="true" outlineLevel="0" collapsed="false"/>
    <row r="1045507" customFormat="false" ht="12.8" hidden="false" customHeight="true" outlineLevel="0" collapsed="false"/>
    <row r="1045508" customFormat="false" ht="12.8" hidden="false" customHeight="true" outlineLevel="0" collapsed="false"/>
    <row r="1045509" customFormat="false" ht="12.8" hidden="false" customHeight="true" outlineLevel="0" collapsed="false"/>
    <row r="1045510" customFormat="false" ht="12.8" hidden="false" customHeight="true" outlineLevel="0" collapsed="false"/>
    <row r="1045511" customFormat="false" ht="12.8" hidden="false" customHeight="true" outlineLevel="0" collapsed="false"/>
    <row r="1045512" customFormat="false" ht="12.8" hidden="false" customHeight="true" outlineLevel="0" collapsed="false"/>
    <row r="1045513" customFormat="false" ht="12.8" hidden="false" customHeight="true" outlineLevel="0" collapsed="false"/>
    <row r="1045514" customFormat="false" ht="12.8" hidden="false" customHeight="true" outlineLevel="0" collapsed="false"/>
    <row r="1045515" customFormat="false" ht="12.8" hidden="false" customHeight="true" outlineLevel="0" collapsed="false"/>
    <row r="1045516" customFormat="false" ht="12.8" hidden="false" customHeight="true" outlineLevel="0" collapsed="false"/>
    <row r="1045517" customFormat="false" ht="12.8" hidden="false" customHeight="true" outlineLevel="0" collapsed="false"/>
    <row r="1045518" customFormat="false" ht="12.8" hidden="false" customHeight="true" outlineLevel="0" collapsed="false"/>
    <row r="1045519" customFormat="false" ht="12.8" hidden="false" customHeight="true" outlineLevel="0" collapsed="false"/>
    <row r="1045520" customFormat="false" ht="12.8" hidden="false" customHeight="true" outlineLevel="0" collapsed="false"/>
    <row r="1045521" customFormat="false" ht="12.8" hidden="false" customHeight="true" outlineLevel="0" collapsed="false"/>
    <row r="1045522" customFormat="false" ht="12.8" hidden="false" customHeight="true" outlineLevel="0" collapsed="false"/>
    <row r="1045523" customFormat="false" ht="12.8" hidden="false" customHeight="true" outlineLevel="0" collapsed="false"/>
    <row r="1045524" customFormat="false" ht="12.8" hidden="false" customHeight="true" outlineLevel="0" collapsed="false"/>
    <row r="1045525" customFormat="false" ht="12.8" hidden="false" customHeight="true" outlineLevel="0" collapsed="false"/>
    <row r="1045526" customFormat="false" ht="12.8" hidden="false" customHeight="true" outlineLevel="0" collapsed="false"/>
    <row r="1045527" customFormat="false" ht="12.8" hidden="false" customHeight="true" outlineLevel="0" collapsed="false"/>
    <row r="1045528" customFormat="false" ht="12.8" hidden="false" customHeight="true" outlineLevel="0" collapsed="false"/>
    <row r="1045529" customFormat="false" ht="12.8" hidden="false" customHeight="true" outlineLevel="0" collapsed="false"/>
    <row r="1045530" customFormat="false" ht="12.8" hidden="false" customHeight="true" outlineLevel="0" collapsed="false"/>
    <row r="1045531" customFormat="false" ht="12.8" hidden="false" customHeight="true" outlineLevel="0" collapsed="false"/>
    <row r="1045532" customFormat="false" ht="12.8" hidden="false" customHeight="true" outlineLevel="0" collapsed="false"/>
    <row r="1045533" customFormat="false" ht="12.8" hidden="false" customHeight="true" outlineLevel="0" collapsed="false"/>
    <row r="1045534" customFormat="false" ht="12.8" hidden="false" customHeight="true" outlineLevel="0" collapsed="false"/>
    <row r="1045535" customFormat="false" ht="12.8" hidden="false" customHeight="true" outlineLevel="0" collapsed="false"/>
    <row r="1045536" customFormat="false" ht="12.8" hidden="false" customHeight="true" outlineLevel="0" collapsed="false"/>
    <row r="1045537" customFormat="false" ht="12.8" hidden="false" customHeight="true" outlineLevel="0" collapsed="false"/>
    <row r="1045538" customFormat="false" ht="12.8" hidden="false" customHeight="true" outlineLevel="0" collapsed="false"/>
    <row r="1045539" customFormat="false" ht="12.8" hidden="false" customHeight="true" outlineLevel="0" collapsed="false"/>
    <row r="1045540" customFormat="false" ht="12.8" hidden="false" customHeight="true" outlineLevel="0" collapsed="false"/>
    <row r="1045541" customFormat="false" ht="12.8" hidden="false" customHeight="true" outlineLevel="0" collapsed="false"/>
    <row r="1045542" customFormat="false" ht="12.8" hidden="false" customHeight="true" outlineLevel="0" collapsed="false"/>
    <row r="1045543" customFormat="false" ht="12.8" hidden="false" customHeight="true" outlineLevel="0" collapsed="false"/>
    <row r="1045544" customFormat="false" ht="12.8" hidden="false" customHeight="true" outlineLevel="0" collapsed="false"/>
    <row r="1045545" customFormat="false" ht="12.8" hidden="false" customHeight="true" outlineLevel="0" collapsed="false"/>
    <row r="1045546" customFormat="false" ht="12.8" hidden="false" customHeight="true" outlineLevel="0" collapsed="false"/>
    <row r="1045547" customFormat="false" ht="12.8" hidden="false" customHeight="true" outlineLevel="0" collapsed="false"/>
    <row r="1045548" customFormat="false" ht="12.8" hidden="false" customHeight="true" outlineLevel="0" collapsed="false"/>
    <row r="1045549" customFormat="false" ht="12.8" hidden="false" customHeight="true" outlineLevel="0" collapsed="false"/>
    <row r="1045550" customFormat="false" ht="12.8" hidden="false" customHeight="true" outlineLevel="0" collapsed="false"/>
    <row r="1045551" customFormat="false" ht="12.8" hidden="false" customHeight="true" outlineLevel="0" collapsed="false"/>
    <row r="1045552" customFormat="false" ht="12.8" hidden="false" customHeight="true" outlineLevel="0" collapsed="false"/>
    <row r="1045553" customFormat="false" ht="12.8" hidden="false" customHeight="true" outlineLevel="0" collapsed="false"/>
    <row r="1045554" customFormat="false" ht="12.8" hidden="false" customHeight="true" outlineLevel="0" collapsed="false"/>
    <row r="1045555" customFormat="false" ht="12.8" hidden="false" customHeight="true" outlineLevel="0" collapsed="false"/>
    <row r="1045556" customFormat="false" ht="12.8" hidden="false" customHeight="true" outlineLevel="0" collapsed="false"/>
    <row r="1045557" customFormat="false" ht="12.8" hidden="false" customHeight="true" outlineLevel="0" collapsed="false"/>
    <row r="1045558" customFormat="false" ht="12.8" hidden="false" customHeight="true" outlineLevel="0" collapsed="false"/>
    <row r="1045559" customFormat="false" ht="12.8" hidden="false" customHeight="true" outlineLevel="0" collapsed="false"/>
    <row r="1045560" customFormat="false" ht="12.8" hidden="false" customHeight="true" outlineLevel="0" collapsed="false"/>
    <row r="1045561" customFormat="false" ht="12.8" hidden="false" customHeight="true" outlineLevel="0" collapsed="false"/>
    <row r="1045562" customFormat="false" ht="12.8" hidden="false" customHeight="true" outlineLevel="0" collapsed="false"/>
    <row r="1045563" customFormat="false" ht="12.8" hidden="false" customHeight="true" outlineLevel="0" collapsed="false"/>
    <row r="1045564" customFormat="false" ht="12.8" hidden="false" customHeight="true" outlineLevel="0" collapsed="false"/>
    <row r="1045565" customFormat="false" ht="12.8" hidden="false" customHeight="true" outlineLevel="0" collapsed="false"/>
    <row r="1045566" customFormat="false" ht="12.8" hidden="false" customHeight="true" outlineLevel="0" collapsed="false"/>
    <row r="1045567" customFormat="false" ht="12.8" hidden="false" customHeight="true" outlineLevel="0" collapsed="false"/>
    <row r="1045568" customFormat="false" ht="12.8" hidden="false" customHeight="true" outlineLevel="0" collapsed="false"/>
    <row r="1045569" customFormat="false" ht="12.8" hidden="false" customHeight="true" outlineLevel="0" collapsed="false"/>
    <row r="1045570" customFormat="false" ht="12.8" hidden="false" customHeight="true" outlineLevel="0" collapsed="false"/>
    <row r="1045571" customFormat="false" ht="12.8" hidden="false" customHeight="true" outlineLevel="0" collapsed="false"/>
    <row r="1045572" customFormat="false" ht="12.8" hidden="false" customHeight="true" outlineLevel="0" collapsed="false"/>
    <row r="1045573" customFormat="false" ht="12.8" hidden="false" customHeight="true" outlineLevel="0" collapsed="false"/>
    <row r="1045574" customFormat="false" ht="12.8" hidden="false" customHeight="true" outlineLevel="0" collapsed="false"/>
    <row r="1045575" customFormat="false" ht="12.8" hidden="false" customHeight="true" outlineLevel="0" collapsed="false"/>
    <row r="1045576" customFormat="false" ht="12.8" hidden="false" customHeight="true" outlineLevel="0" collapsed="false"/>
    <row r="1045577" customFormat="false" ht="12.8" hidden="false" customHeight="true" outlineLevel="0" collapsed="false"/>
    <row r="1045578" customFormat="false" ht="12.8" hidden="false" customHeight="true" outlineLevel="0" collapsed="false"/>
    <row r="1045579" customFormat="false" ht="12.8" hidden="false" customHeight="true" outlineLevel="0" collapsed="false"/>
    <row r="1045580" customFormat="false" ht="12.8" hidden="false" customHeight="true" outlineLevel="0" collapsed="false"/>
    <row r="1045581" customFormat="false" ht="12.8" hidden="false" customHeight="true" outlineLevel="0" collapsed="false"/>
    <row r="1045582" customFormat="false" ht="12.8" hidden="false" customHeight="true" outlineLevel="0" collapsed="false"/>
    <row r="1045583" customFormat="false" ht="12.8" hidden="false" customHeight="true" outlineLevel="0" collapsed="false"/>
    <row r="1045584" customFormat="false" ht="12.8" hidden="false" customHeight="true" outlineLevel="0" collapsed="false"/>
    <row r="1045585" customFormat="false" ht="12.8" hidden="false" customHeight="true" outlineLevel="0" collapsed="false"/>
    <row r="1045586" customFormat="false" ht="12.8" hidden="false" customHeight="true" outlineLevel="0" collapsed="false"/>
    <row r="1045587" customFormat="false" ht="12.8" hidden="false" customHeight="true" outlineLevel="0" collapsed="false"/>
    <row r="1045588" customFormat="false" ht="12.8" hidden="false" customHeight="true" outlineLevel="0" collapsed="false"/>
    <row r="1045589" customFormat="false" ht="12.8" hidden="false" customHeight="true" outlineLevel="0" collapsed="false"/>
    <row r="1045590" customFormat="false" ht="12.8" hidden="false" customHeight="true" outlineLevel="0" collapsed="false"/>
    <row r="1045591" customFormat="false" ht="12.8" hidden="false" customHeight="true" outlineLevel="0" collapsed="false"/>
    <row r="1045592" customFormat="false" ht="12.8" hidden="false" customHeight="true" outlineLevel="0" collapsed="false"/>
    <row r="1045593" customFormat="false" ht="12.8" hidden="false" customHeight="true" outlineLevel="0" collapsed="false"/>
    <row r="1045594" customFormat="false" ht="12.8" hidden="false" customHeight="true" outlineLevel="0" collapsed="false"/>
    <row r="1045595" customFormat="false" ht="12.8" hidden="false" customHeight="true" outlineLevel="0" collapsed="false"/>
    <row r="1045596" customFormat="false" ht="12.8" hidden="false" customHeight="true" outlineLevel="0" collapsed="false"/>
    <row r="1045597" customFormat="false" ht="12.8" hidden="false" customHeight="true" outlineLevel="0" collapsed="false"/>
    <row r="1045598" customFormat="false" ht="12.8" hidden="false" customHeight="true" outlineLevel="0" collapsed="false"/>
    <row r="1045599" customFormat="false" ht="12.8" hidden="false" customHeight="true" outlineLevel="0" collapsed="false"/>
    <row r="1045600" customFormat="false" ht="12.8" hidden="false" customHeight="true" outlineLevel="0" collapsed="false"/>
    <row r="1045601" customFormat="false" ht="12.8" hidden="false" customHeight="true" outlineLevel="0" collapsed="false"/>
    <row r="1045602" customFormat="false" ht="12.8" hidden="false" customHeight="true" outlineLevel="0" collapsed="false"/>
    <row r="1045603" customFormat="false" ht="12.8" hidden="false" customHeight="true" outlineLevel="0" collapsed="false"/>
    <row r="1045604" customFormat="false" ht="12.8" hidden="false" customHeight="true" outlineLevel="0" collapsed="false"/>
    <row r="1045605" customFormat="false" ht="12.8" hidden="false" customHeight="true" outlineLevel="0" collapsed="false"/>
    <row r="1045606" customFormat="false" ht="12.8" hidden="false" customHeight="true" outlineLevel="0" collapsed="false"/>
    <row r="1045607" customFormat="false" ht="12.8" hidden="false" customHeight="true" outlineLevel="0" collapsed="false"/>
    <row r="1045608" customFormat="false" ht="12.8" hidden="false" customHeight="true" outlineLevel="0" collapsed="false"/>
    <row r="1045609" customFormat="false" ht="12.8" hidden="false" customHeight="true" outlineLevel="0" collapsed="false"/>
    <row r="1045610" customFormat="false" ht="12.8" hidden="false" customHeight="true" outlineLevel="0" collapsed="false"/>
    <row r="1045611" customFormat="false" ht="12.8" hidden="false" customHeight="true" outlineLevel="0" collapsed="false"/>
    <row r="1045612" customFormat="false" ht="12.8" hidden="false" customHeight="true" outlineLevel="0" collapsed="false"/>
    <row r="1045613" customFormat="false" ht="12.8" hidden="false" customHeight="true" outlineLevel="0" collapsed="false"/>
    <row r="1045614" customFormat="false" ht="12.8" hidden="false" customHeight="true" outlineLevel="0" collapsed="false"/>
    <row r="1045615" customFormat="false" ht="12.8" hidden="false" customHeight="true" outlineLevel="0" collapsed="false"/>
    <row r="1045616" customFormat="false" ht="12.8" hidden="false" customHeight="true" outlineLevel="0" collapsed="false"/>
    <row r="1045617" customFormat="false" ht="12.8" hidden="false" customHeight="true" outlineLevel="0" collapsed="false"/>
    <row r="1045618" customFormat="false" ht="12.8" hidden="false" customHeight="true" outlineLevel="0" collapsed="false"/>
    <row r="1045619" customFormat="false" ht="12.8" hidden="false" customHeight="true" outlineLevel="0" collapsed="false"/>
    <row r="1045620" customFormat="false" ht="12.8" hidden="false" customHeight="true" outlineLevel="0" collapsed="false"/>
    <row r="1045621" customFormat="false" ht="12.8" hidden="false" customHeight="true" outlineLevel="0" collapsed="false"/>
    <row r="1045622" customFormat="false" ht="12.8" hidden="false" customHeight="true" outlineLevel="0" collapsed="false"/>
    <row r="1045623" customFormat="false" ht="12.8" hidden="false" customHeight="true" outlineLevel="0" collapsed="false"/>
    <row r="1045624" customFormat="false" ht="12.8" hidden="false" customHeight="true" outlineLevel="0" collapsed="false"/>
    <row r="1045625" customFormat="false" ht="12.8" hidden="false" customHeight="true" outlineLevel="0" collapsed="false"/>
    <row r="1045626" customFormat="false" ht="12.8" hidden="false" customHeight="true" outlineLevel="0" collapsed="false"/>
    <row r="1045627" customFormat="false" ht="12.8" hidden="false" customHeight="true" outlineLevel="0" collapsed="false"/>
    <row r="1045628" customFormat="false" ht="12.8" hidden="false" customHeight="true" outlineLevel="0" collapsed="false"/>
    <row r="1045629" customFormat="false" ht="12.8" hidden="false" customHeight="true" outlineLevel="0" collapsed="false"/>
    <row r="1045630" customFormat="false" ht="12.8" hidden="false" customHeight="true" outlineLevel="0" collapsed="false"/>
    <row r="1045631" customFormat="false" ht="12.8" hidden="false" customHeight="true" outlineLevel="0" collapsed="false"/>
    <row r="1045632" customFormat="false" ht="12.8" hidden="false" customHeight="true" outlineLevel="0" collapsed="false"/>
    <row r="1045633" customFormat="false" ht="12.8" hidden="false" customHeight="true" outlineLevel="0" collapsed="false"/>
    <row r="1045634" customFormat="false" ht="12.8" hidden="false" customHeight="true" outlineLevel="0" collapsed="false"/>
    <row r="1045635" customFormat="false" ht="12.8" hidden="false" customHeight="true" outlineLevel="0" collapsed="false"/>
    <row r="1045636" customFormat="false" ht="12.8" hidden="false" customHeight="true" outlineLevel="0" collapsed="false"/>
    <row r="1045637" customFormat="false" ht="12.8" hidden="false" customHeight="true" outlineLevel="0" collapsed="false"/>
    <row r="1045638" customFormat="false" ht="12.8" hidden="false" customHeight="true" outlineLevel="0" collapsed="false"/>
    <row r="1045639" customFormat="false" ht="12.8" hidden="false" customHeight="true" outlineLevel="0" collapsed="false"/>
    <row r="1045640" customFormat="false" ht="12.8" hidden="false" customHeight="true" outlineLevel="0" collapsed="false"/>
    <row r="1045641" customFormat="false" ht="12.8" hidden="false" customHeight="true" outlineLevel="0" collapsed="false"/>
    <row r="1045642" customFormat="false" ht="12.8" hidden="false" customHeight="true" outlineLevel="0" collapsed="false"/>
    <row r="1045643" customFormat="false" ht="12.8" hidden="false" customHeight="true" outlineLevel="0" collapsed="false"/>
    <row r="1045644" customFormat="false" ht="12.8" hidden="false" customHeight="true" outlineLevel="0" collapsed="false"/>
    <row r="1045645" customFormat="false" ht="12.8" hidden="false" customHeight="true" outlineLevel="0" collapsed="false"/>
    <row r="1045646" customFormat="false" ht="12.8" hidden="false" customHeight="true" outlineLevel="0" collapsed="false"/>
    <row r="1045647" customFormat="false" ht="12.8" hidden="false" customHeight="true" outlineLevel="0" collapsed="false"/>
    <row r="1045648" customFormat="false" ht="12.8" hidden="false" customHeight="true" outlineLevel="0" collapsed="false"/>
    <row r="1045649" customFormat="false" ht="12.8" hidden="false" customHeight="true" outlineLevel="0" collapsed="false"/>
    <row r="1045650" customFormat="false" ht="12.8" hidden="false" customHeight="true" outlineLevel="0" collapsed="false"/>
    <row r="1045651" customFormat="false" ht="12.8" hidden="false" customHeight="true" outlineLevel="0" collapsed="false"/>
    <row r="1045652" customFormat="false" ht="12.8" hidden="false" customHeight="true" outlineLevel="0" collapsed="false"/>
    <row r="1045653" customFormat="false" ht="12.8" hidden="false" customHeight="true" outlineLevel="0" collapsed="false"/>
    <row r="1045654" customFormat="false" ht="12.8" hidden="false" customHeight="true" outlineLevel="0" collapsed="false"/>
    <row r="1045655" customFormat="false" ht="12.8" hidden="false" customHeight="true" outlineLevel="0" collapsed="false"/>
    <row r="1045656" customFormat="false" ht="12.8" hidden="false" customHeight="true" outlineLevel="0" collapsed="false"/>
    <row r="1045657" customFormat="false" ht="12.8" hidden="false" customHeight="true" outlineLevel="0" collapsed="false"/>
    <row r="1045658" customFormat="false" ht="12.8" hidden="false" customHeight="true" outlineLevel="0" collapsed="false"/>
    <row r="1045659" customFormat="false" ht="12.8" hidden="false" customHeight="true" outlineLevel="0" collapsed="false"/>
    <row r="1045660" customFormat="false" ht="12.8" hidden="false" customHeight="true" outlineLevel="0" collapsed="false"/>
    <row r="1045661" customFormat="false" ht="12.8" hidden="false" customHeight="true" outlineLevel="0" collapsed="false"/>
    <row r="1045662" customFormat="false" ht="12.8" hidden="false" customHeight="true" outlineLevel="0" collapsed="false"/>
    <row r="1045663" customFormat="false" ht="12.8" hidden="false" customHeight="true" outlineLevel="0" collapsed="false"/>
    <row r="1045664" customFormat="false" ht="12.8" hidden="false" customHeight="true" outlineLevel="0" collapsed="false"/>
    <row r="1045665" customFormat="false" ht="12.8" hidden="false" customHeight="true" outlineLevel="0" collapsed="false"/>
    <row r="1045666" customFormat="false" ht="12.8" hidden="false" customHeight="true" outlineLevel="0" collapsed="false"/>
    <row r="1045667" customFormat="false" ht="12.8" hidden="false" customHeight="true" outlineLevel="0" collapsed="false"/>
    <row r="1045668" customFormat="false" ht="12.8" hidden="false" customHeight="true" outlineLevel="0" collapsed="false"/>
    <row r="1045669" customFormat="false" ht="12.8" hidden="false" customHeight="true" outlineLevel="0" collapsed="false"/>
    <row r="1045670" customFormat="false" ht="12.8" hidden="false" customHeight="true" outlineLevel="0" collapsed="false"/>
    <row r="1045671" customFormat="false" ht="12.8" hidden="false" customHeight="true" outlineLevel="0" collapsed="false"/>
    <row r="1045672" customFormat="false" ht="12.8" hidden="false" customHeight="true" outlineLevel="0" collapsed="false"/>
    <row r="1045673" customFormat="false" ht="12.8" hidden="false" customHeight="true" outlineLevel="0" collapsed="false"/>
    <row r="1045674" customFormat="false" ht="12.8" hidden="false" customHeight="true" outlineLevel="0" collapsed="false"/>
    <row r="1045675" customFormat="false" ht="12.8" hidden="false" customHeight="true" outlineLevel="0" collapsed="false"/>
    <row r="1045676" customFormat="false" ht="12.8" hidden="false" customHeight="true" outlineLevel="0" collapsed="false"/>
    <row r="1045677" customFormat="false" ht="12.8" hidden="false" customHeight="true" outlineLevel="0" collapsed="false"/>
    <row r="1045678" customFormat="false" ht="12.8" hidden="false" customHeight="true" outlineLevel="0" collapsed="false"/>
    <row r="1045679" customFormat="false" ht="12.8" hidden="false" customHeight="true" outlineLevel="0" collapsed="false"/>
    <row r="1045680" customFormat="false" ht="12.8" hidden="false" customHeight="true" outlineLevel="0" collapsed="false"/>
    <row r="1045681" customFormat="false" ht="12.8" hidden="false" customHeight="true" outlineLevel="0" collapsed="false"/>
    <row r="1045682" customFormat="false" ht="12.8" hidden="false" customHeight="true" outlineLevel="0" collapsed="false"/>
    <row r="1045683" customFormat="false" ht="12.8" hidden="false" customHeight="true" outlineLevel="0" collapsed="false"/>
    <row r="1045684" customFormat="false" ht="12.8" hidden="false" customHeight="true" outlineLevel="0" collapsed="false"/>
    <row r="1045685" customFormat="false" ht="12.8" hidden="false" customHeight="true" outlineLevel="0" collapsed="false"/>
    <row r="1045686" customFormat="false" ht="12.8" hidden="false" customHeight="true" outlineLevel="0" collapsed="false"/>
    <row r="1045687" customFormat="false" ht="12.8" hidden="false" customHeight="true" outlineLevel="0" collapsed="false"/>
    <row r="1045688" customFormat="false" ht="12.8" hidden="false" customHeight="true" outlineLevel="0" collapsed="false"/>
    <row r="1045689" customFormat="false" ht="12.8" hidden="false" customHeight="true" outlineLevel="0" collapsed="false"/>
    <row r="1045690" customFormat="false" ht="12.8" hidden="false" customHeight="true" outlineLevel="0" collapsed="false"/>
    <row r="1045691" customFormat="false" ht="12.8" hidden="false" customHeight="true" outlineLevel="0" collapsed="false"/>
    <row r="1045692" customFormat="false" ht="12.8" hidden="false" customHeight="true" outlineLevel="0" collapsed="false"/>
    <row r="1045693" customFormat="false" ht="12.8" hidden="false" customHeight="true" outlineLevel="0" collapsed="false"/>
    <row r="1045694" customFormat="false" ht="12.8" hidden="false" customHeight="true" outlineLevel="0" collapsed="false"/>
    <row r="1045695" customFormat="false" ht="12.8" hidden="false" customHeight="true" outlineLevel="0" collapsed="false"/>
    <row r="1045696" customFormat="false" ht="12.8" hidden="false" customHeight="true" outlineLevel="0" collapsed="false"/>
    <row r="1045697" customFormat="false" ht="12.8" hidden="false" customHeight="true" outlineLevel="0" collapsed="false"/>
    <row r="1045698" customFormat="false" ht="12.8" hidden="false" customHeight="true" outlineLevel="0" collapsed="false"/>
    <row r="1045699" customFormat="false" ht="12.8" hidden="false" customHeight="true" outlineLevel="0" collapsed="false"/>
    <row r="1045700" customFormat="false" ht="12.8" hidden="false" customHeight="true" outlineLevel="0" collapsed="false"/>
    <row r="1045701" customFormat="false" ht="12.8" hidden="false" customHeight="true" outlineLevel="0" collapsed="false"/>
    <row r="1045702" customFormat="false" ht="12.8" hidden="false" customHeight="true" outlineLevel="0" collapsed="false"/>
    <row r="1045703" customFormat="false" ht="12.8" hidden="false" customHeight="true" outlineLevel="0" collapsed="false"/>
    <row r="1045704" customFormat="false" ht="12.8" hidden="false" customHeight="true" outlineLevel="0" collapsed="false"/>
    <row r="1045705" customFormat="false" ht="12.8" hidden="false" customHeight="true" outlineLevel="0" collapsed="false"/>
    <row r="1045706" customFormat="false" ht="12.8" hidden="false" customHeight="true" outlineLevel="0" collapsed="false"/>
    <row r="1045707" customFormat="false" ht="12.8" hidden="false" customHeight="true" outlineLevel="0" collapsed="false"/>
    <row r="1045708" customFormat="false" ht="12.8" hidden="false" customHeight="true" outlineLevel="0" collapsed="false"/>
    <row r="1045709" customFormat="false" ht="12.8" hidden="false" customHeight="true" outlineLevel="0" collapsed="false"/>
    <row r="1045710" customFormat="false" ht="12.8" hidden="false" customHeight="true" outlineLevel="0" collapsed="false"/>
    <row r="1045711" customFormat="false" ht="12.8" hidden="false" customHeight="true" outlineLevel="0" collapsed="false"/>
    <row r="1045712" customFormat="false" ht="12.8" hidden="false" customHeight="true" outlineLevel="0" collapsed="false"/>
    <row r="1045713" customFormat="false" ht="12.8" hidden="false" customHeight="true" outlineLevel="0" collapsed="false"/>
    <row r="1045714" customFormat="false" ht="12.8" hidden="false" customHeight="true" outlineLevel="0" collapsed="false"/>
    <row r="1045715" customFormat="false" ht="12.8" hidden="false" customHeight="true" outlineLevel="0" collapsed="false"/>
    <row r="1045716" customFormat="false" ht="12.8" hidden="false" customHeight="true" outlineLevel="0" collapsed="false"/>
    <row r="1045717" customFormat="false" ht="12.8" hidden="false" customHeight="true" outlineLevel="0" collapsed="false"/>
    <row r="1045718" customFormat="false" ht="12.8" hidden="false" customHeight="true" outlineLevel="0" collapsed="false"/>
    <row r="1045719" customFormat="false" ht="12.8" hidden="false" customHeight="true" outlineLevel="0" collapsed="false"/>
    <row r="1045720" customFormat="false" ht="12.8" hidden="false" customHeight="true" outlineLevel="0" collapsed="false"/>
    <row r="1045721" customFormat="false" ht="12.8" hidden="false" customHeight="true" outlineLevel="0" collapsed="false"/>
    <row r="1045722" customFormat="false" ht="12.8" hidden="false" customHeight="true" outlineLevel="0" collapsed="false"/>
    <row r="1045723" customFormat="false" ht="12.8" hidden="false" customHeight="true" outlineLevel="0" collapsed="false"/>
    <row r="1045724" customFormat="false" ht="12.8" hidden="false" customHeight="true" outlineLevel="0" collapsed="false"/>
    <row r="1045725" customFormat="false" ht="12.8" hidden="false" customHeight="true" outlineLevel="0" collapsed="false"/>
    <row r="1045726" customFormat="false" ht="12.8" hidden="false" customHeight="true" outlineLevel="0" collapsed="false"/>
    <row r="1045727" customFormat="false" ht="12.8" hidden="false" customHeight="true" outlineLevel="0" collapsed="false"/>
    <row r="1045728" customFormat="false" ht="12.8" hidden="false" customHeight="true" outlineLevel="0" collapsed="false"/>
    <row r="1045729" customFormat="false" ht="12.8" hidden="false" customHeight="true" outlineLevel="0" collapsed="false"/>
    <row r="1045730" customFormat="false" ht="12.8" hidden="false" customHeight="true" outlineLevel="0" collapsed="false"/>
    <row r="1045731" customFormat="false" ht="12.8" hidden="false" customHeight="true" outlineLevel="0" collapsed="false"/>
    <row r="1045732" customFormat="false" ht="12.8" hidden="false" customHeight="true" outlineLevel="0" collapsed="false"/>
    <row r="1045733" customFormat="false" ht="12.8" hidden="false" customHeight="true" outlineLevel="0" collapsed="false"/>
    <row r="1045734" customFormat="false" ht="12.8" hidden="false" customHeight="true" outlineLevel="0" collapsed="false"/>
    <row r="1045735" customFormat="false" ht="12.8" hidden="false" customHeight="true" outlineLevel="0" collapsed="false"/>
    <row r="1045736" customFormat="false" ht="12.8" hidden="false" customHeight="true" outlineLevel="0" collapsed="false"/>
    <row r="1045737" customFormat="false" ht="12.8" hidden="false" customHeight="true" outlineLevel="0" collapsed="false"/>
    <row r="1045738" customFormat="false" ht="12.8" hidden="false" customHeight="true" outlineLevel="0" collapsed="false"/>
    <row r="1045739" customFormat="false" ht="12.8" hidden="false" customHeight="true" outlineLevel="0" collapsed="false"/>
    <row r="1045740" customFormat="false" ht="12.8" hidden="false" customHeight="true" outlineLevel="0" collapsed="false"/>
    <row r="1045741" customFormat="false" ht="12.8" hidden="false" customHeight="true" outlineLevel="0" collapsed="false"/>
    <row r="1045742" customFormat="false" ht="12.8" hidden="false" customHeight="true" outlineLevel="0" collapsed="false"/>
    <row r="1045743" customFormat="false" ht="12.8" hidden="false" customHeight="true" outlineLevel="0" collapsed="false"/>
    <row r="1045744" customFormat="false" ht="12.8" hidden="false" customHeight="true" outlineLevel="0" collapsed="false"/>
    <row r="1045745" customFormat="false" ht="12.8" hidden="false" customHeight="true" outlineLevel="0" collapsed="false"/>
    <row r="1045746" customFormat="false" ht="12.8" hidden="false" customHeight="true" outlineLevel="0" collapsed="false"/>
    <row r="1045747" customFormat="false" ht="12.8" hidden="false" customHeight="true" outlineLevel="0" collapsed="false"/>
    <row r="1045748" customFormat="false" ht="12.8" hidden="false" customHeight="true" outlineLevel="0" collapsed="false"/>
    <row r="1045749" customFormat="false" ht="12.8" hidden="false" customHeight="true" outlineLevel="0" collapsed="false"/>
    <row r="1045750" customFormat="false" ht="12.8" hidden="false" customHeight="true" outlineLevel="0" collapsed="false"/>
    <row r="1045751" customFormat="false" ht="12.8" hidden="false" customHeight="true" outlineLevel="0" collapsed="false"/>
    <row r="1045752" customFormat="false" ht="12.8" hidden="false" customHeight="true" outlineLevel="0" collapsed="false"/>
    <row r="1045753" customFormat="false" ht="12.8" hidden="false" customHeight="true" outlineLevel="0" collapsed="false"/>
    <row r="1045754" customFormat="false" ht="12.8" hidden="false" customHeight="true" outlineLevel="0" collapsed="false"/>
    <row r="1045755" customFormat="false" ht="12.8" hidden="false" customHeight="true" outlineLevel="0" collapsed="false"/>
    <row r="1045756" customFormat="false" ht="12.8" hidden="false" customHeight="true" outlineLevel="0" collapsed="false"/>
    <row r="1045757" customFormat="false" ht="12.8" hidden="false" customHeight="true" outlineLevel="0" collapsed="false"/>
    <row r="1045758" customFormat="false" ht="12.8" hidden="false" customHeight="true" outlineLevel="0" collapsed="false"/>
    <row r="1045759" customFormat="false" ht="12.8" hidden="false" customHeight="true" outlineLevel="0" collapsed="false"/>
    <row r="1045760" customFormat="false" ht="12.8" hidden="false" customHeight="true" outlineLevel="0" collapsed="false"/>
    <row r="1045761" customFormat="false" ht="12.8" hidden="false" customHeight="true" outlineLevel="0" collapsed="false"/>
    <row r="1045762" customFormat="false" ht="12.8" hidden="false" customHeight="true" outlineLevel="0" collapsed="false"/>
    <row r="1045763" customFormat="false" ht="12.8" hidden="false" customHeight="true" outlineLevel="0" collapsed="false"/>
    <row r="1045764" customFormat="false" ht="12.8" hidden="false" customHeight="true" outlineLevel="0" collapsed="false"/>
    <row r="1045765" customFormat="false" ht="12.8" hidden="false" customHeight="true" outlineLevel="0" collapsed="false"/>
    <row r="1045766" customFormat="false" ht="12.8" hidden="false" customHeight="true" outlineLevel="0" collapsed="false"/>
    <row r="1045767" customFormat="false" ht="12.8" hidden="false" customHeight="true" outlineLevel="0" collapsed="false"/>
    <row r="1045768" customFormat="false" ht="12.8" hidden="false" customHeight="true" outlineLevel="0" collapsed="false"/>
    <row r="1045769" customFormat="false" ht="12.8" hidden="false" customHeight="true" outlineLevel="0" collapsed="false"/>
    <row r="1045770" customFormat="false" ht="12.8" hidden="false" customHeight="true" outlineLevel="0" collapsed="false"/>
    <row r="1045771" customFormat="false" ht="12.8" hidden="false" customHeight="true" outlineLevel="0" collapsed="false"/>
    <row r="1045772" customFormat="false" ht="12.8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773 F778:F808 F810:F905 F907:F912 F914:F1026 F1028:F1029 F1031:F3311">
    <cfRule type="cellIs" priority="2" operator="equal" aboveAverage="0" equalAverage="0" bottom="0" percent="0" rank="0" text="" dxfId="11">
      <formula>"-"</formula>
    </cfRule>
  </conditionalFormatting>
  <conditionalFormatting sqref="H1:H3 H91:H92 H759:H762 H910:H913 H952 H1133 H1294:H1295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75" width="41.42"/>
    <col collapsed="false" customWidth="true" hidden="false" outlineLevel="0" max="11" min="11" style="75" width="14.98"/>
    <col collapsed="false" customWidth="true" hidden="false" outlineLevel="0" max="12" min="12" style="75" width="11"/>
    <col collapsed="false" customWidth="true" hidden="false" outlineLevel="0" max="13" min="13" style="75" width="15.51"/>
    <col collapsed="false" customWidth="false" hidden="false" outlineLevel="0" max="16368" min="16" style="75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5" width="11.53"/>
  </cols>
  <sheetData>
    <row r="1" customFormat="false" ht="16.5" hidden="false" customHeight="true" outlineLevel="0" collapsed="false">
      <c r="A1" s="167" t="str">
        <f aca="false">$K$23</f>
        <v>✓</v>
      </c>
      <c r="B1" s="12"/>
      <c r="C1" s="12" t="s">
        <v>46</v>
      </c>
      <c r="D1" s="12"/>
      <c r="E1" s="12"/>
      <c r="F1" s="168"/>
      <c r="G1" s="14"/>
      <c r="H1" s="50"/>
      <c r="I1" s="169"/>
    </row>
    <row r="2" customFormat="false" ht="28.5" hidden="false" customHeight="true" outlineLevel="0" collapsed="false">
      <c r="A2" s="170" t="s">
        <v>101</v>
      </c>
      <c r="B2" s="169" t="s">
        <v>39</v>
      </c>
      <c r="C2" s="169" t="s">
        <v>102</v>
      </c>
      <c r="D2" s="169" t="s">
        <v>103</v>
      </c>
      <c r="E2" s="169" t="s">
        <v>104</v>
      </c>
      <c r="F2" s="26" t="s">
        <v>105</v>
      </c>
      <c r="G2" s="26" t="s">
        <v>106</v>
      </c>
      <c r="H2" s="170" t="s">
        <v>70</v>
      </c>
      <c r="I2" s="170" t="s">
        <v>107</v>
      </c>
    </row>
    <row r="3" customFormat="false" ht="15" hidden="false" customHeight="true" outlineLevel="0" collapsed="false">
      <c r="A3" s="62" t="s">
        <v>46</v>
      </c>
      <c r="B3" s="171"/>
      <c r="C3" s="172"/>
      <c r="D3" s="172"/>
      <c r="E3" s="20"/>
      <c r="F3" s="20"/>
      <c r="G3" s="20"/>
      <c r="H3" s="20"/>
      <c r="I3" s="20"/>
    </row>
    <row r="4" customFormat="false" ht="16.5" hidden="false" customHeight="true" outlineLevel="0" collapsed="false">
      <c r="A4" s="173" t="s">
        <v>46</v>
      </c>
      <c r="B4" s="174"/>
      <c r="C4" s="174"/>
      <c r="D4" s="174"/>
      <c r="E4" s="174"/>
      <c r="F4" s="175"/>
      <c r="G4" s="176"/>
      <c r="H4" s="176"/>
      <c r="I4" s="174"/>
    </row>
    <row r="5" customFormat="false" ht="17.25" hidden="false" customHeight="true" outlineLevel="0" collapsed="false">
      <c r="A5" s="68"/>
      <c r="B5" s="72"/>
      <c r="C5" s="72"/>
      <c r="D5" s="72"/>
      <c r="E5" s="72"/>
      <c r="F5" s="177"/>
      <c r="G5" s="69"/>
      <c r="H5" s="69"/>
      <c r="I5" s="69"/>
    </row>
    <row r="7" customFormat="false" ht="18.75" hidden="false" customHeight="true" outlineLevel="0" collapsed="false">
      <c r="J7" s="96" t="s">
        <v>108</v>
      </c>
      <c r="K7" s="96"/>
      <c r="L7" s="96"/>
      <c r="M7" s="96"/>
    </row>
    <row r="8" customFormat="false" ht="19.5" hidden="false" customHeight="true" outlineLevel="0" collapsed="false">
      <c r="J8" s="26" t="s">
        <v>109</v>
      </c>
      <c r="K8" s="26" t="s">
        <v>110</v>
      </c>
      <c r="L8" s="26" t="s">
        <v>111</v>
      </c>
      <c r="M8" s="26" t="s">
        <v>58</v>
      </c>
    </row>
    <row r="9" customFormat="false" ht="16.5" hidden="false" customHeight="true" outlineLevel="0" collapsed="false">
      <c r="J9" s="26"/>
      <c r="K9" s="26"/>
      <c r="L9" s="168"/>
      <c r="M9" s="168"/>
    </row>
    <row r="10" customFormat="false" ht="16.5" hidden="false" customHeight="true" outlineLevel="0" collapsed="false">
      <c r="J10" s="80" t="s">
        <v>112</v>
      </c>
      <c r="K10" s="178" t="str">
        <f aca="false">IF(SUM($L10:$M10)=0,"✓","✗")</f>
        <v>✓</v>
      </c>
      <c r="L10" s="179" t="n">
        <v>0</v>
      </c>
      <c r="M10" s="179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80" t="s">
        <v>113</v>
      </c>
      <c r="K11" s="180" t="str">
        <f aca="false">IF(L11=0,"✓","⚠")</f>
        <v>✓</v>
      </c>
      <c r="L11" s="74" t="n">
        <f aca="false">SUM(M11)</f>
        <v>0</v>
      </c>
      <c r="M11" s="74" t="n">
        <f aca="false">Budget!F$26</f>
        <v>0</v>
      </c>
    </row>
    <row r="12" customFormat="false" ht="16.5" hidden="false" customHeight="true" outlineLevel="0" collapsed="false">
      <c r="J12" s="80" t="s">
        <v>42</v>
      </c>
      <c r="K12" s="180" t="str">
        <f aca="false">IF(L12=0,"✓","⚠")</f>
        <v>✓</v>
      </c>
      <c r="L12" s="179" t="n">
        <f aca="false">COUNTIF(OPdate,"&lt;"&amp;DATE(2020,1,1))+COUNTIF(OPdate,"&gt;"&amp;DATE(année_courante,12,31))</f>
        <v>0</v>
      </c>
      <c r="M12" s="74"/>
    </row>
    <row r="13" customFormat="false" ht="16.5" hidden="false" customHeight="true" outlineLevel="0" collapsed="false">
      <c r="J13" s="80" t="s">
        <v>114</v>
      </c>
      <c r="K13" s="180" t="str">
        <f aca="false">IF(L13=0,"✓","⚠")</f>
        <v>✓</v>
      </c>
      <c r="L13" s="179" t="n">
        <f aca="false">COUNTIFS(OPréf,"-")</f>
        <v>0</v>
      </c>
      <c r="M13" s="179" t="n">
        <f aca="false">COUNTIFS(OPréf,"-",OPdevise,M$8)</f>
        <v>0</v>
      </c>
    </row>
    <row r="14" customFormat="false" ht="16.5" hidden="false" customHeight="true" outlineLevel="0" collapsed="false">
      <c r="J14" s="173" t="s">
        <v>115</v>
      </c>
      <c r="K14" s="180" t="str">
        <f aca="false">IF(L14=0,"✓","⚠")</f>
        <v>✓</v>
      </c>
      <c r="L14" s="179" t="n">
        <f aca="false">3-COUNTIFS(L15:L19,0)</f>
        <v>0</v>
      </c>
      <c r="M14" s="179" t="n">
        <f aca="false">COUNTA($J15:$J17)-COUNTIFS(M15:M17,0)</f>
        <v>0</v>
      </c>
    </row>
    <row r="15" customFormat="false" ht="16.5" hidden="false" customHeight="true" outlineLevel="0" collapsed="false">
      <c r="J15" s="181" t="s">
        <v>116</v>
      </c>
      <c r="K15" s="18"/>
      <c r="L15" s="74"/>
      <c r="M15" s="74" t="n">
        <f aca="false">ROUND(SUMIFS(OPmontant,OPdevise,M$8,OPcatégorie,"Virement*"),0)</f>
        <v>0</v>
      </c>
    </row>
    <row r="16" customFormat="false" ht="16.5" hidden="false" customHeight="true" outlineLevel="0" collapsed="false">
      <c r="J16" s="182" t="s">
        <v>117</v>
      </c>
      <c r="K16" s="18"/>
      <c r="L16" s="74" t="n">
        <f aca="false">SUM(M16)</f>
        <v>0</v>
      </c>
      <c r="M16" s="74" t="n">
        <f aca="false">ROUND(SUMIFS(OPmontant,OPdevise,M$8,OPcatégorie,"Virement*"),0)</f>
        <v>0</v>
      </c>
    </row>
    <row r="17" customFormat="false" ht="16.5" hidden="false" customHeight="true" outlineLevel="0" collapsed="false">
      <c r="J17" s="181" t="s">
        <v>14</v>
      </c>
      <c r="K17" s="18"/>
      <c r="L17" s="74"/>
      <c r="M17" s="74" t="n">
        <f aca="false">ROUND(SUMIFS(OPmontant,OPdevise,M$8,OPcatégorie,"*titres"),0)</f>
        <v>0</v>
      </c>
    </row>
    <row r="18" customFormat="false" ht="16.5" hidden="false" customHeight="true" outlineLevel="0" collapsed="false">
      <c r="J18" s="182" t="s">
        <v>117</v>
      </c>
      <c r="K18" s="18"/>
      <c r="L18" s="74" t="n">
        <f aca="false">SUM(M18)</f>
        <v>0</v>
      </c>
      <c r="M18" s="74" t="n">
        <f aca="false">ROUND(SUMIFS(OPmontant,OPdevise,M$8,OPcatégorie,"*titres"),0)</f>
        <v>0</v>
      </c>
    </row>
    <row r="19" customFormat="false" ht="16.5" hidden="false" customHeight="true" outlineLevel="0" collapsed="false">
      <c r="J19" s="181" t="s">
        <v>118</v>
      </c>
      <c r="K19" s="18"/>
      <c r="L19" s="74" t="n">
        <f aca="false">SUMIFS(OPequiv_euro,OPcatégorie,"Change") + SUMIFS(OPequiv_euro,OPcatégorie,"Achat métaux")</f>
        <v>0</v>
      </c>
      <c r="M19" s="74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83" t="s">
        <v>119</v>
      </c>
      <c r="K20" s="18"/>
      <c r="L20" s="184" t="n">
        <f aca="false">L16+L18+L19</f>
        <v>0</v>
      </c>
      <c r="M20" s="74" t="n">
        <f aca="false">M16+M18+M19</f>
        <v>0</v>
      </c>
    </row>
    <row r="21" customFormat="false" ht="16.5" hidden="false" customHeight="true" outlineLevel="0" collapsed="false">
      <c r="J21" s="173"/>
      <c r="K21" s="180" t="str">
        <f aca="false">IF(L21=0,"✓","✗")</f>
        <v>✓</v>
      </c>
      <c r="L21" s="74"/>
      <c r="M21" s="74"/>
    </row>
    <row r="22" customFormat="false" ht="16.5" hidden="false" customHeight="true" outlineLevel="0" collapsed="false">
      <c r="J22" s="173" t="s">
        <v>120</v>
      </c>
      <c r="K22" s="180" t="str">
        <f aca="false">IF(L22=0,"✓","✗")</f>
        <v>✓</v>
      </c>
      <c r="L22" s="179" t="n">
        <f aca="false">SUMPRODUCT((COUNTIF(AVRintitulé,OPcompte)=0)*(OPcompte&lt;&gt;""))</f>
        <v>0</v>
      </c>
      <c r="M22" s="74"/>
    </row>
    <row r="23" customFormat="false" ht="17.25" hidden="false" customHeight="true" outlineLevel="0" collapsed="false">
      <c r="J23" s="69" t="s">
        <v>121</v>
      </c>
      <c r="K23" s="72" t="str">
        <f aca="false">IF(K10&amp;K11&amp;K12&amp;$K13&amp;$K14&amp;$K22="✓✓✓✓✓✓","✓",$K10&amp;$K11&amp;K12&amp;$K13&amp;$K14&amp;$K22)</f>
        <v>✓</v>
      </c>
      <c r="L23" s="69"/>
      <c r="M23" s="69"/>
    </row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6:M16 L18:L20 L11:M11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14">
    <cfRule type="cellIs" priority="4" operator="notEqual" aboveAverage="0" equalAverage="0" bottom="0" percent="0" rank="0" text="" dxfId="0">
      <formula>"."</formula>
    </cfRule>
  </conditionalFormatting>
  <conditionalFormatting sqref="K23">
    <cfRule type="cellIs" priority="5" operator="notEqual" aboveAverage="0" equalAverage="0" bottom="0" percent="0" rank="0" text="" dxfId="0">
      <formula>"....."</formula>
    </cfRule>
  </conditionalFormatting>
  <conditionalFormatting sqref="K22">
    <cfRule type="cellIs" priority="6" operator="notEqual" aboveAverage="0" equalAverage="0" bottom="0" percent="0" rank="0" text="" dxfId="0">
      <formula>"."</formula>
    </cfRule>
  </conditionalFormatting>
  <conditionalFormatting sqref="K9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K10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K11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K12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K13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A1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C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45.77"/>
    <col collapsed="false" customWidth="true" hidden="false" outlineLevel="0" max="3" min="2" style="75" width="9"/>
    <col collapsed="false" customWidth="true" hidden="false" outlineLevel="0" max="4" min="4" style="75" width="14.47"/>
    <col collapsed="false" customWidth="true" hidden="false" outlineLevel="0" max="5" min="5" style="132" width="9"/>
    <col collapsed="false" customWidth="true" hidden="false" outlineLevel="0" max="6" min="6" style="75" width="14.47"/>
    <col collapsed="false" customWidth="true" hidden="false" outlineLevel="0" max="7" min="7" style="75" width="15.33"/>
    <col collapsed="false" customWidth="true" hidden="false" outlineLevel="0" max="8" min="8" style="75" width="17.52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3" t="str">
        <f aca="false">Contrôles!$K$23</f>
        <v>✓</v>
      </c>
      <c r="B1" s="133"/>
      <c r="C1" s="133"/>
      <c r="D1" s="133"/>
      <c r="E1" s="133"/>
      <c r="F1" s="133" t="n">
        <f aca="false">année_courante</f>
        <v>2026</v>
      </c>
      <c r="G1" s="133"/>
      <c r="H1" s="14"/>
    </row>
    <row r="2" customFormat="false" ht="21" hidden="false" customHeight="true" outlineLevel="0" collapsed="false">
      <c r="A2" s="185" t="s">
        <v>122</v>
      </c>
      <c r="B2" s="185" t="s">
        <v>123</v>
      </c>
      <c r="C2" s="185" t="s">
        <v>124</v>
      </c>
      <c r="D2" s="185" t="s">
        <v>125</v>
      </c>
      <c r="E2" s="186" t="s">
        <v>126</v>
      </c>
      <c r="F2" s="138" t="s">
        <v>127</v>
      </c>
      <c r="G2" s="138" t="s">
        <v>42</v>
      </c>
      <c r="H2" s="138" t="s">
        <v>128</v>
      </c>
    </row>
    <row r="3" customFormat="false" ht="14.25" hidden="false" customHeight="true" outlineLevel="0" collapsed="false">
      <c r="A3" s="187" t="s">
        <v>46</v>
      </c>
      <c r="B3" s="187"/>
      <c r="C3" s="187"/>
      <c r="D3" s="187"/>
      <c r="E3" s="18"/>
      <c r="F3" s="20"/>
      <c r="G3" s="20"/>
      <c r="H3" s="20"/>
    </row>
    <row r="4" customFormat="false" ht="16.5" hidden="false" customHeight="true" outlineLevel="0" collapsed="false">
      <c r="A4" s="187" t="s">
        <v>16</v>
      </c>
      <c r="B4" s="187" t="s">
        <v>129</v>
      </c>
      <c r="C4" s="187" t="s">
        <v>130</v>
      </c>
      <c r="D4" s="187" t="n">
        <v>2</v>
      </c>
      <c r="E4" s="188" t="s">
        <v>58</v>
      </c>
      <c r="F4" s="189" t="n">
        <v>1</v>
      </c>
      <c r="G4" s="189"/>
      <c r="H4" s="190"/>
    </row>
    <row r="5" customFormat="false" ht="16.5" hidden="false" customHeight="true" outlineLevel="0" collapsed="false">
      <c r="A5" s="187" t="s">
        <v>46</v>
      </c>
      <c r="B5" s="187"/>
      <c r="C5" s="187"/>
      <c r="D5" s="187"/>
      <c r="E5" s="18"/>
      <c r="F5" s="20"/>
      <c r="G5" s="20"/>
      <c r="H5" s="20"/>
    </row>
    <row r="6" customFormat="false" ht="15" hidden="false" customHeight="true" outlineLevel="0" collapsed="false">
      <c r="A6" s="185"/>
      <c r="B6" s="185"/>
      <c r="C6" s="185"/>
      <c r="D6" s="185"/>
      <c r="E6" s="186"/>
      <c r="F6" s="138"/>
      <c r="G6" s="138"/>
      <c r="H6" s="138"/>
    </row>
    <row r="7" customFormat="false" ht="18" hidden="false" customHeight="true" outlineLevel="0" collapsed="false">
      <c r="F7" s="191"/>
      <c r="G7" s="191"/>
    </row>
    <row r="8" customFormat="false" ht="18" hidden="false" customHeight="true" outlineLevel="0" collapsed="false">
      <c r="F8" s="191"/>
      <c r="G8" s="191"/>
    </row>
    <row r="9" customFormat="false" ht="18" hidden="false" customHeight="true" outlineLevel="0" collapsed="false">
      <c r="F9" s="191"/>
      <c r="G9" s="191"/>
    </row>
    <row r="10" customFormat="false" ht="18" hidden="false" customHeight="true" outlineLevel="0" collapsed="false">
      <c r="F10" s="191"/>
      <c r="G10" s="191"/>
    </row>
    <row r="11" customFormat="false" ht="18" hidden="false" customHeight="true" outlineLevel="0" collapsed="false">
      <c r="F11" s="191"/>
      <c r="G11" s="19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2026-04-08T09:49:46Z</dcterms:modified>
  <cp:revision>898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