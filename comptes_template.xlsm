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comments6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solde" vbProcedure="false">Avoirs!$J$4:$J$5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ours_AgJo" vbProcedure="false">#REF!</definedName>
    <definedName function="false" hidden="false" name="cours_AgPr" vbProcedure="false">#REF!</definedName>
    <definedName function="false" hidden="false" name="cours_CHF" vbProcedure="false">#REF!</definedName>
    <definedName function="false" hidden="false" name="cours_JPY" vbProcedure="false">#REF!</definedName>
    <definedName function="false" hidden="false" name="cours_OrJo" vbProcedure="false">#REF!</definedName>
    <definedName function="false" hidden="false" name="cours_OrPr" vbProcedure="false">#REF!</definedName>
    <definedName function="false" hidden="false" name="cours_SAT" vbProcedure="false">#REF!</definedName>
    <definedName function="false" hidden="false" name="cours_SEK" vbProcedure="false">#REF!</definedName>
    <definedName function="false" hidden="false" name="cours_SGD" vbProcedure="false">#REF!</definedName>
    <definedName function="false" hidden="false" name="cours_USD" vbProcedure="false">#REF!</definedName>
    <definedName function="false" hidden="false" name="cours_XMR" vbProcedure="false">#REF!</definedName>
    <definedName function="false" hidden="false" name="côte_appartement_montigny" vbProcedure="false">#REF!</definedName>
    <definedName function="false" hidden="false" name="côte_maison_plouguin" vbProcedure="false">#REF!</definedName>
    <definedName function="false" hidden="false" name="END_AVR" vbProcedure="false">Avoirs!$A$5</definedName>
    <definedName function="false" hidden="false" name="END_CAT" vbProcedure="false">Budget!$E$40</definedName>
    <definedName function="false" hidden="false" name="END_COT" vbProcedure="false">Cotations!$A$4</definedName>
    <definedName function="false" hidden="false" name="END_CTRL1" vbProcedure="false">Contrôles!$A$4</definedName>
    <definedName function="false" hidden="false" name="END_CTRL2" vbProcedure="false">Contrôles!$P$22</definedName>
    <definedName function="false" hidden="false" name="END_PAT" vbProcedure="false">Patrimoine!$B$30</definedName>
    <definedName function="false" hidden="false" name="END_POSTES" vbProcedure="false">Budget!$A$13</definedName>
    <definedName function="false" hidden="false" name="END_PVL" vbProcedure="false">Plus_value!$B$12</definedName>
    <definedName function="false" hidden="false" name="OPcatégorie" vbProcedure="false">Opérations!$G$4:$G$6004</definedName>
    <definedName function="false" hidden="false" name="OPcompte" vbProcedure="false">Opérations!$H$4:$H$6004</definedName>
    <definedName function="false" hidden="false" name="OPdate" vbProcedure="false">Opérations!$A$4:$A$6004</definedName>
    <definedName function="false" hidden="false" name="OPdevise" vbProcedure="false">Opérations!$D$4:$D$6004</definedName>
    <definedName function="false" hidden="false" name="OPequiv_euro" vbProcedure="false">Opérations!$E$4:$E$6004</definedName>
    <definedName function="false" hidden="false" name="OPlibellé" vbProcedure="false">Opérations!$B$4:$B$6004</definedName>
    <definedName function="false" hidden="false" name="OPmontant" vbProcedure="false">Opérations!$C$4:$C$6004</definedName>
    <definedName function="false" hidden="false" name="OPréf" vbProcedure="false">Opérations!$F$4:$F$6004</definedName>
    <definedName function="false" hidden="false" name="PVLcompte" vbProcedure="false">Plus_value!$B$6:$B$12</definedName>
    <definedName function="false" hidden="false" name="PVLdate" vbProcedure="false">Plus_value!$J$6:$J$12</definedName>
    <definedName function="false" hidden="false" name="PVLmontant" vbProcedure="false">Plus_value!$K$6:$K$12</definedName>
    <definedName function="false" hidden="false" name="PVLtitre" vbProcedure="false">Plus_value!$C$6:$C$12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Budget!$E$18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Contrôles!$P$10</definedName>
    <definedName function="false" hidden="false" name="START_PAT" vbProcedure="false">Patrimoine!$B$2</definedName>
    <definedName function="false" hidden="false" name="START_POSTES" vbProcedure="false">Budget!$A$5</definedName>
    <definedName function="false" hidden="false" name="START_PVL" vbProcedure="false">Plus_value!$B$6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6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D5" authorId="0">
      <text>
        <r>
          <rPr>
            <sz val="10"/>
            <rFont val="Arial"/>
            <family val="2"/>
          </rPr>
          <t xml:space="preserve">Marc Lebas:
0 si tous les résultats valent 1 &lt;==&gt; nombre de résultats - nombre de résultats valant 1</t>
        </r>
      </text>
    </comment>
    <comment ref="L5" authorId="0">
      <text>
        <r>
          <rPr>
            <sz val="10"/>
            <rFont val="Arial"/>
            <family val="2"/>
          </rPr>
          <t xml:space="preserve">Marc Lebas:
0 si tous les reports valent 1 &lt;==&gt; nombre de reports - nombre de reports valant 1</t>
        </r>
      </text>
    </comment>
  </commentList>
</comments>
</file>

<file path=xl/sharedStrings.xml><?xml version="1.0" encoding="utf-8"?>
<sst xmlns="http://schemas.openxmlformats.org/spreadsheetml/2006/main" count="192" uniqueCount="142">
  <si>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</si>
  <si>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</si>
  <si>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</si>
  <si>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</si>
  <si>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</si>
  <si>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</si>
  <si>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</si>
  <si>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</si>
  <si>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</si>
  <si>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</si>
  <si>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</si>
  <si>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Dettes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</si>
  <si>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</si>
  <si>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</si>
  <si>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</si>
  <si>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</si>
  <si>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</si>
  <si>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</si>
  <si>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</si>
  <si>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</si>
  <si>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</si>
  <si>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</si>
  <si>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</si>
  <si>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</si>
  <si>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</si>
  <si>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</si>
  <si>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Les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</si>
  <si>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</si>
  <si>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</si>
  <si>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</si>
  <si>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</si>
  <si>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donnée</t>
  </si>
  <si>
    <t xml:space="preserve">Antériorité</t>
  </si>
  <si>
    <t xml:space="preserve">Solde courant</t>
  </si>
  <si>
    <t xml:space="preserve">formule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</si>
  <si>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</si>
  <si>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</si>
  <si>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</si>
  <si>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</si>
  <si>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</si>
  <si>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</si>
  <si>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</si>
  <si>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</si>
  <si>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</si>
  <si>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devise</t>
  </si>
  <si>
    <t xml:space="preserve">Montant €</t>
  </si>
  <si>
    <t xml:space="preserve">Total</t>
  </si>
  <si>
    <t xml:space="preserve">Dépenses et revenus</t>
  </si>
  <si>
    <t xml:space="preserve">Année glissante</t>
  </si>
  <si>
    <t xml:space="preserve">Maison</t>
  </si>
  <si>
    <t xml:space="preserve">Fixe</t>
  </si>
  <si>
    <t xml:space="preserve">Santé</t>
  </si>
  <si>
    <t xml:space="preserve">Loisirs et restaurant</t>
  </si>
  <si>
    <t xml:space="preserve">Divers</t>
  </si>
  <si>
    <t xml:space="preserve">Produits financiers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</si>
  <si>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</si>
  <si>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</si>
  <si>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</si>
  <si>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</si>
  <si>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</si>
  <si>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 de débit et crédit sur année glissante</t>
  </si>
  <si>
    <t xml:space="preserve">EUR</t>
  </si>
  <si>
    <t xml:space="preserve">Équivalent € au cours du jour</t>
  </si>
  <si>
    <t xml:space="preserve">Affectation %</t>
  </si>
  <si>
    <t xml:space="preserve">Affectation</t>
  </si>
  <si>
    <t xml:space="preserve">START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</si>
  <si>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</si>
  <si>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</si>
  <si>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</si>
  <si>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</si>
  <si>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</si>
  <si>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</si>
  <si>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Ajustement</t>
  </si>
  <si>
    <t xml:space="preserve">Coupon</t>
  </si>
  <si>
    <t xml:space="preserve">Frais bancaires</t>
  </si>
  <si>
    <t xml:space="preserve">Intérêts</t>
  </si>
  <si>
    <t xml:space="preserve">Loisirs</t>
  </si>
  <si>
    <t xml:space="preserve">Restaurant</t>
  </si>
  <si>
    <t xml:space="preserve">-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</si>
  <si>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</si>
  <si>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</si>
  <si>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</si>
  <si>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</si>
  <si>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</si>
  <si>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</si>
  <si>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</si>
  <si>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</si>
  <si>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</si>
  <si>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</si>
  <si>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</si>
  <si>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</si>
  <si>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</si>
  <si>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</si>
  <si>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</si>
  <si>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</si>
  <si>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</si>
  <si>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</si>
  <si>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</si>
  <si>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</si>
  <si>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</si>
  <si>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</si>
  <si>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</si>
  <si>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</si>
  <si>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</si>
  <si>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</si>
  <si>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</si>
  <si>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</si>
  <si>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</si>
  <si>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</si>
  <si>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</si>
  <si>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</si>
  <si>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✓</t>
  </si>
  <si>
    <t xml:space="preserve">Compte </t>
  </si>
  <si>
    <t xml:space="preserve">Début</t>
  </si>
  <si>
    <t xml:space="preserve"># Déb.</t>
  </si>
  <si>
    <t xml:space="preserve">Fin</t>
  </si>
  <si>
    <t xml:space="preserve">Fin – début</t>
  </si>
  <si>
    <t xml:space="preserve">Montant Déb.</t>
  </si>
  <si>
    <t xml:space="preserve">Solde Fin calculé</t>
  </si>
  <si>
    <t xml:space="preserve">Solde relevé</t>
  </si>
  <si>
    <t xml:space="preserve">Contrôle écart</t>
  </si>
  <si>
    <t xml:space="preserve">Reports # Fin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</si>
  <si>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</si>
  <si>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</si>
  <si>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</si>
  <si>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</si>
  <si>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</si>
  <si>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</si>
  <si>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</si>
  <si>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</si>
  <si>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</si>
  <si>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</si>
  <si>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</si>
  <si>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</si>
  <si>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</si>
  <si>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</si>
  <si>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</si>
  <si>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</si>
  <si>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Code </t>
  </si>
  <si>
    <t xml:space="preserve">Cours en Euro</t>
  </si>
  <si>
    <t xml:space="preserve">Cours de l’Euro</t>
  </si>
  <si>
    <t xml:space="preserve">primaire</t>
  </si>
</sst>
</file>

<file path=xl/styles.xml><?xml version="1.0" encoding="utf-8"?>
<styleSheet xmlns="http://schemas.openxmlformats.org/spreadsheetml/2006/main">
  <numFmts count="22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\ 0.00\ [$€-40C]"/>
    <numFmt numFmtId="175" formatCode="\ 0.00\ [$$-409]"/>
    <numFmt numFmtId="176" formatCode="[$€-40C]\ #,##0.00"/>
    <numFmt numFmtId="177" formatCode="d\ mmm\ yyyy"/>
    <numFmt numFmtId="178" formatCode="\ #,##0\ [$€-40C]"/>
    <numFmt numFmtId="179" formatCode="\ #,##0.00\ [$€-40C]"/>
    <numFmt numFmtId="180" formatCode="#,##0"/>
    <numFmt numFmtId="181" formatCode="[$-40C]dd/mm/yy"/>
    <numFmt numFmtId="182" formatCode="dd/mm/yyyy"/>
    <numFmt numFmtId="183" formatCode="0.00000"/>
    <numFmt numFmtId="184" formatCode="#,##0.00"/>
    <numFmt numFmtId="185" formatCode="\ #,##0.0000\ [$CHF-40C]"/>
  </numFmts>
  <fonts count="23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0"/>
      <name val="Arial"/>
      <family val="2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61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/>
      <top style="medium"/>
      <bottom style="hair"/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/>
      <diagonal/>
    </border>
    <border diagonalUp="false" diagonalDown="false">
      <left style="hair">
        <color rgb="FFD2C195"/>
      </left>
      <right style="hair"/>
      <top style="hair"/>
      <bottom style="hair"/>
      <diagonal/>
    </border>
    <border diagonalUp="false" diagonalDown="false">
      <left style="hair"/>
      <right style="hair"/>
      <top style="hair"/>
      <bottom style="thin"/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7F7F7F"/>
      </top>
      <bottom style="hair"/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hair"/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96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2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3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4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4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2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2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2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2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5" borderId="1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1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1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2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2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2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2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3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2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4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3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2" borderId="1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3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4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2" fillId="16" borderId="4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5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7" fillId="14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5" borderId="5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5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8" fontId="12" fillId="16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5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1" fontId="16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2" fontId="12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3" fontId="12" fillId="14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5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0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3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9" fontId="12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1" fillId="16" borderId="5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6" fillId="19" borderId="6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00CCFF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FFCCCC"/>
      <rgbColor rgb="FF7F7F7F"/>
      <rgbColor rgb="FF003366"/>
      <rgbColor rgb="FFF8D2E0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comments" Target="../comments6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Contrôles!N$22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9" t="str">
        <f aca="false">"dont Plus value latente depuis " &amp; YEAR(Plus_value!G3)</f>
        <v>dont Plus value latente depuis 1899</v>
      </c>
      <c r="G3" s="5"/>
      <c r="H3" s="10"/>
      <c r="I3" s="10"/>
    </row>
    <row r="4" customFormat="false" ht="15.75" hidden="false" customHeight="true" outlineLevel="0" collapsed="false">
      <c r="B4" s="11" t="s">
        <v>3</v>
      </c>
      <c r="C4" s="12" t="n">
        <f aca="false">COUNTA(AVRintitulé)</f>
        <v>0</v>
      </c>
      <c r="D4" s="13" t="n">
        <f aca="false">Avoirs!L2</f>
        <v>0</v>
      </c>
      <c r="E4" s="14"/>
      <c r="F4" s="14"/>
      <c r="G4" s="13" t="n">
        <f aca="false">Plus_value!E3</f>
        <v>0</v>
      </c>
      <c r="H4" s="15" t="e">
        <f aca="false">Plus_value!F13</f>
        <v>#DIV/0!</v>
      </c>
      <c r="I4" s="15"/>
    </row>
    <row r="5" customFormat="false" ht="15.75" hidden="false" customHeight="true" outlineLevel="0" collapsed="false">
      <c r="B5" s="16" t="s">
        <v>4</v>
      </c>
      <c r="C5" s="16"/>
      <c r="D5" s="17"/>
      <c r="E5" s="14"/>
      <c r="G5" s="18"/>
    </row>
    <row r="6" customFormat="false" ht="16.5" hidden="false" customHeight="true" outlineLevel="0" collapsed="false">
      <c r="B6" s="19" t="s">
        <v>5</v>
      </c>
      <c r="C6" s="20" t="n">
        <f aca="false">COUNTIF(AVRtype,$B6)</f>
        <v>0</v>
      </c>
      <c r="D6" s="21" t="n">
        <f aca="false">SUMIF(AVRtype,$B6,AVRmontant_solde_euro)</f>
        <v>0</v>
      </c>
      <c r="E6" s="22" t="e">
        <f aca="false">D6/D$13</f>
        <v>#DIV/0!</v>
      </c>
      <c r="G6" s="18"/>
    </row>
    <row r="7" customFormat="false" ht="16.5" hidden="false" customHeight="true" outlineLevel="0" collapsed="false">
      <c r="B7" s="19" t="s">
        <v>6</v>
      </c>
      <c r="C7" s="20" t="n">
        <f aca="false">COUNTIF(AVRtype,$B7)</f>
        <v>0</v>
      </c>
      <c r="D7" s="21" t="n">
        <f aca="false">SUMIF(AVRtype,$B7,AVRmontant_solde_euro)</f>
        <v>0</v>
      </c>
      <c r="E7" s="22" t="e">
        <f aca="false">D7/D$13</f>
        <v>#DIV/0!</v>
      </c>
    </row>
    <row r="8" customFormat="false" ht="16.5" hidden="false" customHeight="true" outlineLevel="0" collapsed="false">
      <c r="B8" s="19" t="s">
        <v>7</v>
      </c>
      <c r="C8" s="20" t="n">
        <f aca="false">COUNTIF(AVRtype,$B8)</f>
        <v>0</v>
      </c>
      <c r="D8" s="21" t="n">
        <f aca="false">SUMIF(AVRtype,$B8,AVRmontant_solde_euro)</f>
        <v>0</v>
      </c>
      <c r="E8" s="22" t="e">
        <f aca="false">D8/D$13</f>
        <v>#DIV/0!</v>
      </c>
    </row>
    <row r="9" customFormat="false" ht="16.5" hidden="false" customHeight="true" outlineLevel="0" collapsed="false">
      <c r="B9" s="19" t="s">
        <v>8</v>
      </c>
      <c r="C9" s="20" t="n">
        <f aca="false">COUNTIF(AVRtype,$B9)</f>
        <v>0</v>
      </c>
      <c r="D9" s="21" t="n">
        <f aca="false">SUMIF(AVRtype,$B9,AVRmontant_solde_euro)</f>
        <v>0</v>
      </c>
      <c r="E9" s="22" t="e">
        <f aca="false">D9/D$13</f>
        <v>#DIV/0!</v>
      </c>
    </row>
    <row r="10" customFormat="false" ht="16.5" hidden="false" customHeight="true" outlineLevel="0" collapsed="false">
      <c r="B10" s="19" t="s">
        <v>9</v>
      </c>
      <c r="C10" s="20" t="n">
        <f aca="false">COUNTIF(AVRtype,$B10)</f>
        <v>0</v>
      </c>
      <c r="D10" s="21" t="n">
        <f aca="false">SUMIF(AVRtype,$B10,AVRmontant_solde_euro)</f>
        <v>0</v>
      </c>
      <c r="E10" s="22" t="e">
        <f aca="false">D10/D$13</f>
        <v>#DIV/0!</v>
      </c>
    </row>
    <row r="11" customFormat="false" ht="16.5" hidden="false" customHeight="true" outlineLevel="0" collapsed="false">
      <c r="B11" s="19" t="s">
        <v>10</v>
      </c>
      <c r="C11" s="20" t="n">
        <f aca="false">COUNTIF(AVRtype,$B11)</f>
        <v>0</v>
      </c>
      <c r="D11" s="21" t="n">
        <f aca="false">SUMIF(AVRtype,$B11,AVRmontant_solde_euro)</f>
        <v>0</v>
      </c>
      <c r="E11" s="22" t="e">
        <f aca="false">D11/D$13</f>
        <v>#DIV/0!</v>
      </c>
      <c r="G11" s="18"/>
    </row>
    <row r="12" customFormat="false" ht="16.5" hidden="false" customHeight="true" outlineLevel="0" collapsed="false">
      <c r="B12" s="19" t="s">
        <v>11</v>
      </c>
      <c r="C12" s="20" t="n">
        <f aca="false">COUNTIF(AVRtype,$B12)</f>
        <v>0</v>
      </c>
      <c r="D12" s="21" t="n">
        <f aca="false">SUMIF(AVRtype,$B12,AVRmontant_solde_euro)</f>
        <v>0</v>
      </c>
      <c r="E12" s="22" t="e">
        <f aca="false">D12/D$13</f>
        <v>#DIV/0!</v>
      </c>
      <c r="G12" s="18"/>
    </row>
    <row r="13" customFormat="false" ht="16.5" hidden="false" customHeight="true" outlineLevel="0" collapsed="false">
      <c r="B13" s="23" t="s">
        <v>3</v>
      </c>
      <c r="C13" s="20" t="n">
        <f aca="false">SUM(C6:C12)</f>
        <v>0</v>
      </c>
      <c r="D13" s="24" t="n">
        <f aca="false">ROUND(SUM(D6:D12),2)</f>
        <v>0</v>
      </c>
    </row>
    <row r="14" customFormat="false" ht="16.5" hidden="false" customHeight="true" outlineLevel="0" collapsed="false">
      <c r="B14" s="16" t="s">
        <v>12</v>
      </c>
      <c r="C14" s="25"/>
      <c r="D14" s="26"/>
      <c r="E14" s="14"/>
    </row>
    <row r="15" customFormat="false" ht="16.5" hidden="false" customHeight="true" outlineLevel="0" collapsed="false">
      <c r="B15" s="19" t="s">
        <v>13</v>
      </c>
      <c r="C15" s="20" t="n">
        <f aca="false">COUNTIF(AVRsous_type,$B15)</f>
        <v>0</v>
      </c>
      <c r="D15" s="21" t="n">
        <f aca="false">SUMIF(AVRsous_type,B15,AVRmontant_solde_euro)</f>
        <v>0</v>
      </c>
      <c r="E15" s="22" t="e">
        <f aca="false">D15/D$20</f>
        <v>#DIV/0!</v>
      </c>
      <c r="G15" s="18"/>
    </row>
    <row r="16" customFormat="false" ht="16.5" hidden="false" customHeight="true" outlineLevel="0" collapsed="false">
      <c r="B16" s="19" t="s">
        <v>14</v>
      </c>
      <c r="C16" s="20" t="n">
        <f aca="false">COUNTIF(AVRsous_type,$B16)</f>
        <v>0</v>
      </c>
      <c r="D16" s="21" t="n">
        <f aca="false">SUMIF(AVRsous_type,B16,AVRmontant_solde_euro)</f>
        <v>0</v>
      </c>
      <c r="E16" s="22" t="e">
        <f aca="false">D16/D$20</f>
        <v>#DIV/0!</v>
      </c>
    </row>
    <row r="17" customFormat="false" ht="16.5" hidden="false" customHeight="true" outlineLevel="0" collapsed="false">
      <c r="B17" s="19" t="s">
        <v>15</v>
      </c>
      <c r="C17" s="20" t="n">
        <f aca="false">COUNTIF(AVRsous_type,$B17)</f>
        <v>0</v>
      </c>
      <c r="D17" s="21" t="n">
        <f aca="false">SUMIF(AVRsous_type,B17,AVRmontant_solde_euro)</f>
        <v>0</v>
      </c>
      <c r="E17" s="22" t="e">
        <f aca="false">D17/D$20</f>
        <v>#DIV/0!</v>
      </c>
    </row>
    <row r="18" customFormat="false" ht="16.5" hidden="false" customHeight="true" outlineLevel="0" collapsed="false">
      <c r="B18" s="19" t="s">
        <v>16</v>
      </c>
      <c r="C18" s="20" t="n">
        <f aca="false">COUNTIF(AVRsous_type,$B18)</f>
        <v>0</v>
      </c>
      <c r="D18" s="21" t="n">
        <f aca="false">SUMIF(AVRsous_type,B18,AVRmontant_solde_euro)</f>
        <v>0</v>
      </c>
      <c r="E18" s="22" t="e">
        <f aca="false">D18/D$20</f>
        <v>#DIV/0!</v>
      </c>
    </row>
    <row r="19" customFormat="false" ht="16.5" hidden="false" customHeight="true" outlineLevel="0" collapsed="false">
      <c r="B19" s="19"/>
      <c r="C19" s="20"/>
      <c r="D19" s="21"/>
      <c r="E19" s="22"/>
    </row>
    <row r="20" customFormat="false" ht="16.5" hidden="false" customHeight="true" outlineLevel="0" collapsed="false">
      <c r="B20" s="23" t="s">
        <v>3</v>
      </c>
      <c r="C20" s="20" t="n">
        <f aca="false">SUM(C15:C19)</f>
        <v>0</v>
      </c>
      <c r="D20" s="24" t="n">
        <f aca="false">ROUND(SUM(D15:D19),2)</f>
        <v>0</v>
      </c>
    </row>
    <row r="21" customFormat="false" ht="16.5" hidden="false" customHeight="true" outlineLevel="0" collapsed="false">
      <c r="B21" s="27" t="s">
        <v>17</v>
      </c>
      <c r="C21" s="28"/>
      <c r="D21" s="26"/>
      <c r="E21" s="14"/>
    </row>
    <row r="22" customFormat="false" ht="16.5" hidden="false" customHeight="true" outlineLevel="0" collapsed="false">
      <c r="B22" s="29"/>
      <c r="C22" s="20"/>
      <c r="D22" s="21"/>
      <c r="E22" s="22"/>
      <c r="G22" s="18"/>
    </row>
    <row r="23" customFormat="false" ht="16.5" hidden="false" customHeight="true" outlineLevel="0" collapsed="false">
      <c r="B23" s="23" t="s">
        <v>3</v>
      </c>
      <c r="C23" s="20" t="n">
        <f aca="false">SUM(C22)</f>
        <v>0</v>
      </c>
      <c r="D23" s="24" t="n">
        <f aca="false">ROUND(SUM(D22),2)</f>
        <v>0</v>
      </c>
    </row>
    <row r="24" customFormat="false" ht="16.5" hidden="false" customHeight="true" outlineLevel="0" collapsed="false">
      <c r="B24" s="16" t="s">
        <v>18</v>
      </c>
      <c r="C24" s="25"/>
      <c r="D24" s="26"/>
      <c r="E24" s="14"/>
    </row>
    <row r="25" customFormat="false" ht="16.5" hidden="false" customHeight="true" outlineLevel="0" collapsed="false">
      <c r="B25" s="19"/>
      <c r="C25" s="20"/>
      <c r="D25" s="30"/>
      <c r="E25" s="22"/>
    </row>
    <row r="26" customFormat="false" ht="16.5" hidden="false" customHeight="true" outlineLevel="0" collapsed="false">
      <c r="B26" s="23" t="s">
        <v>3</v>
      </c>
      <c r="C26" s="20" t="n">
        <f aca="false">SUM(C25)</f>
        <v>0</v>
      </c>
      <c r="D26" s="24" t="n">
        <f aca="false">ROUND(SUM(D25),2)</f>
        <v>0</v>
      </c>
    </row>
    <row r="27" customFormat="false" ht="13.5" hidden="false" customHeight="true" outlineLevel="0" collapsed="false">
      <c r="B27" s="16" t="s">
        <v>19</v>
      </c>
      <c r="C27" s="25"/>
      <c r="D27" s="26"/>
      <c r="E27" s="14"/>
    </row>
    <row r="28" customFormat="false" ht="13.5" hidden="false" customHeight="true" outlineLevel="0" collapsed="false">
      <c r="B28" s="19" t="s">
        <v>20</v>
      </c>
      <c r="C28" s="20" t="n">
        <f aca="false">COUNTIF(AVRpropriete,$B28)</f>
        <v>0</v>
      </c>
      <c r="D28" s="21" t="n">
        <f aca="false">SUMIF(AVRpropriete,B28,AVRmontant_solde_euro)</f>
        <v>0</v>
      </c>
      <c r="E28" s="22" t="e">
        <f aca="false">D28/D$30</f>
        <v>#DIV/0!</v>
      </c>
      <c r="G28" s="18"/>
    </row>
    <row r="29" customFormat="false" ht="13.5" hidden="false" customHeight="true" outlineLevel="0" collapsed="false">
      <c r="B29" s="19" t="s">
        <v>21</v>
      </c>
      <c r="C29" s="20" t="n">
        <f aca="false">COUNTIF(AVRpropriete,$B29)</f>
        <v>0</v>
      </c>
      <c r="D29" s="21" t="n">
        <f aca="false">SUMIF(AVRpropriete,B29,AVRmontant_solde_euro)</f>
        <v>0</v>
      </c>
      <c r="E29" s="22" t="e">
        <f aca="false">D29/D$30</f>
        <v>#DIV/0!</v>
      </c>
      <c r="G29" s="18" t="s">
        <v>22</v>
      </c>
    </row>
    <row r="30" customFormat="false" ht="13.5" hidden="false" customHeight="true" outlineLevel="0" collapsed="false">
      <c r="B30" s="23" t="s">
        <v>3</v>
      </c>
      <c r="C30" s="20" t="n">
        <f aca="false">SUM(C28:C29)</f>
        <v>0</v>
      </c>
      <c r="D30" s="24" t="n">
        <f aca="false">ROUND(SUM(D28:D29),2)</f>
        <v>0</v>
      </c>
    </row>
    <row r="34" customFormat="false" ht="15.75" hidden="false" customHeight="true" outlineLevel="0" collapsed="false">
      <c r="J34" s="31"/>
      <c r="K34" s="32" t="s">
        <v>23</v>
      </c>
      <c r="L34" s="33"/>
      <c r="M34" s="34"/>
    </row>
    <row r="35" customFormat="false" ht="15.75" hidden="false" customHeight="true" outlineLevel="0" collapsed="false">
      <c r="J35" s="31"/>
      <c r="K35" s="31"/>
      <c r="L35" s="31"/>
      <c r="M35" s="34"/>
    </row>
    <row r="36" customFormat="false" ht="15.75" hidden="false" customHeight="true" outlineLevel="0" collapsed="false">
      <c r="J36" s="31"/>
      <c r="K36" s="35" t="n">
        <v>22.01</v>
      </c>
      <c r="L36" s="36"/>
      <c r="M36" s="37" t="s">
        <v>24</v>
      </c>
    </row>
    <row r="37" customFormat="false" ht="15.75" hidden="false" customHeight="true" outlineLevel="0" collapsed="false">
      <c r="J37" s="31"/>
      <c r="K37" s="38" t="n">
        <v>22.01</v>
      </c>
      <c r="L37" s="39"/>
      <c r="M37" s="33" t="s">
        <v>25</v>
      </c>
    </row>
    <row r="38" customFormat="false" ht="15.75" hidden="false" customHeight="true" outlineLevel="0" collapsed="false">
      <c r="J38" s="31"/>
      <c r="K38" s="40" t="n">
        <v>22.01</v>
      </c>
      <c r="L38" s="39"/>
      <c r="M38" s="37" t="s">
        <v>26</v>
      </c>
    </row>
    <row r="39" customFormat="false" ht="15.75" hidden="false" customHeight="true" outlineLevel="0" collapsed="false">
      <c r="J39" s="31"/>
      <c r="K39" s="41" t="n">
        <v>22.01</v>
      </c>
      <c r="L39" s="39"/>
      <c r="M39" s="37" t="s">
        <v>27</v>
      </c>
    </row>
    <row r="40" customFormat="false" ht="15.75" hidden="false" customHeight="true" outlineLevel="0" collapsed="false">
      <c r="J40" s="31"/>
      <c r="K40" s="42" t="n">
        <v>22.01</v>
      </c>
      <c r="L40" s="39"/>
      <c r="M40" s="37" t="s">
        <v>28</v>
      </c>
    </row>
    <row r="41" customFormat="false" ht="15.75" hidden="false" customHeight="true" outlineLevel="0" collapsed="false">
      <c r="J41" s="31"/>
      <c r="K41" s="43" t="n">
        <v>22.01</v>
      </c>
      <c r="L41" s="39"/>
      <c r="M41" s="37" t="s">
        <v>29</v>
      </c>
    </row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7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3" min="18" style="44" width="9.67"/>
  </cols>
  <sheetData>
    <row r="1" customFormat="false" ht="16.5" hidden="false" customHeight="true" outlineLevel="0" collapsed="false">
      <c r="A1" s="46" t="n">
        <v>2026</v>
      </c>
      <c r="B1" s="47" t="s">
        <v>30</v>
      </c>
      <c r="C1" s="48"/>
      <c r="D1" s="49"/>
      <c r="E1" s="49"/>
      <c r="F1" s="49"/>
      <c r="G1" s="49"/>
      <c r="H1" s="49"/>
      <c r="I1" s="14"/>
      <c r="J1" s="12"/>
      <c r="K1" s="12"/>
      <c r="L1" s="50" t="n">
        <v>0</v>
      </c>
      <c r="M1" s="44" t="s">
        <v>31</v>
      </c>
    </row>
    <row r="2" customFormat="false" ht="16.5" hidden="false" customHeight="true" outlineLevel="0" collapsed="false">
      <c r="A2" s="51" t="str">
        <f aca="false">Contrôles!N$22</f>
        <v>✓</v>
      </c>
      <c r="B2" s="52"/>
      <c r="C2" s="5"/>
      <c r="D2" s="12"/>
      <c r="E2" s="12"/>
      <c r="F2" s="53"/>
      <c r="G2" s="53"/>
      <c r="H2" s="54"/>
      <c r="I2" s="54" t="s">
        <v>32</v>
      </c>
      <c r="J2" s="54" t="s">
        <v>32</v>
      </c>
      <c r="K2" s="54" t="s">
        <v>33</v>
      </c>
      <c r="L2" s="55" t="n">
        <f aca="false">L6</f>
        <v>0</v>
      </c>
      <c r="M2" s="44" t="s">
        <v>34</v>
      </c>
    </row>
    <row r="3" customFormat="false" ht="20.65" hidden="false" customHeight="true" outlineLevel="0" collapsed="false">
      <c r="A3" s="56" t="s">
        <v>35</v>
      </c>
      <c r="B3" s="57" t="s">
        <v>36</v>
      </c>
      <c r="C3" s="57" t="s">
        <v>37</v>
      </c>
      <c r="D3" s="54" t="s">
        <v>38</v>
      </c>
      <c r="E3" s="58" t="s">
        <v>39</v>
      </c>
      <c r="F3" s="54" t="s">
        <v>40</v>
      </c>
      <c r="G3" s="54" t="s">
        <v>41</v>
      </c>
      <c r="H3" s="54" t="s">
        <v>42</v>
      </c>
      <c r="I3" s="54" t="s">
        <v>43</v>
      </c>
      <c r="J3" s="54" t="s">
        <v>42</v>
      </c>
      <c r="K3" s="54" t="s">
        <v>44</v>
      </c>
      <c r="L3" s="54" t="s">
        <v>45</v>
      </c>
    </row>
    <row r="4" customFormat="false" ht="16.5" hidden="false" customHeight="true" outlineLevel="0" collapsed="false">
      <c r="A4" s="59"/>
      <c r="B4" s="60"/>
      <c r="C4" s="61"/>
      <c r="D4" s="62"/>
      <c r="E4" s="62"/>
      <c r="F4" s="63"/>
      <c r="G4" s="63"/>
      <c r="H4" s="63"/>
      <c r="I4" s="63"/>
      <c r="J4" s="63"/>
      <c r="K4" s="63"/>
      <c r="L4" s="63"/>
    </row>
    <row r="5" customFormat="false" ht="16.5" hidden="false" customHeight="true" outlineLevel="0" collapsed="false">
      <c r="A5" s="59"/>
      <c r="B5" s="61"/>
      <c r="C5" s="61"/>
      <c r="D5" s="62"/>
      <c r="E5" s="62"/>
      <c r="F5" s="64"/>
      <c r="G5" s="64"/>
      <c r="H5" s="64"/>
      <c r="I5" s="64"/>
      <c r="J5" s="64"/>
      <c r="K5" s="65"/>
      <c r="L5" s="65"/>
    </row>
    <row r="6" customFormat="false" ht="17.25" hidden="false" customHeight="true" outlineLevel="0" collapsed="false">
      <c r="A6" s="66" t="s">
        <v>46</v>
      </c>
      <c r="B6" s="67"/>
      <c r="C6" s="68"/>
      <c r="D6" s="69"/>
      <c r="E6" s="69"/>
      <c r="F6" s="70"/>
      <c r="G6" s="70"/>
      <c r="H6" s="70"/>
      <c r="I6" s="71"/>
      <c r="J6" s="71"/>
      <c r="K6" s="71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9.63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Contrôles!N$22</f>
        <v>✓</v>
      </c>
      <c r="B1" s="76"/>
      <c r="C1" s="77" t="n">
        <f aca="false">C$2-365</f>
        <v>45744</v>
      </c>
      <c r="D1" s="77"/>
    </row>
    <row r="2" customFormat="false" ht="16.5" hidden="false" customHeight="true" outlineLevel="0" collapsed="false">
      <c r="A2" s="78"/>
      <c r="B2" s="14"/>
      <c r="C2" s="77" t="n">
        <f aca="true">TODAY()</f>
        <v>46109</v>
      </c>
      <c r="D2" s="77"/>
    </row>
    <row r="3" customFormat="false" ht="28.5" hidden="false" customHeight="true" outlineLevel="0" collapsed="false">
      <c r="A3" s="26" t="s">
        <v>47</v>
      </c>
      <c r="B3" s="26" t="s">
        <v>36</v>
      </c>
      <c r="C3" s="26" t="s">
        <v>48</v>
      </c>
      <c r="D3" s="26"/>
    </row>
    <row r="4" customFormat="false" ht="16.5" hidden="false" customHeight="true" outlineLevel="0" collapsed="false">
      <c r="A4" s="79"/>
      <c r="B4" s="80"/>
      <c r="C4" s="21"/>
      <c r="D4" s="21"/>
    </row>
    <row r="5" customFormat="false" ht="16.5" hidden="false" customHeight="true" outlineLevel="0" collapsed="false">
      <c r="A5" s="79" t="s">
        <v>49</v>
      </c>
      <c r="B5" s="81" t="s">
        <v>50</v>
      </c>
      <c r="C5" s="82" t="n">
        <f aca="false">SUMIF(J20:J34,A5,I20:I34)</f>
        <v>0</v>
      </c>
      <c r="D5" s="82"/>
    </row>
    <row r="6" customFormat="false" ht="16.5" hidden="false" customHeight="true" outlineLevel="0" collapsed="false">
      <c r="A6" s="79" t="s">
        <v>51</v>
      </c>
      <c r="B6" s="81" t="s">
        <v>50</v>
      </c>
      <c r="C6" s="82" t="n">
        <f aca="false">SUMIF(J20:J34,A6,I20:I34)</f>
        <v>0</v>
      </c>
      <c r="D6" s="82"/>
    </row>
    <row r="7" customFormat="false" ht="16.5" hidden="false" customHeight="true" outlineLevel="0" collapsed="false">
      <c r="A7" s="79" t="s">
        <v>52</v>
      </c>
      <c r="B7" s="80" t="s">
        <v>50</v>
      </c>
      <c r="C7" s="21" t="n">
        <f aca="false">SUMIF(J20:J34,A7,I20:I34)</f>
        <v>0</v>
      </c>
      <c r="D7" s="21"/>
    </row>
    <row r="8" customFormat="false" ht="16.5" hidden="false" customHeight="true" outlineLevel="0" collapsed="false">
      <c r="A8" s="79" t="s">
        <v>53</v>
      </c>
      <c r="B8" s="80" t="s">
        <v>50</v>
      </c>
      <c r="C8" s="21" t="n">
        <f aca="false">SUMIF(J20:J34,A8,I20:I34)</f>
        <v>0</v>
      </c>
      <c r="D8" s="21"/>
    </row>
    <row r="9" customFormat="false" ht="16.5" hidden="false" customHeight="true" outlineLevel="0" collapsed="false">
      <c r="A9" s="79" t="s">
        <v>54</v>
      </c>
      <c r="B9" s="80" t="s">
        <v>50</v>
      </c>
      <c r="C9" s="21" t="n">
        <f aca="false">SUMIF(J20:J34,A9,I20:I34)</f>
        <v>0</v>
      </c>
      <c r="D9" s="21"/>
    </row>
    <row r="10" customFormat="false" ht="16.5" hidden="false" customHeight="true" outlineLevel="0" collapsed="false">
      <c r="A10" s="79"/>
      <c r="B10" s="80"/>
      <c r="C10" s="21"/>
      <c r="D10" s="21"/>
    </row>
    <row r="11" customFormat="false" ht="17.25" hidden="false" customHeight="true" outlineLevel="0" collapsed="false">
      <c r="A11" s="83" t="s">
        <v>55</v>
      </c>
      <c r="B11" s="84"/>
      <c r="C11" s="85" t="n">
        <f aca="false">SUM(C5:C9)</f>
        <v>0</v>
      </c>
      <c r="D11" s="86"/>
    </row>
    <row r="12" customFormat="false" ht="16.5" hidden="false" customHeight="true" outlineLevel="0" collapsed="false">
      <c r="A12" s="87" t="s">
        <v>56</v>
      </c>
      <c r="B12" s="88"/>
      <c r="C12" s="89" t="n">
        <f aca="false">SUMIF($B5:$B9,"Fixe",C5:C9)</f>
        <v>0</v>
      </c>
      <c r="D12" s="90"/>
    </row>
    <row r="13" customFormat="false" ht="17.25" hidden="false" customHeight="true" outlineLevel="0" collapsed="false">
      <c r="A13" s="87" t="s">
        <v>57</v>
      </c>
      <c r="B13" s="88"/>
      <c r="C13" s="91" t="n">
        <f aca="false">C$12/12</f>
        <v>0</v>
      </c>
      <c r="D13" s="92"/>
    </row>
    <row r="14" customFormat="false" ht="16.5" hidden="false" customHeight="true" outlineLevel="0" collapsed="false">
      <c r="A14" s="93" t="s">
        <v>58</v>
      </c>
      <c r="B14" s="94"/>
      <c r="C14" s="95" t="n">
        <f aca="false">C$11-I$39</f>
        <v>0</v>
      </c>
      <c r="D14" s="96"/>
    </row>
    <row r="16" customFormat="false" ht="18.75" hidden="false" customHeight="true" outlineLevel="0" collapsed="false">
      <c r="E16" s="97" t="s">
        <v>59</v>
      </c>
      <c r="F16" s="97"/>
      <c r="G16" s="97"/>
      <c r="H16" s="97"/>
      <c r="I16" s="97"/>
      <c r="J16" s="97"/>
    </row>
    <row r="17" customFormat="false" ht="28.5" hidden="false" customHeight="true" outlineLevel="0" collapsed="false">
      <c r="E17" s="98" t="s">
        <v>60</v>
      </c>
      <c r="F17" s="99" t="s">
        <v>61</v>
      </c>
      <c r="G17" s="100" t="s">
        <v>62</v>
      </c>
      <c r="H17" s="75" t="s">
        <v>63</v>
      </c>
      <c r="I17" s="101" t="s">
        <v>64</v>
      </c>
      <c r="J17" s="101" t="s">
        <v>47</v>
      </c>
    </row>
    <row r="18" customFormat="false" ht="16.5" hidden="false" customHeight="true" outlineLevel="0" collapsed="false">
      <c r="E18" s="98" t="s">
        <v>65</v>
      </c>
      <c r="F18" s="102" t="n">
        <v>1</v>
      </c>
      <c r="G18" s="103"/>
      <c r="H18" s="104"/>
      <c r="I18" s="105"/>
      <c r="J18" s="105"/>
    </row>
    <row r="19" customFormat="false" ht="16.5" hidden="false" customHeight="true" outlineLevel="0" collapsed="false">
      <c r="E19" s="106"/>
      <c r="F19" s="107"/>
      <c r="G19" s="108"/>
      <c r="H19" s="109"/>
      <c r="I19" s="21"/>
      <c r="J19" s="110"/>
    </row>
    <row r="20" customFormat="false" ht="16.5" hidden="false" customHeight="true" outlineLevel="0" collapsed="false">
      <c r="E20" s="106" t="s">
        <v>66</v>
      </c>
      <c r="F20" s="107" t="n">
        <f aca="false">SUMIFS(OPmontant,OPdevise,F$17,OPcatégorie,$E20,OPdate,"&gt;"&amp;$C$2-365)</f>
        <v>0</v>
      </c>
      <c r="G20" s="108"/>
      <c r="H20" s="109"/>
      <c r="I20" s="21"/>
      <c r="J20" s="110" t="s">
        <v>53</v>
      </c>
    </row>
    <row r="21" customFormat="false" ht="16.5" hidden="false" customHeight="true" outlineLevel="0" collapsed="false">
      <c r="E21" s="111" t="s">
        <v>67</v>
      </c>
      <c r="F21" s="107" t="n">
        <f aca="false">SUMIFS(OPmontant,OPdevise,F$17,OPcatégorie,$E21,OPdate,"&gt;"&amp;$C$2-365)</f>
        <v>0</v>
      </c>
      <c r="G21" s="112"/>
      <c r="H21" s="109"/>
      <c r="I21" s="21"/>
      <c r="J21" s="110" t="s">
        <v>53</v>
      </c>
    </row>
    <row r="22" customFormat="false" ht="16.5" hidden="false" customHeight="true" outlineLevel="0" collapsed="false">
      <c r="E22" s="111" t="s">
        <v>68</v>
      </c>
      <c r="F22" s="107" t="n">
        <f aca="false">SUMIFS(OPmontant,OPdevise,F$17,OPcatégorie,$E22,OPdate,"&gt;"&amp;$C$2-365)</f>
        <v>0</v>
      </c>
      <c r="G22" s="113"/>
      <c r="H22" s="113"/>
      <c r="I22" s="21"/>
      <c r="J22" s="60" t="s">
        <v>53</v>
      </c>
    </row>
    <row r="23" customFormat="false" ht="16.5" hidden="false" customHeight="true" outlineLevel="0" collapsed="false">
      <c r="E23" s="111" t="s">
        <v>69</v>
      </c>
      <c r="F23" s="107" t="n">
        <f aca="false">SUMIFS(OPmontant,OPdevise,F$17,OPcatégorie,$E23,OPdate,"&gt;"&amp;$C$2-365)</f>
        <v>0</v>
      </c>
      <c r="G23" s="113"/>
      <c r="H23" s="113"/>
      <c r="I23" s="21"/>
      <c r="J23" s="60" t="s">
        <v>53</v>
      </c>
    </row>
    <row r="24" customFormat="false" ht="16.5" hidden="false" customHeight="true" outlineLevel="0" collapsed="false">
      <c r="E24" s="111" t="s">
        <v>70</v>
      </c>
      <c r="F24" s="107" t="n">
        <f aca="false">SUMIFS(OPmontant,OPdevise,F$17,OPcatégorie,$E24,OPdate,"&gt;"&amp;$C$2-365)</f>
        <v>0</v>
      </c>
      <c r="G24" s="113"/>
      <c r="H24" s="113"/>
      <c r="I24" s="21"/>
      <c r="J24" s="60" t="s">
        <v>53</v>
      </c>
    </row>
    <row r="25" customFormat="false" ht="16.5" hidden="false" customHeight="true" outlineLevel="0" collapsed="false">
      <c r="E25" s="111" t="s">
        <v>71</v>
      </c>
      <c r="F25" s="107" t="n">
        <f aca="false">SUMIFS(OPmontant,OPdevise,F$17,OPcatégorie,$E25,OPdate,"&gt;"&amp;$C$2-365)</f>
        <v>0</v>
      </c>
      <c r="G25" s="113"/>
      <c r="H25" s="113"/>
      <c r="I25" s="21"/>
      <c r="J25" s="60" t="s">
        <v>53</v>
      </c>
    </row>
    <row r="26" customFormat="false" ht="16.5" hidden="false" customHeight="true" outlineLevel="0" collapsed="false">
      <c r="E26" s="111" t="s">
        <v>72</v>
      </c>
      <c r="F26" s="107" t="n">
        <f aca="false">SUMIFS(OPmontant,OPdevise,F$17,OPcatégorie,$E26,OPdate,"&gt;"&amp;$C$2-365)</f>
        <v>0</v>
      </c>
      <c r="G26" s="114" t="n">
        <f aca="false">SUMPRODUCT(F26,F$18)</f>
        <v>0</v>
      </c>
      <c r="H26" s="115" t="n">
        <v>1</v>
      </c>
      <c r="I26" s="21" t="n">
        <f aca="false">G26*H26</f>
        <v>0</v>
      </c>
      <c r="J26" s="60" t="s">
        <v>53</v>
      </c>
    </row>
    <row r="27" customFormat="false" ht="16.5" hidden="false" customHeight="true" outlineLevel="0" collapsed="false">
      <c r="E27" s="111" t="s">
        <v>73</v>
      </c>
      <c r="F27" s="107" t="n">
        <f aca="false">SUMIFS(OPmontant,OPdevise,F$17,OPcatégorie,$E27,OPdate,"&gt;"&amp;$C$2-365)</f>
        <v>0</v>
      </c>
      <c r="G27" s="114" t="n">
        <f aca="false">SUMPRODUCT(F27,F$18)</f>
        <v>0</v>
      </c>
      <c r="H27" s="115" t="n">
        <v>1</v>
      </c>
      <c r="I27" s="21" t="n">
        <f aca="false">G27*H27</f>
        <v>0</v>
      </c>
      <c r="J27" s="60" t="s">
        <v>54</v>
      </c>
    </row>
    <row r="28" customFormat="false" ht="16.5" hidden="false" customHeight="true" outlineLevel="0" collapsed="false">
      <c r="E28" s="111" t="s">
        <v>74</v>
      </c>
      <c r="F28" s="107" t="n">
        <f aca="false">SUMIFS(OPmontant,OPdevise,F$17,OPcatégorie,$E28,OPdate,"&gt;"&amp;$C$2-365)</f>
        <v>0</v>
      </c>
      <c r="G28" s="114" t="n">
        <f aca="false">SUMPRODUCT(F28,F$18)</f>
        <v>0</v>
      </c>
      <c r="H28" s="115" t="n">
        <v>1</v>
      </c>
      <c r="I28" s="21" t="n">
        <f aca="false">G28*H28</f>
        <v>0</v>
      </c>
      <c r="J28" s="60" t="s">
        <v>54</v>
      </c>
    </row>
    <row r="29" customFormat="false" ht="16.5" hidden="false" customHeight="true" outlineLevel="0" collapsed="false">
      <c r="E29" s="111" t="s">
        <v>75</v>
      </c>
      <c r="F29" s="107" t="n">
        <f aca="false">SUMIFS(OPmontant,OPdevise,F$17,OPcatégorie,$E29,OPdate,"&gt;"&amp;$C$2-365)</f>
        <v>0</v>
      </c>
      <c r="G29" s="114" t="n">
        <f aca="false">SUMPRODUCT(F29,F$18)</f>
        <v>0</v>
      </c>
      <c r="H29" s="115" t="n">
        <v>1</v>
      </c>
      <c r="I29" s="21" t="n">
        <f aca="false">G29*H29</f>
        <v>0</v>
      </c>
      <c r="J29" s="60" t="s">
        <v>54</v>
      </c>
    </row>
    <row r="30" customFormat="false" ht="16.5" hidden="false" customHeight="true" outlineLevel="0" collapsed="false">
      <c r="E30" s="111" t="s">
        <v>76</v>
      </c>
      <c r="F30" s="107" t="n">
        <f aca="false">SUMIFS(OPmontant,OPdevise,F$17,OPcatégorie,$E30,OPdate,"&gt;"&amp;$C$2-365)</f>
        <v>0</v>
      </c>
      <c r="G30" s="114" t="n">
        <f aca="false">SUMPRODUCT(F30,F$18)</f>
        <v>0</v>
      </c>
      <c r="H30" s="115" t="n">
        <v>1</v>
      </c>
      <c r="I30" s="21" t="n">
        <f aca="false">G30*H30</f>
        <v>0</v>
      </c>
      <c r="J30" s="60" t="s">
        <v>52</v>
      </c>
    </row>
    <row r="31" customFormat="false" ht="16.5" hidden="false" customHeight="true" outlineLevel="0" collapsed="false">
      <c r="E31" s="111" t="s">
        <v>49</v>
      </c>
      <c r="F31" s="107" t="n">
        <f aca="false">SUMIFS(OPmontant,OPdevise,F$17,OPcatégorie,$E31,OPdate,"&gt;"&amp;$C$2-365)</f>
        <v>0</v>
      </c>
      <c r="G31" s="114" t="n">
        <f aca="false">SUMPRODUCT(F31,F$18)</f>
        <v>0</v>
      </c>
      <c r="H31" s="115" t="n">
        <v>1</v>
      </c>
      <c r="I31" s="21" t="n">
        <f aca="false">G31*H31</f>
        <v>0</v>
      </c>
      <c r="J31" s="60" t="s">
        <v>49</v>
      </c>
    </row>
    <row r="32" customFormat="false" ht="16.5" hidden="false" customHeight="true" outlineLevel="0" collapsed="false">
      <c r="E32" s="111" t="s">
        <v>77</v>
      </c>
      <c r="F32" s="107" t="n">
        <f aca="false">SUMIFS(OPmontant,OPdevise,F$17,OPcatégorie,$E32,OPdate,"&gt;"&amp;$C$2-365)</f>
        <v>0</v>
      </c>
      <c r="G32" s="114" t="n">
        <f aca="false">SUMPRODUCT(F32,F$18)</f>
        <v>0</v>
      </c>
      <c r="H32" s="115" t="n">
        <v>1</v>
      </c>
      <c r="I32" s="21" t="n">
        <f aca="false">G32*H32</f>
        <v>0</v>
      </c>
      <c r="J32" s="60" t="s">
        <v>52</v>
      </c>
    </row>
    <row r="33" customFormat="false" ht="16.5" hidden="false" customHeight="true" outlineLevel="0" collapsed="false">
      <c r="E33" s="111" t="s">
        <v>51</v>
      </c>
      <c r="F33" s="107" t="n">
        <f aca="false">SUMIFS(OPmontant,OPdevise,F$17,OPcatégorie,$E33,OPdate,"&gt;"&amp;$C$2-365)</f>
        <v>0</v>
      </c>
      <c r="G33" s="114" t="n">
        <f aca="false">SUMPRODUCT(F33,F$18)</f>
        <v>0</v>
      </c>
      <c r="H33" s="115" t="n">
        <v>1</v>
      </c>
      <c r="I33" s="21" t="n">
        <f aca="false">G33*H33</f>
        <v>0</v>
      </c>
      <c r="J33" s="60" t="s">
        <v>51</v>
      </c>
    </row>
    <row r="34" customFormat="false" ht="16.5" hidden="false" customHeight="true" outlineLevel="0" collapsed="false">
      <c r="E34" s="111" t="s">
        <v>78</v>
      </c>
      <c r="F34" s="107" t="n">
        <f aca="false">SUMIFS(OPmontant,OPdevise,F$17,OPcatégorie,$E34,OPdate,"&gt;"&amp;$C$2-365)</f>
        <v>0</v>
      </c>
      <c r="G34" s="114" t="n">
        <f aca="false">SUMPRODUCT(F34,F$18)</f>
        <v>0</v>
      </c>
      <c r="H34" s="115" t="n">
        <v>1</v>
      </c>
      <c r="I34" s="21" t="n">
        <f aca="false">G34*H34</f>
        <v>0</v>
      </c>
      <c r="J34" s="60" t="s">
        <v>53</v>
      </c>
    </row>
    <row r="35" customFormat="false" ht="16.5" hidden="false" customHeight="true" outlineLevel="0" collapsed="false">
      <c r="E35" s="111"/>
      <c r="F35" s="107"/>
      <c r="G35" s="114"/>
      <c r="H35" s="114"/>
      <c r="I35" s="21"/>
      <c r="J35" s="60"/>
    </row>
    <row r="36" customFormat="false" ht="19.5" hidden="false" customHeight="true" outlineLevel="0" collapsed="false">
      <c r="E36" s="83" t="s">
        <v>46</v>
      </c>
      <c r="F36" s="116" t="n">
        <f aca="false">SUM(F20:F34)</f>
        <v>0</v>
      </c>
      <c r="G36" s="117"/>
      <c r="H36" s="118"/>
      <c r="I36" s="117"/>
      <c r="J36" s="119"/>
    </row>
    <row r="37" customFormat="false" ht="18" hidden="false" customHeight="true" outlineLevel="0" collapsed="false">
      <c r="E37" s="120" t="s">
        <v>79</v>
      </c>
      <c r="F37" s="121" t="n">
        <f aca="false">SUMIFS(OPmontant,OPdevise,F$17,OPdate,"&gt;"&amp;$C$2-365,OPcatégorie,"&lt;&gt;"&amp;Spéciale)</f>
        <v>0</v>
      </c>
      <c r="G37" s="122"/>
      <c r="H37" s="123"/>
      <c r="I37" s="124"/>
      <c r="J37" s="92"/>
    </row>
    <row r="38" customFormat="false" ht="16.5" hidden="false" customHeight="true" outlineLevel="0" collapsed="false">
      <c r="E38" s="125" t="s">
        <v>80</v>
      </c>
      <c r="F38" s="95" t="n">
        <f aca="false">ROUND(F$36-F$37,2)</f>
        <v>0</v>
      </c>
      <c r="G38" s="126"/>
      <c r="H38" s="123"/>
      <c r="I38" s="91"/>
      <c r="J38" s="92"/>
    </row>
    <row r="39" customFormat="false" ht="21.75" hidden="false" customHeight="true" outlineLevel="0" collapsed="false">
      <c r="E39" s="87" t="s">
        <v>81</v>
      </c>
      <c r="F39" s="89" t="n">
        <f aca="false">SUM(F26:F34)</f>
        <v>0</v>
      </c>
      <c r="G39" s="95" t="n">
        <f aca="false">SUM(G26:G34)</f>
        <v>0</v>
      </c>
      <c r="H39" s="127"/>
      <c r="I39" s="128" t="n">
        <f aca="false">SUM(I26:I34)</f>
        <v>0</v>
      </c>
      <c r="J39" s="129"/>
    </row>
    <row r="40" customFormat="false" ht="16.5" hidden="false" customHeight="true" outlineLevel="0" collapsed="false">
      <c r="E40" s="93" t="s">
        <v>82</v>
      </c>
      <c r="F40" s="130" t="n">
        <f aca="false">F$39</f>
        <v>0</v>
      </c>
      <c r="G40" s="128" t="n">
        <f aca="false">SUM(F$40)</f>
        <v>0</v>
      </c>
      <c r="H40" s="131"/>
      <c r="I40" s="132"/>
      <c r="J40" s="96"/>
    </row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6:J16"/>
  </mergeCells>
  <conditionalFormatting sqref="I39">
    <cfRule type="cellIs" priority="2" operator="notEqual" aboveAverage="0" equalAverage="0" bottom="0" percent="0" rank="0" text="" dxfId="3">
      <formula>$G$39</formula>
    </cfRule>
    <cfRule type="cellIs" priority="3" operator="notEqual" aboveAverage="0" equalAverage="0" bottom="0" percent="0" rank="0" text="" dxfId="3">
      <formula>$G$39</formula>
    </cfRule>
  </conditionalFormatting>
  <conditionalFormatting sqref="C14 F38:I38 G37:I37 H39:H40 I40 J37:J40">
    <cfRule type="cellIs" priority="4" operator="notEqual" aboveAverage="0" equalAverage="0" bottom="0" percent="0" rank="0" text="" dxfId="4">
      <formula>0</formula>
    </cfRule>
  </conditionalFormatting>
  <conditionalFormatting sqref="H26:H34">
    <cfRule type="cellIs" priority="5" operator="lessThan" aboveAverage="0" equalAverage="0" bottom="0" percent="0" rank="0" text="" dxfId="5">
      <formula>1</formula>
    </cfRule>
  </conditionalFormatting>
  <conditionalFormatting sqref="G39">
    <cfRule type="cellIs" priority="6" operator="notEqual" aboveAverage="0" equalAverage="0" bottom="0" percent="0" rank="0" text="" dxfId="4">
      <formula>G$40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17.66"/>
    <col collapsed="false" customWidth="true" hidden="false" outlineLevel="0" max="2" min="2" style="74" width="30.6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33" width="14.21"/>
    <col collapsed="false" customWidth="true" hidden="false" outlineLevel="0" max="6" min="6" style="74" width="13.67"/>
    <col collapsed="false" customWidth="true" hidden="false" outlineLevel="0" max="7" min="7" style="133" width="9.16"/>
    <col collapsed="false" customWidth="true" hidden="false" outlineLevel="0" max="10" min="8" style="74" width="15.66"/>
    <col collapsed="false" customWidth="true" hidden="false" outlineLevel="0" max="12" min="11" style="133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34"/>
      <c r="B1" s="135" t="s">
        <v>83</v>
      </c>
      <c r="C1" s="14"/>
      <c r="D1" s="136"/>
      <c r="E1" s="14"/>
      <c r="F1" s="136"/>
      <c r="G1" s="14"/>
      <c r="H1" s="14"/>
      <c r="I1" s="14"/>
      <c r="J1" s="136"/>
      <c r="K1" s="136"/>
    </row>
    <row r="2" customFormat="false" ht="16.5" hidden="false" customHeight="true" outlineLevel="0" collapsed="false">
      <c r="A2" s="134"/>
      <c r="B2" s="137" t="str">
        <f aca="false">Contrôles!N22</f>
        <v>✓</v>
      </c>
      <c r="C2" s="57" t="s">
        <v>84</v>
      </c>
      <c r="D2" s="136"/>
      <c r="E2" s="14"/>
      <c r="F2" s="136"/>
      <c r="G2" s="14"/>
      <c r="H2" s="14"/>
      <c r="I2" s="14"/>
      <c r="J2" s="57"/>
      <c r="K2" s="14"/>
    </row>
    <row r="3" customFormat="false" ht="16.5" hidden="false" customHeight="true" outlineLevel="0" collapsed="false">
      <c r="A3" s="134"/>
      <c r="B3" s="135"/>
      <c r="C3" s="57"/>
      <c r="D3" s="136"/>
      <c r="E3" s="13" t="n">
        <f aca="false">E13</f>
        <v>0</v>
      </c>
      <c r="F3" s="136"/>
      <c r="G3" s="138" t="n">
        <f aca="false">G13</f>
        <v>0</v>
      </c>
      <c r="H3" s="57"/>
      <c r="I3" s="14"/>
      <c r="J3" s="57"/>
      <c r="K3" s="14"/>
    </row>
    <row r="4" customFormat="false" ht="30.75" hidden="false" customHeight="true" outlineLevel="0" collapsed="false">
      <c r="A4" s="139" t="s">
        <v>85</v>
      </c>
      <c r="B4" s="140" t="s">
        <v>86</v>
      </c>
      <c r="C4" s="26" t="s">
        <v>87</v>
      </c>
      <c r="D4" s="26" t="s">
        <v>39</v>
      </c>
      <c r="E4" s="141" t="s">
        <v>88</v>
      </c>
      <c r="F4" s="26" t="s">
        <v>89</v>
      </c>
      <c r="G4" s="58" t="s">
        <v>90</v>
      </c>
      <c r="H4" s="26" t="s">
        <v>91</v>
      </c>
      <c r="I4" s="142" t="s">
        <v>92</v>
      </c>
      <c r="J4" s="58" t="s">
        <v>93</v>
      </c>
      <c r="K4" s="142" t="s">
        <v>94</v>
      </c>
    </row>
    <row r="5" customFormat="false" ht="17.25" hidden="false" customHeight="true" outlineLevel="0" collapsed="false">
      <c r="A5" s="143" t="s">
        <v>95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7.25" hidden="false" customHeight="true" outlineLevel="0" collapsed="false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7.25" hidden="false" customHeight="true" outlineLevel="0" collapsed="false">
      <c r="A7" s="143" t="s">
        <v>96</v>
      </c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7.25" hidden="false" customHeight="true" outlineLevel="0" collapsed="false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7.25" hidden="false" customHeight="true" outlineLevel="0" collapsed="false">
      <c r="A9" s="143" t="s">
        <v>97</v>
      </c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7.25" hidden="false" customHeight="true" outlineLevel="0" collapsed="false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7.25" hidden="false" customHeight="true" outlineLevel="0" collapsed="false">
      <c r="A11" s="143" t="s">
        <v>98</v>
      </c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6.5" hidden="false" customHeight="true" outlineLevel="0" collapsed="false">
      <c r="A12" s="144"/>
      <c r="B12" s="144"/>
      <c r="C12" s="144"/>
      <c r="D12" s="144"/>
      <c r="E12" s="144"/>
      <c r="F12" s="144"/>
      <c r="G12" s="144"/>
      <c r="H12" s="144"/>
      <c r="I12" s="144"/>
      <c r="J12" s="144"/>
      <c r="K12" s="144"/>
    </row>
    <row r="13" customFormat="false" ht="16.5" hidden="false" customHeight="true" outlineLevel="0" collapsed="false">
      <c r="A13" s="145"/>
      <c r="B13" s="145" t="s">
        <v>99</v>
      </c>
      <c r="C13" s="145"/>
      <c r="D13" s="146" t="s">
        <v>61</v>
      </c>
      <c r="E13" s="147" t="n">
        <f aca="false">K13-(H13+I13)</f>
        <v>0</v>
      </c>
      <c r="F13" s="148" t="e">
        <f aca="false">E13/(I13+K13)</f>
        <v>#DIV/0!</v>
      </c>
      <c r="G13" s="149" t="n">
        <f aca="false">MIN(G14:G17)</f>
        <v>0</v>
      </c>
      <c r="H13" s="150" t="n">
        <f aca="false">SUM(H14:H17)</f>
        <v>0</v>
      </c>
      <c r="I13" s="150" t="n">
        <f aca="false">SUM(I14:I17)</f>
        <v>0</v>
      </c>
      <c r="J13" s="151" t="n">
        <f aca="false">MAX(J14:J17)</f>
        <v>0</v>
      </c>
      <c r="K13" s="150" t="n">
        <f aca="false">SUM(K14:K17)</f>
        <v>0</v>
      </c>
    </row>
    <row r="14" customFormat="false" ht="16.5" hidden="false" customHeight="true" outlineLevel="0" collapsed="false">
      <c r="A14" s="79"/>
      <c r="B14" s="79" t="s">
        <v>100</v>
      </c>
      <c r="C14" s="79"/>
      <c r="D14" s="19" t="s">
        <v>61</v>
      </c>
      <c r="E14" s="152" t="n">
        <f aca="false">K14-(H14+I14)</f>
        <v>0</v>
      </c>
      <c r="F14" s="153" t="e">
        <f aca="false">E14/(I14+K14)</f>
        <v>#DIV/0!</v>
      </c>
      <c r="G14" s="154" t="n">
        <f aca="false">MIN(_xlfn.MINIFS(G:G,A:A,"portefeuilles",C:C,"Retenu",G:G,"&gt;0"))</f>
        <v>0</v>
      </c>
      <c r="H14" s="152" t="n">
        <f aca="false">SUMIFS(H:H,A:A,"portefeuilles",C:C,"Retenu")</f>
        <v>0</v>
      </c>
      <c r="I14" s="152" t="n">
        <f aca="false">SUMIFS(I:I,A:A,"portefeuilles",C:C,"Retenu")</f>
        <v>0</v>
      </c>
      <c r="J14" s="154" t="n">
        <f aca="false">_xlfn.MAXIFS(J:J,A:A,"portefeuilles",C:C,"Retenu")</f>
        <v>0</v>
      </c>
      <c r="K14" s="152" t="n">
        <f aca="false">SUMIFS(K:K,A:A,"portefeuilles",C:C,"Retenu")</f>
        <v>0</v>
      </c>
    </row>
    <row r="15" customFormat="false" ht="16.5" hidden="false" customHeight="true" outlineLevel="0" collapsed="false">
      <c r="A15" s="79"/>
      <c r="B15" s="79" t="s">
        <v>101</v>
      </c>
      <c r="C15" s="79"/>
      <c r="D15" s="19" t="s">
        <v>61</v>
      </c>
      <c r="E15" s="152" t="n">
        <f aca="false">K15-(H15+I15)</f>
        <v>0</v>
      </c>
      <c r="F15" s="153" t="e">
        <f aca="false">E15/(I15+K15)</f>
        <v>#DIV/0!</v>
      </c>
      <c r="G15" s="154" t="n">
        <f aca="false">MIN(_xlfn.MINIFS(G:G,A:A,"métaux",G:G,"&gt;0"))</f>
        <v>0</v>
      </c>
      <c r="H15" s="152" t="n">
        <f aca="false">SUMIFS(H:H,A:A,"métaux")</f>
        <v>0</v>
      </c>
      <c r="I15" s="152" t="n">
        <f aca="false">SUMIFS(I:I,A:A,"métaux")</f>
        <v>0</v>
      </c>
      <c r="J15" s="154" t="n">
        <f aca="false">_xlfn.MAXIFS(J:J,A:A,"métaux")</f>
        <v>0</v>
      </c>
      <c r="K15" s="152" t="n">
        <f aca="false">SUMIFS(K:K,A:A,"métaux")</f>
        <v>0</v>
      </c>
    </row>
    <row r="16" customFormat="false" ht="16.5" hidden="false" customHeight="true" outlineLevel="0" collapsed="false">
      <c r="A16" s="79"/>
      <c r="B16" s="79" t="s">
        <v>102</v>
      </c>
      <c r="C16" s="79"/>
      <c r="D16" s="19" t="s">
        <v>61</v>
      </c>
      <c r="E16" s="152" t="n">
        <f aca="false">K16-(H16+I16)</f>
        <v>0</v>
      </c>
      <c r="F16" s="153" t="e">
        <f aca="false">E16/(I16+K16)</f>
        <v>#DIV/0!</v>
      </c>
      <c r="G16" s="154" t="n">
        <f aca="false">MIN(_xlfn.MINIFS(G:G,A:A,"crypto",G:G,"&gt;0"))</f>
        <v>0</v>
      </c>
      <c r="H16" s="152" t="n">
        <f aca="false">SUMIFS(H:H,A:A,"crypto")</f>
        <v>0</v>
      </c>
      <c r="I16" s="152" t="n">
        <f aca="false">SUMIFS(I:I,A:A,"crypto")</f>
        <v>0</v>
      </c>
      <c r="J16" s="154" t="n">
        <f aca="false">_xlfn.MAXIFS(J:J,A:A,"crypto")</f>
        <v>0</v>
      </c>
      <c r="K16" s="152" t="n">
        <f aca="false">SUMIFS(K:K,A:A,"crypto")</f>
        <v>0</v>
      </c>
    </row>
    <row r="17" customFormat="false" ht="16.5" hidden="false" customHeight="true" outlineLevel="0" collapsed="false">
      <c r="A17" s="79"/>
      <c r="B17" s="79" t="s">
        <v>103</v>
      </c>
      <c r="C17" s="79"/>
      <c r="D17" s="19" t="s">
        <v>61</v>
      </c>
      <c r="E17" s="152" t="n">
        <f aca="false">K17-(H17+I17)</f>
        <v>0</v>
      </c>
      <c r="F17" s="155" t="e">
        <f aca="false">E17/(I17+K17)</f>
        <v>#DIV/0!</v>
      </c>
      <c r="G17" s="154" t="n">
        <f aca="false">MIN(_xlfn.MINIFS(G:G,A:A,"devises",G:G,"&gt;0"))</f>
        <v>0</v>
      </c>
      <c r="H17" s="152" t="n">
        <f aca="false">SUMIFS(H:H,A:A,"devises")</f>
        <v>0</v>
      </c>
      <c r="I17" s="152" t="n">
        <f aca="false">SUMIFS(I:I,A:A,"devises")</f>
        <v>0</v>
      </c>
      <c r="J17" s="154" t="n">
        <f aca="false">_xlfn.MAXIFS(J:J,A:A,"devises")</f>
        <v>0</v>
      </c>
      <c r="K17" s="152" t="n">
        <f aca="false">SUMIFS(K:K,A:A,"devises")</f>
        <v>0</v>
      </c>
    </row>
    <row r="18" customFormat="false" ht="16.5" hidden="false" customHeight="true" outlineLevel="0" collapsed="false"/>
    <row r="19" customFormat="false" ht="16.5" hidden="false" customHeight="true" outlineLevel="0" collapsed="false">
      <c r="H19" s="156"/>
    </row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7.25" hidden="false" customHeight="true" outlineLevel="0" collapsed="false"/>
    <row r="23" customFormat="false" ht="17.25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7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32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57" t="s">
        <v>104</v>
      </c>
      <c r="B1" s="5"/>
      <c r="C1" s="5" t="str">
        <f aca="false">"Les données "&amp;année_courante&amp;" et "&amp;année_courante-1&amp;" sont complètes. Les données antérieures sont limitées à certains comptes"</f>
        <v>Les données 2026 et 2025 sont complètes. Les données antérieures sont limitées à certains comptes</v>
      </c>
      <c r="D1" s="5"/>
      <c r="E1" s="158"/>
      <c r="F1" s="14" t="s">
        <v>105</v>
      </c>
      <c r="G1" s="5"/>
      <c r="H1" s="5"/>
      <c r="I1" s="5"/>
    </row>
    <row r="2" customFormat="false" ht="16.5" hidden="false" customHeight="true" outlineLevel="0" collapsed="false">
      <c r="A2" s="159" t="n">
        <f aca="true">TODAY()</f>
        <v>46109</v>
      </c>
      <c r="B2" s="51" t="str">
        <f aca="false">Contrôles!N$22</f>
        <v>✓</v>
      </c>
      <c r="C2" s="160"/>
      <c r="D2" s="5"/>
      <c r="E2" s="158"/>
      <c r="F2" s="161" t="n">
        <v>0</v>
      </c>
      <c r="G2" s="12" t="str">
        <f aca="false">"Opérations : "&amp;COUNTIF(OPdate,"&lt;"&amp;DATE(année_courante,12,31))</f>
        <v>Opérations : 0</v>
      </c>
      <c r="H2" s="5"/>
      <c r="I2" s="5"/>
    </row>
    <row r="3" customFormat="false" ht="15.45" hidden="false" customHeight="true" outlineLevel="0" collapsed="false">
      <c r="A3" s="54" t="s">
        <v>42</v>
      </c>
      <c r="B3" s="162" t="s">
        <v>106</v>
      </c>
      <c r="C3" s="54" t="s">
        <v>43</v>
      </c>
      <c r="D3" s="54" t="s">
        <v>39</v>
      </c>
      <c r="E3" s="54" t="s">
        <v>107</v>
      </c>
      <c r="F3" s="58" t="s">
        <v>108</v>
      </c>
      <c r="G3" s="54" t="s">
        <v>109</v>
      </c>
      <c r="H3" s="54" t="s">
        <v>86</v>
      </c>
      <c r="I3" s="57" t="s">
        <v>110</v>
      </c>
    </row>
    <row r="4" customFormat="false" ht="16.5" hidden="false" customHeight="true" outlineLevel="0" collapsed="false">
      <c r="B4" s="163"/>
      <c r="C4" s="164"/>
      <c r="D4" s="165"/>
      <c r="E4" s="164"/>
      <c r="F4" s="166"/>
      <c r="G4" s="167"/>
      <c r="H4" s="167"/>
      <c r="I4" s="163"/>
    </row>
    <row r="5" customFormat="false" ht="16.5" hidden="false" customHeight="true" outlineLevel="0" collapsed="false">
      <c r="B5" s="163"/>
      <c r="C5" s="164"/>
      <c r="D5" s="165"/>
      <c r="E5" s="164"/>
      <c r="F5" s="166"/>
      <c r="G5" s="167"/>
      <c r="H5" s="167"/>
      <c r="I5" s="163"/>
    </row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3181" customFormat="false" ht="16.5" hidden="false" customHeight="true" outlineLevel="0" collapsed="false"/>
    <row r="3182" customFormat="false" ht="16.5" hidden="false" customHeight="true" outlineLevel="0" collapsed="false"/>
    <row r="3183" customFormat="false" ht="16.5" hidden="false" customHeight="true" outlineLevel="0" collapsed="false"/>
    <row r="3184" customFormat="false" ht="16.5" hidden="false" customHeight="true" outlineLevel="0" collapsed="false"/>
    <row r="3185" customFormat="false" ht="16.5" hidden="false" customHeight="true" outlineLevel="0" collapsed="false"/>
    <row r="3186" customFormat="false" ht="16.5" hidden="false" customHeight="true" outlineLevel="0" collapsed="false"/>
    <row r="3187" customFormat="false" ht="16.5" hidden="false" customHeight="true" outlineLevel="0" collapsed="false"/>
    <row r="3188" customFormat="false" ht="16.5" hidden="false" customHeight="true" outlineLevel="0" collapsed="false"/>
    <row r="3189" customFormat="false" ht="16.5" hidden="false" customHeight="true" outlineLevel="0" collapsed="false"/>
    <row r="3190" customFormat="false" ht="16.5" hidden="false" customHeight="true" outlineLevel="0" collapsed="false"/>
    <row r="3191" customFormat="false" ht="16.5" hidden="false" customHeight="true" outlineLevel="0" collapsed="false"/>
    <row r="3192" customFormat="false" ht="16.5" hidden="false" customHeight="true" outlineLevel="0" collapsed="false"/>
    <row r="3193" customFormat="false" ht="16.5" hidden="false" customHeight="true" outlineLevel="0" collapsed="false"/>
    <row r="3194" customFormat="false" ht="16.5" hidden="false" customHeight="true" outlineLevel="0" collapsed="false"/>
    <row r="3195" customFormat="false" ht="16.5" hidden="false" customHeight="true" outlineLevel="0" collapsed="false"/>
    <row r="3196" customFormat="false" ht="16.5" hidden="false" customHeight="true" outlineLevel="0" collapsed="false"/>
    <row r="3197" customFormat="false" ht="16.5" hidden="false" customHeight="true" outlineLevel="0" collapsed="false"/>
    <row r="3198" customFormat="false" ht="16.5" hidden="false" customHeight="true" outlineLevel="0" collapsed="false"/>
    <row r="3199" customFormat="false" ht="16.5" hidden="false" customHeight="true" outlineLevel="0" collapsed="false"/>
    <row r="3200" customFormat="false" ht="16.5" hidden="false" customHeight="true" outlineLevel="0" collapsed="false"/>
    <row r="3201" customFormat="false" ht="16.5" hidden="false" customHeight="true" outlineLevel="0" collapsed="false"/>
    <row r="3202" customFormat="false" ht="16.5" hidden="false" customHeight="true" outlineLevel="0" collapsed="false"/>
    <row r="3203" customFormat="false" ht="16.5" hidden="false" customHeight="true" outlineLevel="0" collapsed="false"/>
    <row r="3204" customFormat="false" ht="16.5" hidden="false" customHeight="true" outlineLevel="0" collapsed="false"/>
    <row r="3205" customFormat="false" ht="16.5" hidden="false" customHeight="true" outlineLevel="0" collapsed="false"/>
    <row r="3206" customFormat="false" ht="16.5" hidden="false" customHeight="true" outlineLevel="0" collapsed="false"/>
    <row r="3207" customFormat="false" ht="16.5" hidden="false" customHeight="true" outlineLevel="0" collapsed="false"/>
    <row r="3208" customFormat="false" ht="16.5" hidden="false" customHeight="true" outlineLevel="0" collapsed="false"/>
    <row r="3209" customFormat="false" ht="16.5" hidden="false" customHeight="true" outlineLevel="0" collapsed="false"/>
    <row r="3210" customFormat="false" ht="16.5" hidden="false" customHeight="true" outlineLevel="0" collapsed="false"/>
    <row r="3211" customFormat="false" ht="16.5" hidden="false" customHeight="true" outlineLevel="0" collapsed="false"/>
    <row r="3212" customFormat="false" ht="16.5" hidden="false" customHeight="true" outlineLevel="0" collapsed="false"/>
    <row r="3213" customFormat="false" ht="16.5" hidden="false" customHeight="true" outlineLevel="0" collapsed="false"/>
    <row r="3214" customFormat="false" ht="16.5" hidden="false" customHeight="true" outlineLevel="0" collapsed="false"/>
    <row r="3215" customFormat="false" ht="16.5" hidden="false" customHeight="true" outlineLevel="0" collapsed="false"/>
    <row r="3216" customFormat="false" ht="16.5" hidden="false" customHeight="true" outlineLevel="0" collapsed="false"/>
    <row r="3217" customFormat="false" ht="16.5" hidden="false" customHeight="true" outlineLevel="0" collapsed="false"/>
    <row r="3218" customFormat="false" ht="16.5" hidden="false" customHeight="true" outlineLevel="0" collapsed="false"/>
    <row r="3219" customFormat="false" ht="16.5" hidden="false" customHeight="true" outlineLevel="0" collapsed="false"/>
    <row r="3220" customFormat="false" ht="16.5" hidden="false" customHeight="true" outlineLevel="0" collapsed="false"/>
    <row r="3221" customFormat="false" ht="16.5" hidden="false" customHeight="true" outlineLevel="0" collapsed="false"/>
    <row r="3222" customFormat="false" ht="16.5" hidden="false" customHeight="true" outlineLevel="0" collapsed="false"/>
    <row r="3223" customFormat="false" ht="16.5" hidden="false" customHeight="true" outlineLevel="0" collapsed="false"/>
    <row r="3224" customFormat="false" ht="16.5" hidden="false" customHeight="true" outlineLevel="0" collapsed="false"/>
    <row r="3225" customFormat="false" ht="16.5" hidden="false" customHeight="true" outlineLevel="0" collapsed="false"/>
    <row r="3226" customFormat="false" ht="16.5" hidden="false" customHeight="true" outlineLevel="0" collapsed="false"/>
    <row r="3227" customFormat="false" ht="16.5" hidden="false" customHeight="true" outlineLevel="0" collapsed="false"/>
    <row r="3228" customFormat="false" ht="16.5" hidden="false" customHeight="true" outlineLevel="0" collapsed="false"/>
    <row r="3229" customFormat="false" ht="16.5" hidden="false" customHeight="true" outlineLevel="0" collapsed="false"/>
    <row r="3230" customFormat="false" ht="16.5" hidden="false" customHeight="true" outlineLevel="0" collapsed="false"/>
    <row r="3231" customFormat="false" ht="16.5" hidden="false" customHeight="true" outlineLevel="0" collapsed="false"/>
    <row r="3232" customFormat="false" ht="16.5" hidden="false" customHeight="true" outlineLevel="0" collapsed="false"/>
    <row r="3233" customFormat="false" ht="16.5" hidden="false" customHeight="true" outlineLevel="0" collapsed="false"/>
    <row r="3234" customFormat="false" ht="16.5" hidden="false" customHeight="true" outlineLevel="0" collapsed="false"/>
    <row r="3235" customFormat="false" ht="16.5" hidden="false" customHeight="true" outlineLevel="0" collapsed="false"/>
    <row r="3236" customFormat="false" ht="16.5" hidden="false" customHeight="true" outlineLevel="0" collapsed="false"/>
    <row r="3237" customFormat="false" ht="16.5" hidden="false" customHeight="true" outlineLevel="0" collapsed="false"/>
    <row r="3238" customFormat="false" ht="16.5" hidden="false" customHeight="true" outlineLevel="0" collapsed="false"/>
    <row r="3239" customFormat="false" ht="16.5" hidden="false" customHeight="true" outlineLevel="0" collapsed="false"/>
    <row r="3240" customFormat="false" ht="16.5" hidden="false" customHeight="true" outlineLevel="0" collapsed="false"/>
    <row r="3241" customFormat="false" ht="16.5" hidden="false" customHeight="true" outlineLevel="0" collapsed="false"/>
    <row r="3242" customFormat="false" ht="16.5" hidden="false" customHeight="true" outlineLevel="0" collapsed="false"/>
    <row r="3243" customFormat="false" ht="16.5" hidden="false" customHeight="true" outlineLevel="0" collapsed="false"/>
    <row r="3244" customFormat="false" ht="16.5" hidden="false" customHeight="true" outlineLevel="0" collapsed="false"/>
    <row r="3245" customFormat="false" ht="16.5" hidden="false" customHeight="true" outlineLevel="0" collapsed="false"/>
    <row r="3246" customFormat="false" ht="16.5" hidden="false" customHeight="true" outlineLevel="0" collapsed="false"/>
    <row r="3247" customFormat="false" ht="16.5" hidden="false" customHeight="true" outlineLevel="0" collapsed="false"/>
    <row r="3248" customFormat="false" ht="16.5" hidden="false" customHeight="true" outlineLevel="0" collapsed="false"/>
    <row r="3249" customFormat="false" ht="16.5" hidden="false" customHeight="true" outlineLevel="0" collapsed="false"/>
    <row r="3250" customFormat="false" ht="16.5" hidden="false" customHeight="true" outlineLevel="0" collapsed="false"/>
    <row r="3251" customFormat="false" ht="16.5" hidden="false" customHeight="true" outlineLevel="0" collapsed="false"/>
    <row r="3252" customFormat="false" ht="16.5" hidden="false" customHeight="true" outlineLevel="0" collapsed="false"/>
    <row r="3253" customFormat="false" ht="16.5" hidden="false" customHeight="true" outlineLevel="0" collapsed="false"/>
    <row r="3254" customFormat="false" ht="16.5" hidden="false" customHeight="true" outlineLevel="0" collapsed="false"/>
    <row r="3255" customFormat="false" ht="16.5" hidden="false" customHeight="true" outlineLevel="0" collapsed="false"/>
    <row r="3256" customFormat="false" ht="16.5" hidden="false" customHeight="true" outlineLevel="0" collapsed="false"/>
    <row r="3257" customFormat="false" ht="16.5" hidden="false" customHeight="true" outlineLevel="0" collapsed="false"/>
    <row r="3258" customFormat="false" ht="16.5" hidden="false" customHeight="true" outlineLevel="0" collapsed="false"/>
    <row r="3259" customFormat="false" ht="16.5" hidden="false" customHeight="true" outlineLevel="0" collapsed="false"/>
    <row r="3260" customFormat="false" ht="16.5" hidden="false" customHeight="true" outlineLevel="0" collapsed="false"/>
    <row r="3261" customFormat="false" ht="16.5" hidden="false" customHeight="true" outlineLevel="0" collapsed="false"/>
    <row r="3262" customFormat="false" ht="16.5" hidden="false" customHeight="true" outlineLevel="0" collapsed="false"/>
    <row r="3263" customFormat="false" ht="16.5" hidden="false" customHeight="true" outlineLevel="0" collapsed="false"/>
    <row r="3264" customFormat="false" ht="16.5" hidden="false" customHeight="true" outlineLevel="0" collapsed="false"/>
    <row r="3265" customFormat="false" ht="16.5" hidden="false" customHeight="true" outlineLevel="0" collapsed="false"/>
    <row r="3266" customFormat="false" ht="16.5" hidden="false" customHeight="true" outlineLevel="0" collapsed="false"/>
    <row r="3267" customFormat="false" ht="16.5" hidden="false" customHeight="true" outlineLevel="0" collapsed="false"/>
    <row r="3268" customFormat="false" ht="16.5" hidden="false" customHeight="true" outlineLevel="0" collapsed="false"/>
    <row r="3269" customFormat="false" ht="16.5" hidden="false" customHeight="true" outlineLevel="0" collapsed="false"/>
    <row r="3270" customFormat="false" ht="16.5" hidden="false" customHeight="true" outlineLevel="0" collapsed="false"/>
    <row r="3271" customFormat="false" ht="16.5" hidden="false" customHeight="true" outlineLevel="0" collapsed="false"/>
    <row r="3272" customFormat="false" ht="16.5" hidden="false" customHeight="true" outlineLevel="0" collapsed="false"/>
    <row r="3273" customFormat="false" ht="16.5" hidden="false" customHeight="true" outlineLevel="0" collapsed="false"/>
    <row r="3274" customFormat="false" ht="16.5" hidden="false" customHeight="true" outlineLevel="0" collapsed="false"/>
    <row r="3275" customFormat="false" ht="16.5" hidden="false" customHeight="true" outlineLevel="0" collapsed="false"/>
    <row r="3276" customFormat="false" ht="16.5" hidden="false" customHeight="true" outlineLevel="0" collapsed="false"/>
    <row r="3277" customFormat="false" ht="16.5" hidden="false" customHeight="true" outlineLevel="0" collapsed="false"/>
    <row r="3278" customFormat="false" ht="16.5" hidden="false" customHeight="true" outlineLevel="0" collapsed="false"/>
    <row r="3279" customFormat="false" ht="16.5" hidden="false" customHeight="true" outlineLevel="0" collapsed="false"/>
    <row r="3280" customFormat="false" ht="16.5" hidden="false" customHeight="true" outlineLevel="0" collapsed="false"/>
    <row r="3281" customFormat="false" ht="16.5" hidden="false" customHeight="true" outlineLevel="0" collapsed="false"/>
    <row r="3282" customFormat="false" ht="16.5" hidden="false" customHeight="true" outlineLevel="0" collapsed="false"/>
    <row r="3283" customFormat="false" ht="16.5" hidden="false" customHeight="true" outlineLevel="0" collapsed="false"/>
    <row r="3284" customFormat="false" ht="16.5" hidden="false" customHeight="true" outlineLevel="0" collapsed="false"/>
    <row r="3285" customFormat="false" ht="16.5" hidden="false" customHeight="true" outlineLevel="0" collapsed="false"/>
    <row r="3286" customFormat="false" ht="16.5" hidden="false" customHeight="true" outlineLevel="0" collapsed="false"/>
    <row r="3287" customFormat="false" ht="16.5" hidden="false" customHeight="true" outlineLevel="0" collapsed="false"/>
    <row r="3288" customFormat="false" ht="16.5" hidden="false" customHeight="true" outlineLevel="0" collapsed="false"/>
    <row r="3289" customFormat="false" ht="16.5" hidden="false" customHeight="true" outlineLevel="0" collapsed="false"/>
    <row r="3290" customFormat="false" ht="16.5" hidden="false" customHeight="true" outlineLevel="0" collapsed="false"/>
    <row r="3291" customFormat="false" ht="16.5" hidden="false" customHeight="true" outlineLevel="0" collapsed="false"/>
    <row r="3292" customFormat="false" ht="16.5" hidden="false" customHeight="true" outlineLevel="0" collapsed="false"/>
    <row r="3293" customFormat="false" ht="16.5" hidden="false" customHeight="true" outlineLevel="0" collapsed="false"/>
    <row r="3294" customFormat="false" ht="16.5" hidden="false" customHeight="true" outlineLevel="0" collapsed="false"/>
    <row r="3295" customFormat="false" ht="16.5" hidden="false" customHeight="true" outlineLevel="0" collapsed="false"/>
    <row r="3296" customFormat="false" ht="16.5" hidden="false" customHeight="true" outlineLevel="0" collapsed="false"/>
    <row r="3297" customFormat="false" ht="16.5" hidden="false" customHeight="true" outlineLevel="0" collapsed="false"/>
    <row r="3298" customFormat="false" ht="16.5" hidden="false" customHeight="true" outlineLevel="0" collapsed="false"/>
    <row r="3299" customFormat="false" ht="16.5" hidden="false" customHeight="true" outlineLevel="0" collapsed="false"/>
    <row r="3300" customFormat="false" ht="16.5" hidden="false" customHeight="true" outlineLevel="0" collapsed="false"/>
    <row r="3301" customFormat="false" ht="16.5" hidden="false" customHeight="true" outlineLevel="0" collapsed="false"/>
    <row r="3302" customFormat="false" ht="16.5" hidden="false" customHeight="true" outlineLevel="0" collapsed="false"/>
    <row r="3303" customFormat="false" ht="16.5" hidden="false" customHeight="true" outlineLevel="0" collapsed="false"/>
    <row r="3304" customFormat="false" ht="16.5" hidden="false" customHeight="true" outlineLevel="0" collapsed="false"/>
    <row r="3305" customFormat="false" ht="16.5" hidden="false" customHeight="true" outlineLevel="0" collapsed="false"/>
    <row r="3306" customFormat="false" ht="16.5" hidden="false" customHeight="true" outlineLevel="0" collapsed="false"/>
    <row r="3307" customFormat="false" ht="16.5" hidden="false" customHeight="true" outlineLevel="0" collapsed="false"/>
    <row r="3308" customFormat="false" ht="16.5" hidden="false" customHeight="true" outlineLevel="0" collapsed="false"/>
    <row r="3309" customFormat="false" ht="16.5" hidden="false" customHeight="true" outlineLevel="0" collapsed="false"/>
    <row r="3310" customFormat="false" ht="16.5" hidden="false" customHeight="true" outlineLevel="0" collapsed="false"/>
    <row r="3311" customFormat="false" ht="16.5" hidden="false" customHeight="true" outlineLevel="0" collapsed="false"/>
    <row r="3312" customFormat="false" ht="16.5" hidden="false" customHeight="true" outlineLevel="0" collapsed="false"/>
    <row r="3313" customFormat="false" ht="16.5" hidden="false" customHeight="true" outlineLevel="0" collapsed="false"/>
    <row r="3314" customFormat="false" ht="16.5" hidden="false" customHeight="true" outlineLevel="0" collapsed="false"/>
    <row r="3315" customFormat="false" ht="16.5" hidden="false" customHeight="true" outlineLevel="0" collapsed="false"/>
    <row r="3316" customFormat="false" ht="16.5" hidden="false" customHeight="true" outlineLevel="0" collapsed="false"/>
    <row r="3317" customFormat="false" ht="16.5" hidden="false" customHeight="true" outlineLevel="0" collapsed="false"/>
    <row r="3318" customFormat="false" ht="16.5" hidden="false" customHeight="true" outlineLevel="0" collapsed="false"/>
    <row r="3319" customFormat="false" ht="16.5" hidden="false" customHeight="true" outlineLevel="0" collapsed="false"/>
    <row r="3320" customFormat="false" ht="16.5" hidden="false" customHeight="true" outlineLevel="0" collapsed="false"/>
    <row r="3321" customFormat="false" ht="16.5" hidden="false" customHeight="true" outlineLevel="0" collapsed="false"/>
    <row r="3322" customFormat="false" ht="16.5" hidden="false" customHeight="true" outlineLevel="0" collapsed="false"/>
    <row r="3323" customFormat="false" ht="16.5" hidden="false" customHeight="true" outlineLevel="0" collapsed="false"/>
    <row r="3324" customFormat="false" ht="16.5" hidden="false" customHeight="true" outlineLevel="0" collapsed="false"/>
    <row r="3325" customFormat="false" ht="16.5" hidden="false" customHeight="true" outlineLevel="0" collapsed="false"/>
    <row r="3326" customFormat="false" ht="16.5" hidden="false" customHeight="true" outlineLevel="0" collapsed="false"/>
    <row r="3327" customFormat="false" ht="16.5" hidden="false" customHeight="true" outlineLevel="0" collapsed="false"/>
    <row r="3328" customFormat="false" ht="16.5" hidden="false" customHeight="true" outlineLevel="0" collapsed="false"/>
    <row r="3329" customFormat="false" ht="16.5" hidden="false" customHeight="true" outlineLevel="0" collapsed="false"/>
    <row r="3330" customFormat="false" ht="16.5" hidden="false" customHeight="true" outlineLevel="0" collapsed="false"/>
    <row r="3331" customFormat="false" ht="16.5" hidden="false" customHeight="true" outlineLevel="0" collapsed="false"/>
    <row r="3332" customFormat="false" ht="16.5" hidden="false" customHeight="true" outlineLevel="0" collapsed="false"/>
    <row r="3333" customFormat="false" ht="16.5" hidden="false" customHeight="true" outlineLevel="0" collapsed="false"/>
    <row r="3334" customFormat="false" ht="16.5" hidden="false" customHeight="true" outlineLevel="0" collapsed="false"/>
    <row r="3335" customFormat="false" ht="16.5" hidden="false" customHeight="true" outlineLevel="0" collapsed="false"/>
    <row r="3336" customFormat="false" ht="16.5" hidden="false" customHeight="true" outlineLevel="0" collapsed="false"/>
    <row r="3337" customFormat="false" ht="16.5" hidden="false" customHeight="true" outlineLevel="0" collapsed="false"/>
    <row r="3338" customFormat="false" ht="16.5" hidden="false" customHeight="true" outlineLevel="0" collapsed="false"/>
    <row r="3339" customFormat="false" ht="16.5" hidden="false" customHeight="true" outlineLevel="0" collapsed="false"/>
    <row r="3340" customFormat="false" ht="16.5" hidden="false" customHeight="true" outlineLevel="0" collapsed="false"/>
    <row r="3341" customFormat="false" ht="16.5" hidden="false" customHeight="true" outlineLevel="0" collapsed="false"/>
    <row r="3342" customFormat="false" ht="16.5" hidden="false" customHeight="true" outlineLevel="0" collapsed="false"/>
    <row r="3343" customFormat="false" ht="16.5" hidden="false" customHeight="true" outlineLevel="0" collapsed="false"/>
    <row r="3344" customFormat="false" ht="16.5" hidden="false" customHeight="true" outlineLevel="0" collapsed="false"/>
    <row r="3345" customFormat="false" ht="16.5" hidden="false" customHeight="true" outlineLevel="0" collapsed="false"/>
    <row r="3346" customFormat="false" ht="16.5" hidden="false" customHeight="true" outlineLevel="0" collapsed="false"/>
    <row r="3347" customFormat="false" ht="16.5" hidden="false" customHeight="true" outlineLevel="0" collapsed="false"/>
    <row r="3348" customFormat="false" ht="16.5" hidden="false" customHeight="true" outlineLevel="0" collapsed="false"/>
    <row r="3349" customFormat="false" ht="16.5" hidden="false" customHeight="true" outlineLevel="0" collapsed="false"/>
    <row r="3350" customFormat="false" ht="16.5" hidden="false" customHeight="true" outlineLevel="0" collapsed="false"/>
    <row r="3351" customFormat="false" ht="16.5" hidden="false" customHeight="true" outlineLevel="0" collapsed="false"/>
    <row r="3352" customFormat="false" ht="16.5" hidden="false" customHeight="true" outlineLevel="0" collapsed="false"/>
    <row r="3353" customFormat="false" ht="16.5" hidden="false" customHeight="true" outlineLevel="0" collapsed="false"/>
    <row r="3354" customFormat="false" ht="16.5" hidden="false" customHeight="true" outlineLevel="0" collapsed="false"/>
    <row r="3355" customFormat="false" ht="16.5" hidden="false" customHeight="true" outlineLevel="0" collapsed="false"/>
    <row r="3356" customFormat="false" ht="16.5" hidden="false" customHeight="true" outlineLevel="0" collapsed="false"/>
    <row r="3357" customFormat="false" ht="16.5" hidden="false" customHeight="true" outlineLevel="0" collapsed="false"/>
    <row r="3358" customFormat="false" ht="16.5" hidden="false" customHeight="true" outlineLevel="0" collapsed="false"/>
    <row r="3359" customFormat="false" ht="16.5" hidden="false" customHeight="true" outlineLevel="0" collapsed="false"/>
    <row r="3360" customFormat="false" ht="16.5" hidden="false" customHeight="true" outlineLevel="0" collapsed="false"/>
    <row r="3361" customFormat="false" ht="16.5" hidden="false" customHeight="true" outlineLevel="0" collapsed="false"/>
    <row r="3362" customFormat="false" ht="16.5" hidden="false" customHeight="true" outlineLevel="0" collapsed="false"/>
    <row r="3363" customFormat="false" ht="16.5" hidden="false" customHeight="true" outlineLevel="0" collapsed="false"/>
    <row r="3364" customFormat="false" ht="16.5" hidden="false" customHeight="true" outlineLevel="0" collapsed="false"/>
    <row r="3365" customFormat="false" ht="16.5" hidden="false" customHeight="true" outlineLevel="0" collapsed="false"/>
    <row r="3366" customFormat="false" ht="16.5" hidden="false" customHeight="true" outlineLevel="0" collapsed="false"/>
    <row r="3367" customFormat="false" ht="16.5" hidden="false" customHeight="true" outlineLevel="0" collapsed="false"/>
    <row r="3368" customFormat="false" ht="16.5" hidden="false" customHeight="true" outlineLevel="0" collapsed="false"/>
    <row r="3369" customFormat="false" ht="16.5" hidden="false" customHeight="true" outlineLevel="0" collapsed="false"/>
    <row r="3370" customFormat="false" ht="16.5" hidden="false" customHeight="true" outlineLevel="0" collapsed="false"/>
    <row r="3371" customFormat="false" ht="16.5" hidden="false" customHeight="true" outlineLevel="0" collapsed="false"/>
    <row r="3372" customFormat="false" ht="16.5" hidden="false" customHeight="true" outlineLevel="0" collapsed="false"/>
    <row r="3373" customFormat="false" ht="16.5" hidden="false" customHeight="true" outlineLevel="0" collapsed="false"/>
    <row r="3374" customFormat="false" ht="16.5" hidden="false" customHeight="true" outlineLevel="0" collapsed="false"/>
    <row r="3375" customFormat="false" ht="16.5" hidden="false" customHeight="true" outlineLevel="0" collapsed="false"/>
    <row r="3376" customFormat="false" ht="16.5" hidden="false" customHeight="true" outlineLevel="0" collapsed="false"/>
    <row r="3377" customFormat="false" ht="16.5" hidden="false" customHeight="true" outlineLevel="0" collapsed="false"/>
    <row r="3378" customFormat="false" ht="16.5" hidden="false" customHeight="true" outlineLevel="0" collapsed="false"/>
    <row r="3379" customFormat="false" ht="16.5" hidden="false" customHeight="true" outlineLevel="0" collapsed="false"/>
    <row r="3380" customFormat="false" ht="16.5" hidden="false" customHeight="true" outlineLevel="0" collapsed="false"/>
    <row r="3381" customFormat="false" ht="16.5" hidden="false" customHeight="true" outlineLevel="0" collapsed="false"/>
    <row r="3382" customFormat="false" ht="16.5" hidden="false" customHeight="true" outlineLevel="0" collapsed="false"/>
    <row r="3383" customFormat="false" ht="16.5" hidden="false" customHeight="true" outlineLevel="0" collapsed="false"/>
    <row r="3384" customFormat="false" ht="16.5" hidden="false" customHeight="true" outlineLevel="0" collapsed="false"/>
    <row r="3385" customFormat="false" ht="16.5" hidden="false" customHeight="true" outlineLevel="0" collapsed="false"/>
    <row r="3386" customFormat="false" ht="16.5" hidden="false" customHeight="true" outlineLevel="0" collapsed="false"/>
    <row r="3387" customFormat="false" ht="16.5" hidden="false" customHeight="true" outlineLevel="0" collapsed="false"/>
    <row r="3388" customFormat="false" ht="16.5" hidden="false" customHeight="true" outlineLevel="0" collapsed="false"/>
    <row r="3389" customFormat="false" ht="16.5" hidden="false" customHeight="true" outlineLevel="0" collapsed="false"/>
    <row r="3390" customFormat="false" ht="16.5" hidden="false" customHeight="true" outlineLevel="0" collapsed="false"/>
    <row r="3391" customFormat="false" ht="16.5" hidden="false" customHeight="true" outlineLevel="0" collapsed="false"/>
    <row r="3392" customFormat="false" ht="16.5" hidden="false" customHeight="true" outlineLevel="0" collapsed="false"/>
    <row r="3393" customFormat="false" ht="16.5" hidden="false" customHeight="true" outlineLevel="0" collapsed="false"/>
    <row r="3394" customFormat="false" ht="16.5" hidden="false" customHeight="true" outlineLevel="0" collapsed="false"/>
    <row r="3395" customFormat="false" ht="16.5" hidden="false" customHeight="true" outlineLevel="0" collapsed="false"/>
    <row r="3396" customFormat="false" ht="16.5" hidden="false" customHeight="true" outlineLevel="0" collapsed="false"/>
    <row r="3397" customFormat="false" ht="16.5" hidden="false" customHeight="true" outlineLevel="0" collapsed="false"/>
    <row r="3398" customFormat="false" ht="16.5" hidden="false" customHeight="true" outlineLevel="0" collapsed="false"/>
    <row r="3399" customFormat="false" ht="16.5" hidden="false" customHeight="true" outlineLevel="0" collapsed="false"/>
    <row r="3400" customFormat="false" ht="16.5" hidden="false" customHeight="true" outlineLevel="0" collapsed="false"/>
    <row r="3401" customFormat="false" ht="16.5" hidden="false" customHeight="true" outlineLevel="0" collapsed="false"/>
    <row r="3402" customFormat="false" ht="16.5" hidden="false" customHeight="true" outlineLevel="0" collapsed="false"/>
    <row r="3403" customFormat="false" ht="16.5" hidden="false" customHeight="true" outlineLevel="0" collapsed="false"/>
    <row r="3404" customFormat="false" ht="16.5" hidden="false" customHeight="true" outlineLevel="0" collapsed="false"/>
    <row r="3405" customFormat="false" ht="16.5" hidden="false" customHeight="true" outlineLevel="0" collapsed="false"/>
    <row r="3406" customFormat="false" ht="16.5" hidden="false" customHeight="true" outlineLevel="0" collapsed="false"/>
    <row r="3407" customFormat="false" ht="16.5" hidden="false" customHeight="true" outlineLevel="0" collapsed="false"/>
    <row r="3408" customFormat="false" ht="16.5" hidden="false" customHeight="true" outlineLevel="0" collapsed="false"/>
    <row r="3409" customFormat="false" ht="16.5" hidden="false" customHeight="true" outlineLevel="0" collapsed="false"/>
    <row r="3410" customFormat="false" ht="16.5" hidden="false" customHeight="true" outlineLevel="0" collapsed="false"/>
    <row r="3411" customFormat="false" ht="16.5" hidden="false" customHeight="true" outlineLevel="0" collapsed="false"/>
    <row r="3412" customFormat="false" ht="16.5" hidden="false" customHeight="true" outlineLevel="0" collapsed="false"/>
    <row r="3413" customFormat="false" ht="16.5" hidden="false" customHeight="true" outlineLevel="0" collapsed="false"/>
    <row r="3414" customFormat="false" ht="16.5" hidden="false" customHeight="true" outlineLevel="0" collapsed="false"/>
    <row r="3415" customFormat="false" ht="16.5" hidden="false" customHeight="true" outlineLevel="0" collapsed="false"/>
    <row r="3416" customFormat="false" ht="16.5" hidden="false" customHeight="true" outlineLevel="0" collapsed="false"/>
    <row r="3417" customFormat="false" ht="16.5" hidden="false" customHeight="true" outlineLevel="0" collapsed="false"/>
    <row r="3418" customFormat="false" ht="16.5" hidden="false" customHeight="true" outlineLevel="0" collapsed="false"/>
    <row r="3419" customFormat="false" ht="16.5" hidden="false" customHeight="true" outlineLevel="0" collapsed="false"/>
    <row r="3420" customFormat="false" ht="16.5" hidden="false" customHeight="true" outlineLevel="0" collapsed="false"/>
    <row r="3421" customFormat="false" ht="16.5" hidden="false" customHeight="true" outlineLevel="0" collapsed="false"/>
    <row r="3422" customFormat="false" ht="16.5" hidden="false" customHeight="true" outlineLevel="0" collapsed="false"/>
    <row r="3423" customFormat="false" ht="16.5" hidden="false" customHeight="true" outlineLevel="0" collapsed="false"/>
    <row r="3424" customFormat="false" ht="16.5" hidden="false" customHeight="true" outlineLevel="0" collapsed="false"/>
    <row r="3425" customFormat="false" ht="16.5" hidden="false" customHeight="true" outlineLevel="0" collapsed="false"/>
    <row r="3426" customFormat="false" ht="16.5" hidden="false" customHeight="true" outlineLevel="0" collapsed="false"/>
    <row r="3427" customFormat="false" ht="16.5" hidden="false" customHeight="true" outlineLevel="0" collapsed="false"/>
    <row r="3428" customFormat="false" ht="16.5" hidden="false" customHeight="true" outlineLevel="0" collapsed="false"/>
    <row r="3429" customFormat="false" ht="16.5" hidden="false" customHeight="true" outlineLevel="0" collapsed="false"/>
    <row r="3430" customFormat="false" ht="16.5" hidden="false" customHeight="true" outlineLevel="0" collapsed="false"/>
    <row r="3431" customFormat="false" ht="16.5" hidden="false" customHeight="true" outlineLevel="0" collapsed="false"/>
    <row r="3432" customFormat="false" ht="16.5" hidden="false" customHeight="true" outlineLevel="0" collapsed="false"/>
    <row r="3433" customFormat="false" ht="16.5" hidden="false" customHeight="true" outlineLevel="0" collapsed="false"/>
    <row r="3434" customFormat="false" ht="16.5" hidden="false" customHeight="true" outlineLevel="0" collapsed="false"/>
    <row r="3435" customFormat="false" ht="16.5" hidden="false" customHeight="true" outlineLevel="0" collapsed="false"/>
    <row r="3436" customFormat="false" ht="16.5" hidden="false" customHeight="true" outlineLevel="0" collapsed="false"/>
    <row r="3437" customFormat="false" ht="16.5" hidden="false" customHeight="true" outlineLevel="0" collapsed="false"/>
    <row r="3438" customFormat="false" ht="16.5" hidden="false" customHeight="true" outlineLevel="0" collapsed="false"/>
    <row r="3439" customFormat="false" ht="16.5" hidden="false" customHeight="true" outlineLevel="0" collapsed="false"/>
    <row r="3440" customFormat="false" ht="16.5" hidden="false" customHeight="true" outlineLevel="0" collapsed="false"/>
    <row r="3441" customFormat="false" ht="16.5" hidden="false" customHeight="true" outlineLevel="0" collapsed="false"/>
    <row r="3442" customFormat="false" ht="16.5" hidden="false" customHeight="true" outlineLevel="0" collapsed="false"/>
    <row r="3443" customFormat="false" ht="16.5" hidden="false" customHeight="true" outlineLevel="0" collapsed="false"/>
    <row r="3444" customFormat="false" ht="16.5" hidden="false" customHeight="true" outlineLevel="0" collapsed="false"/>
    <row r="3445" customFormat="false" ht="16.5" hidden="false" customHeight="true" outlineLevel="0" collapsed="false"/>
    <row r="3446" customFormat="false" ht="16.5" hidden="false" customHeight="true" outlineLevel="0" collapsed="false"/>
    <row r="3447" customFormat="false" ht="16.5" hidden="false" customHeight="true" outlineLevel="0" collapsed="false"/>
    <row r="3448" customFormat="false" ht="16.5" hidden="false" customHeight="true" outlineLevel="0" collapsed="false"/>
    <row r="3449" customFormat="false" ht="16.5" hidden="false" customHeight="true" outlineLevel="0" collapsed="false"/>
    <row r="3450" customFormat="false" ht="16.5" hidden="false" customHeight="true" outlineLevel="0" collapsed="false"/>
    <row r="3451" customFormat="false" ht="16.5" hidden="false" customHeight="true" outlineLevel="0" collapsed="false"/>
    <row r="3452" customFormat="false" ht="16.5" hidden="false" customHeight="true" outlineLevel="0" collapsed="false"/>
    <row r="3453" customFormat="false" ht="16.5" hidden="false" customHeight="true" outlineLevel="0" collapsed="false"/>
    <row r="3454" customFormat="false" ht="16.5" hidden="false" customHeight="true" outlineLevel="0" collapsed="false"/>
    <row r="3455" customFormat="false" ht="16.5" hidden="false" customHeight="true" outlineLevel="0" collapsed="false"/>
    <row r="3456" customFormat="false" ht="16.5" hidden="false" customHeight="true" outlineLevel="0" collapsed="false"/>
    <row r="3457" customFormat="false" ht="16.5" hidden="false" customHeight="true" outlineLevel="0" collapsed="false"/>
    <row r="3458" customFormat="false" ht="16.5" hidden="false" customHeight="true" outlineLevel="0" collapsed="false"/>
    <row r="3459" customFormat="false" ht="16.5" hidden="false" customHeight="true" outlineLevel="0" collapsed="false"/>
    <row r="3460" customFormat="false" ht="16.5" hidden="false" customHeight="true" outlineLevel="0" collapsed="false"/>
    <row r="3461" customFormat="false" ht="16.5" hidden="false" customHeight="true" outlineLevel="0" collapsed="false"/>
    <row r="3462" customFormat="false" ht="16.5" hidden="false" customHeight="true" outlineLevel="0" collapsed="false"/>
    <row r="3463" customFormat="false" ht="16.5" hidden="false" customHeight="true" outlineLevel="0" collapsed="false"/>
    <row r="3464" customFormat="false" ht="16.5" hidden="false" customHeight="true" outlineLevel="0" collapsed="false"/>
    <row r="3465" customFormat="false" ht="16.5" hidden="false" customHeight="true" outlineLevel="0" collapsed="false"/>
    <row r="3466" customFormat="false" ht="16.5" hidden="false" customHeight="true" outlineLevel="0" collapsed="false"/>
    <row r="3467" customFormat="false" ht="16.5" hidden="false" customHeight="true" outlineLevel="0" collapsed="false"/>
    <row r="3468" customFormat="false" ht="16.5" hidden="false" customHeight="true" outlineLevel="0" collapsed="false"/>
    <row r="3469" customFormat="false" ht="16.5" hidden="false" customHeight="true" outlineLevel="0" collapsed="false"/>
    <row r="3470" customFormat="false" ht="16.5" hidden="false" customHeight="true" outlineLevel="0" collapsed="false"/>
    <row r="3471" customFormat="false" ht="16.5" hidden="false" customHeight="true" outlineLevel="0" collapsed="false"/>
    <row r="3472" customFormat="false" ht="16.5" hidden="false" customHeight="true" outlineLevel="0" collapsed="false"/>
    <row r="3473" customFormat="false" ht="16.5" hidden="false" customHeight="true" outlineLevel="0" collapsed="false"/>
    <row r="3474" customFormat="false" ht="16.5" hidden="false" customHeight="true" outlineLevel="0" collapsed="false"/>
    <row r="3475" customFormat="false" ht="16.5" hidden="false" customHeight="true" outlineLevel="0" collapsed="false"/>
    <row r="3476" customFormat="false" ht="16.5" hidden="false" customHeight="true" outlineLevel="0" collapsed="false"/>
    <row r="3477" customFormat="false" ht="16.5" hidden="false" customHeight="true" outlineLevel="0" collapsed="false"/>
    <row r="3478" customFormat="false" ht="16.5" hidden="false" customHeight="true" outlineLevel="0" collapsed="false"/>
    <row r="3479" customFormat="false" ht="16.5" hidden="false" customHeight="true" outlineLevel="0" collapsed="false"/>
    <row r="3480" customFormat="false" ht="16.5" hidden="false" customHeight="true" outlineLevel="0" collapsed="false"/>
    <row r="3481" customFormat="false" ht="16.5" hidden="false" customHeight="true" outlineLevel="0" collapsed="false"/>
    <row r="3482" customFormat="false" ht="16.5" hidden="false" customHeight="true" outlineLevel="0" collapsed="false"/>
    <row r="3483" customFormat="false" ht="16.5" hidden="false" customHeight="true" outlineLevel="0" collapsed="false"/>
    <row r="3484" customFormat="false" ht="16.5" hidden="false" customHeight="true" outlineLevel="0" collapsed="false"/>
    <row r="3485" customFormat="false" ht="16.5" hidden="false" customHeight="true" outlineLevel="0" collapsed="false"/>
    <row r="3486" customFormat="false" ht="16.5" hidden="false" customHeight="true" outlineLevel="0" collapsed="false"/>
    <row r="3487" customFormat="false" ht="16.5" hidden="false" customHeight="true" outlineLevel="0" collapsed="false"/>
    <row r="3488" customFormat="false" ht="16.5" hidden="false" customHeight="true" outlineLevel="0" collapsed="false"/>
    <row r="3489" customFormat="false" ht="16.5" hidden="false" customHeight="true" outlineLevel="0" collapsed="false"/>
    <row r="3490" customFormat="false" ht="16.5" hidden="false" customHeight="true" outlineLevel="0" collapsed="false"/>
    <row r="3491" customFormat="false" ht="16.5" hidden="false" customHeight="true" outlineLevel="0" collapsed="false"/>
    <row r="3492" customFormat="false" ht="16.5" hidden="false" customHeight="true" outlineLevel="0" collapsed="false"/>
    <row r="3493" customFormat="false" ht="16.5" hidden="false" customHeight="true" outlineLevel="0" collapsed="false"/>
    <row r="3494" customFormat="false" ht="16.5" hidden="false" customHeight="true" outlineLevel="0" collapsed="false"/>
    <row r="3495" customFormat="false" ht="16.5" hidden="false" customHeight="true" outlineLevel="0" collapsed="false"/>
    <row r="3496" customFormat="false" ht="16.5" hidden="false" customHeight="true" outlineLevel="0" collapsed="false"/>
    <row r="3497" customFormat="false" ht="16.5" hidden="false" customHeight="true" outlineLevel="0" collapsed="false"/>
    <row r="3498" customFormat="false" ht="16.5" hidden="false" customHeight="true" outlineLevel="0" collapsed="false"/>
    <row r="3499" customFormat="false" ht="16.5" hidden="false" customHeight="true" outlineLevel="0" collapsed="false"/>
    <row r="3500" customFormat="false" ht="16.5" hidden="false" customHeight="true" outlineLevel="0" collapsed="false"/>
    <row r="3501" customFormat="false" ht="16.5" hidden="false" customHeight="true" outlineLevel="0" collapsed="false"/>
    <row r="3502" customFormat="false" ht="16.5" hidden="false" customHeight="true" outlineLevel="0" collapsed="false"/>
    <row r="3503" customFormat="false" ht="16.5" hidden="false" customHeight="true" outlineLevel="0" collapsed="false"/>
    <row r="3504" customFormat="false" ht="16.5" hidden="false" customHeight="true" outlineLevel="0" collapsed="false"/>
    <row r="3505" customFormat="false" ht="16.5" hidden="false" customHeight="true" outlineLevel="0" collapsed="false"/>
    <row r="3506" customFormat="false" ht="16.5" hidden="false" customHeight="true" outlineLevel="0" collapsed="false"/>
    <row r="3507" customFormat="false" ht="16.5" hidden="false" customHeight="true" outlineLevel="0" collapsed="false"/>
    <row r="3508" customFormat="false" ht="16.5" hidden="false" customHeight="true" outlineLevel="0" collapsed="false"/>
    <row r="3509" customFormat="false" ht="16.5" hidden="false" customHeight="true" outlineLevel="0" collapsed="false"/>
    <row r="3510" customFormat="false" ht="16.5" hidden="false" customHeight="true" outlineLevel="0" collapsed="false"/>
    <row r="3511" customFormat="false" ht="16.5" hidden="false" customHeight="true" outlineLevel="0" collapsed="false"/>
    <row r="3512" customFormat="false" ht="16.5" hidden="false" customHeight="true" outlineLevel="0" collapsed="false"/>
    <row r="3513" customFormat="false" ht="16.5" hidden="false" customHeight="true" outlineLevel="0" collapsed="false"/>
    <row r="3514" customFormat="false" ht="16.5" hidden="false" customHeight="true" outlineLevel="0" collapsed="false"/>
    <row r="3515" customFormat="false" ht="16.5" hidden="false" customHeight="true" outlineLevel="0" collapsed="false"/>
    <row r="3516" customFormat="false" ht="16.5" hidden="false" customHeight="true" outlineLevel="0" collapsed="false"/>
    <row r="3517" customFormat="false" ht="16.5" hidden="false" customHeight="true" outlineLevel="0" collapsed="false"/>
    <row r="3518" customFormat="false" ht="16.5" hidden="false" customHeight="true" outlineLevel="0" collapsed="false"/>
    <row r="3519" customFormat="false" ht="16.5" hidden="false" customHeight="true" outlineLevel="0" collapsed="false"/>
    <row r="3520" customFormat="false" ht="16.5" hidden="false" customHeight="true" outlineLevel="0" collapsed="false"/>
    <row r="3521" customFormat="false" ht="16.5" hidden="false" customHeight="true" outlineLevel="0" collapsed="false"/>
    <row r="3522" customFormat="false" ht="16.5" hidden="false" customHeight="true" outlineLevel="0" collapsed="false"/>
    <row r="3523" customFormat="false" ht="16.5" hidden="false" customHeight="true" outlineLevel="0" collapsed="false"/>
    <row r="3524" customFormat="false" ht="16.5" hidden="false" customHeight="true" outlineLevel="0" collapsed="false"/>
    <row r="3525" customFormat="false" ht="16.5" hidden="false" customHeight="true" outlineLevel="0" collapsed="false"/>
    <row r="3526" customFormat="false" ht="16.5" hidden="false" customHeight="true" outlineLevel="0" collapsed="false"/>
    <row r="3527" customFormat="false" ht="16.5" hidden="false" customHeight="true" outlineLevel="0" collapsed="false"/>
    <row r="3528" customFormat="false" ht="16.5" hidden="false" customHeight="true" outlineLevel="0" collapsed="false"/>
    <row r="3529" customFormat="false" ht="16.5" hidden="false" customHeight="true" outlineLevel="0" collapsed="false"/>
    <row r="3530" customFormat="false" ht="16.5" hidden="false" customHeight="true" outlineLevel="0" collapsed="false"/>
    <row r="3531" customFormat="false" ht="16.5" hidden="false" customHeight="true" outlineLevel="0" collapsed="false"/>
    <row r="3532" customFormat="false" ht="16.5" hidden="false" customHeight="true" outlineLevel="0" collapsed="false"/>
    <row r="3533" customFormat="false" ht="16.5" hidden="false" customHeight="true" outlineLevel="0" collapsed="false"/>
    <row r="3534" customFormat="false" ht="16.5" hidden="false" customHeight="true" outlineLevel="0" collapsed="false"/>
    <row r="3535" customFormat="false" ht="16.5" hidden="false" customHeight="true" outlineLevel="0" collapsed="false"/>
    <row r="3536" customFormat="false" ht="16.5" hidden="false" customHeight="true" outlineLevel="0" collapsed="false"/>
    <row r="3537" customFormat="false" ht="16.5" hidden="false" customHeight="true" outlineLevel="0" collapsed="false"/>
    <row r="3538" customFormat="false" ht="16.5" hidden="false" customHeight="true" outlineLevel="0" collapsed="false"/>
    <row r="3539" customFormat="false" ht="16.5" hidden="false" customHeight="true" outlineLevel="0" collapsed="false"/>
    <row r="3540" customFormat="false" ht="16.5" hidden="false" customHeight="true" outlineLevel="0" collapsed="false"/>
    <row r="3541" customFormat="false" ht="16.5" hidden="false" customHeight="true" outlineLevel="0" collapsed="false"/>
    <row r="3542" customFormat="false" ht="16.5" hidden="false" customHeight="true" outlineLevel="0" collapsed="false"/>
    <row r="3543" customFormat="false" ht="16.5" hidden="false" customHeight="true" outlineLevel="0" collapsed="false"/>
    <row r="3544" customFormat="false" ht="16.5" hidden="false" customHeight="true" outlineLevel="0" collapsed="false"/>
    <row r="3545" customFormat="false" ht="16.5" hidden="false" customHeight="true" outlineLevel="0" collapsed="false"/>
    <row r="3546" customFormat="false" ht="16.5" hidden="false" customHeight="true" outlineLevel="0" collapsed="false"/>
    <row r="3547" customFormat="false" ht="16.5" hidden="false" customHeight="true" outlineLevel="0" collapsed="false"/>
    <row r="3548" customFormat="false" ht="16.5" hidden="false" customHeight="true" outlineLevel="0" collapsed="false"/>
    <row r="3549" customFormat="false" ht="16.5" hidden="false" customHeight="true" outlineLevel="0" collapsed="false"/>
    <row r="3550" customFormat="false" ht="16.5" hidden="false" customHeight="true" outlineLevel="0" collapsed="false"/>
    <row r="3551" customFormat="false" ht="16.5" hidden="false" customHeight="true" outlineLevel="0" collapsed="false"/>
    <row r="3552" customFormat="false" ht="16.5" hidden="false" customHeight="true" outlineLevel="0" collapsed="false"/>
    <row r="3553" customFormat="false" ht="16.5" hidden="false" customHeight="true" outlineLevel="0" collapsed="false"/>
    <row r="3554" customFormat="false" ht="16.5" hidden="false" customHeight="true" outlineLevel="0" collapsed="false"/>
    <row r="3555" customFormat="false" ht="16.5" hidden="false" customHeight="true" outlineLevel="0" collapsed="false"/>
    <row r="3556" customFormat="false" ht="16.5" hidden="false" customHeight="true" outlineLevel="0" collapsed="false"/>
    <row r="3557" customFormat="false" ht="16.5" hidden="false" customHeight="true" outlineLevel="0" collapsed="false"/>
    <row r="3558" customFormat="false" ht="16.5" hidden="false" customHeight="true" outlineLevel="0" collapsed="false"/>
    <row r="3559" customFormat="false" ht="16.5" hidden="false" customHeight="true" outlineLevel="0" collapsed="false"/>
    <row r="3560" customFormat="false" ht="16.5" hidden="false" customHeight="true" outlineLevel="0" collapsed="false"/>
    <row r="3561" customFormat="false" ht="16.5" hidden="false" customHeight="true" outlineLevel="0" collapsed="false"/>
    <row r="3562" customFormat="false" ht="16.5" hidden="false" customHeight="true" outlineLevel="0" collapsed="false"/>
    <row r="3563" customFormat="false" ht="16.5" hidden="false" customHeight="true" outlineLevel="0" collapsed="false"/>
    <row r="3564" customFormat="false" ht="16.5" hidden="false" customHeight="true" outlineLevel="0" collapsed="false"/>
    <row r="3565" customFormat="false" ht="16.5" hidden="false" customHeight="true" outlineLevel="0" collapsed="false"/>
    <row r="3566" customFormat="false" ht="16.5" hidden="false" customHeight="true" outlineLevel="0" collapsed="false"/>
    <row r="3567" customFormat="false" ht="16.5" hidden="false" customHeight="true" outlineLevel="0" collapsed="false"/>
    <row r="3568" customFormat="false" ht="16.5" hidden="false" customHeight="true" outlineLevel="0" collapsed="false"/>
    <row r="3569" customFormat="false" ht="16.5" hidden="false" customHeight="true" outlineLevel="0" collapsed="false"/>
    <row r="3570" customFormat="false" ht="16.5" hidden="false" customHeight="true" outlineLevel="0" collapsed="false"/>
    <row r="3571" customFormat="false" ht="16.5" hidden="false" customHeight="true" outlineLevel="0" collapsed="false"/>
    <row r="3572" customFormat="false" ht="16.5" hidden="false" customHeight="true" outlineLevel="0" collapsed="false"/>
    <row r="3573" customFormat="false" ht="16.5" hidden="false" customHeight="true" outlineLevel="0" collapsed="false"/>
    <row r="3574" customFormat="false" ht="16.5" hidden="false" customHeight="true" outlineLevel="0" collapsed="false"/>
    <row r="3575" customFormat="false" ht="16.5" hidden="false" customHeight="true" outlineLevel="0" collapsed="false"/>
    <row r="3576" customFormat="false" ht="16.5" hidden="false" customHeight="true" outlineLevel="0" collapsed="false"/>
    <row r="3577" customFormat="false" ht="16.5" hidden="false" customHeight="true" outlineLevel="0" collapsed="false"/>
    <row r="3578" customFormat="false" ht="16.5" hidden="false" customHeight="true" outlineLevel="0" collapsed="false"/>
    <row r="3579" customFormat="false" ht="16.5" hidden="false" customHeight="true" outlineLevel="0" collapsed="false"/>
    <row r="3580" customFormat="false" ht="16.5" hidden="false" customHeight="true" outlineLevel="0" collapsed="false"/>
    <row r="3581" customFormat="false" ht="16.5" hidden="false" customHeight="true" outlineLevel="0" collapsed="false"/>
    <row r="3582" customFormat="false" ht="16.5" hidden="false" customHeight="true" outlineLevel="0" collapsed="false"/>
    <row r="3583" customFormat="false" ht="16.5" hidden="false" customHeight="true" outlineLevel="0" collapsed="false"/>
    <row r="3584" customFormat="false" ht="16.5" hidden="false" customHeight="true" outlineLevel="0" collapsed="false"/>
    <row r="3585" customFormat="false" ht="16.5" hidden="false" customHeight="true" outlineLevel="0" collapsed="false"/>
    <row r="3586" customFormat="false" ht="16.5" hidden="false" customHeight="true" outlineLevel="0" collapsed="false"/>
    <row r="3587" customFormat="false" ht="16.5" hidden="false" customHeight="true" outlineLevel="0" collapsed="false"/>
    <row r="3588" customFormat="false" ht="16.5" hidden="false" customHeight="true" outlineLevel="0" collapsed="false"/>
    <row r="3589" customFormat="false" ht="16.5" hidden="false" customHeight="true" outlineLevel="0" collapsed="false"/>
    <row r="3590" customFormat="false" ht="16.5" hidden="false" customHeight="true" outlineLevel="0" collapsed="false"/>
    <row r="3591" customFormat="false" ht="16.5" hidden="false" customHeight="true" outlineLevel="0" collapsed="false"/>
    <row r="3592" customFormat="false" ht="16.5" hidden="false" customHeight="true" outlineLevel="0" collapsed="false"/>
    <row r="3593" customFormat="false" ht="16.5" hidden="false" customHeight="true" outlineLevel="0" collapsed="false"/>
    <row r="3594" customFormat="false" ht="16.5" hidden="false" customHeight="true" outlineLevel="0" collapsed="false"/>
    <row r="3595" customFormat="false" ht="16.5" hidden="false" customHeight="true" outlineLevel="0" collapsed="false"/>
    <row r="3596" customFormat="false" ht="16.5" hidden="false" customHeight="true" outlineLevel="0" collapsed="false"/>
    <row r="3597" customFormat="false" ht="16.5" hidden="false" customHeight="true" outlineLevel="0" collapsed="false"/>
    <row r="3598" customFormat="false" ht="16.5" hidden="false" customHeight="true" outlineLevel="0" collapsed="false"/>
    <row r="3599" customFormat="false" ht="16.5" hidden="false" customHeight="true" outlineLevel="0" collapsed="false"/>
    <row r="3600" customFormat="false" ht="16.5" hidden="false" customHeight="true" outlineLevel="0" collapsed="false"/>
    <row r="3601" customFormat="false" ht="16.5" hidden="false" customHeight="true" outlineLevel="0" collapsed="false"/>
    <row r="3602" customFormat="false" ht="16.5" hidden="false" customHeight="true" outlineLevel="0" collapsed="false"/>
    <row r="3603" customFormat="false" ht="16.5" hidden="false" customHeight="true" outlineLevel="0" collapsed="false"/>
    <row r="3604" customFormat="false" ht="16.5" hidden="false" customHeight="true" outlineLevel="0" collapsed="false"/>
    <row r="3605" customFormat="false" ht="16.5" hidden="false" customHeight="true" outlineLevel="0" collapsed="false"/>
    <row r="3606" customFormat="false" ht="16.5" hidden="false" customHeight="true" outlineLevel="0" collapsed="false"/>
    <row r="3607" customFormat="false" ht="16.5" hidden="false" customHeight="true" outlineLevel="0" collapsed="false"/>
    <row r="3608" customFormat="false" ht="16.5" hidden="false" customHeight="true" outlineLevel="0" collapsed="false"/>
    <row r="3609" customFormat="false" ht="16.5" hidden="false" customHeight="true" outlineLevel="0" collapsed="false"/>
    <row r="3610" customFormat="false" ht="16.5" hidden="false" customHeight="true" outlineLevel="0" collapsed="false"/>
    <row r="3611" customFormat="false" ht="16.5" hidden="false" customHeight="true" outlineLevel="0" collapsed="false"/>
    <row r="3612" customFormat="false" ht="16.5" hidden="false" customHeight="true" outlineLevel="0" collapsed="false"/>
    <row r="3613" customFormat="false" ht="16.5" hidden="false" customHeight="true" outlineLevel="0" collapsed="false"/>
    <row r="3614" customFormat="false" ht="16.5" hidden="false" customHeight="true" outlineLevel="0" collapsed="false"/>
    <row r="3615" customFormat="false" ht="16.5" hidden="false" customHeight="true" outlineLevel="0" collapsed="false"/>
    <row r="3616" customFormat="false" ht="16.5" hidden="false" customHeight="true" outlineLevel="0" collapsed="false"/>
    <row r="3617" customFormat="false" ht="16.5" hidden="false" customHeight="true" outlineLevel="0" collapsed="false"/>
    <row r="3618" customFormat="false" ht="16.5" hidden="false" customHeight="true" outlineLevel="0" collapsed="false"/>
    <row r="3619" customFormat="false" ht="16.5" hidden="false" customHeight="true" outlineLevel="0" collapsed="false"/>
    <row r="3620" customFormat="false" ht="16.5" hidden="false" customHeight="true" outlineLevel="0" collapsed="false"/>
    <row r="3621" customFormat="false" ht="16.5" hidden="false" customHeight="true" outlineLevel="0" collapsed="false"/>
    <row r="3622" customFormat="false" ht="16.5" hidden="false" customHeight="true" outlineLevel="0" collapsed="false"/>
    <row r="3623" customFormat="false" ht="16.5" hidden="false" customHeight="true" outlineLevel="0" collapsed="false"/>
    <row r="3624" customFormat="false" ht="16.5" hidden="false" customHeight="true" outlineLevel="0" collapsed="false"/>
    <row r="3625" customFormat="false" ht="16.5" hidden="false" customHeight="true" outlineLevel="0" collapsed="false"/>
    <row r="3626" customFormat="false" ht="16.5" hidden="false" customHeight="true" outlineLevel="0" collapsed="false"/>
    <row r="3627" customFormat="false" ht="16.5" hidden="false" customHeight="true" outlineLevel="0" collapsed="false"/>
    <row r="3628" customFormat="false" ht="16.5" hidden="false" customHeight="true" outlineLevel="0" collapsed="false"/>
    <row r="3629" customFormat="false" ht="16.5" hidden="false" customHeight="true" outlineLevel="0" collapsed="false"/>
    <row r="3630" customFormat="false" ht="16.5" hidden="false" customHeight="true" outlineLevel="0" collapsed="false"/>
    <row r="3631" customFormat="false" ht="16.5" hidden="false" customHeight="true" outlineLevel="0" collapsed="false"/>
    <row r="3632" customFormat="false" ht="16.5" hidden="false" customHeight="true" outlineLevel="0" collapsed="false"/>
    <row r="3633" customFormat="false" ht="16.5" hidden="false" customHeight="true" outlineLevel="0" collapsed="false"/>
    <row r="3634" customFormat="false" ht="16.5" hidden="false" customHeight="true" outlineLevel="0" collapsed="false"/>
    <row r="3635" customFormat="false" ht="16.5" hidden="false" customHeight="true" outlineLevel="0" collapsed="false"/>
    <row r="3636" customFormat="false" ht="16.5" hidden="false" customHeight="true" outlineLevel="0" collapsed="false"/>
    <row r="3637" customFormat="false" ht="16.5" hidden="false" customHeight="true" outlineLevel="0" collapsed="false"/>
    <row r="3638" customFormat="false" ht="16.5" hidden="false" customHeight="true" outlineLevel="0" collapsed="false"/>
    <row r="3639" customFormat="false" ht="16.5" hidden="false" customHeight="true" outlineLevel="0" collapsed="false"/>
    <row r="3640" customFormat="false" ht="16.5" hidden="false" customHeight="true" outlineLevel="0" collapsed="false"/>
    <row r="3641" customFormat="false" ht="16.5" hidden="false" customHeight="true" outlineLevel="0" collapsed="false"/>
    <row r="3642" customFormat="false" ht="16.5" hidden="false" customHeight="true" outlineLevel="0" collapsed="false"/>
    <row r="3643" customFormat="false" ht="16.5" hidden="false" customHeight="true" outlineLevel="0" collapsed="false"/>
    <row r="3644" customFormat="false" ht="16.5" hidden="false" customHeight="true" outlineLevel="0" collapsed="false"/>
    <row r="3645" customFormat="false" ht="16.5" hidden="false" customHeight="true" outlineLevel="0" collapsed="false"/>
    <row r="3646" customFormat="false" ht="16.5" hidden="false" customHeight="true" outlineLevel="0" collapsed="false"/>
    <row r="3647" customFormat="false" ht="16.5" hidden="false" customHeight="true" outlineLevel="0" collapsed="false"/>
    <row r="3648" customFormat="false" ht="16.5" hidden="false" customHeight="true" outlineLevel="0" collapsed="false"/>
    <row r="3649" customFormat="false" ht="16.5" hidden="false" customHeight="true" outlineLevel="0" collapsed="false"/>
    <row r="3650" customFormat="false" ht="16.5" hidden="false" customHeight="true" outlineLevel="0" collapsed="false"/>
    <row r="3651" customFormat="false" ht="16.5" hidden="false" customHeight="true" outlineLevel="0" collapsed="false"/>
    <row r="3652" customFormat="false" ht="16.5" hidden="false" customHeight="true" outlineLevel="0" collapsed="false"/>
    <row r="3653" customFormat="false" ht="16.5" hidden="false" customHeight="true" outlineLevel="0" collapsed="false"/>
    <row r="3654" customFormat="false" ht="16.5" hidden="false" customHeight="true" outlineLevel="0" collapsed="false"/>
    <row r="3655" customFormat="false" ht="16.5" hidden="false" customHeight="true" outlineLevel="0" collapsed="false"/>
    <row r="3656" customFormat="false" ht="16.5" hidden="false" customHeight="true" outlineLevel="0" collapsed="false"/>
    <row r="3657" customFormat="false" ht="16.5" hidden="false" customHeight="true" outlineLevel="0" collapsed="false"/>
    <row r="3658" customFormat="false" ht="16.5" hidden="false" customHeight="true" outlineLevel="0" collapsed="false"/>
    <row r="3659" customFormat="false" ht="16.5" hidden="false" customHeight="true" outlineLevel="0" collapsed="false"/>
    <row r="3660" customFormat="false" ht="16.5" hidden="false" customHeight="true" outlineLevel="0" collapsed="false"/>
    <row r="3661" customFormat="false" ht="16.5" hidden="false" customHeight="true" outlineLevel="0" collapsed="false"/>
    <row r="3662" customFormat="false" ht="16.5" hidden="false" customHeight="true" outlineLevel="0" collapsed="false"/>
    <row r="3663" customFormat="false" ht="16.5" hidden="false" customHeight="true" outlineLevel="0" collapsed="false"/>
    <row r="3664" customFormat="false" ht="16.5" hidden="false" customHeight="true" outlineLevel="0" collapsed="false"/>
    <row r="3665" customFormat="false" ht="16.5" hidden="false" customHeight="true" outlineLevel="0" collapsed="false"/>
    <row r="3666" customFormat="false" ht="16.5" hidden="false" customHeight="true" outlineLevel="0" collapsed="false"/>
    <row r="3667" customFormat="false" ht="16.5" hidden="false" customHeight="true" outlineLevel="0" collapsed="false"/>
    <row r="3668" customFormat="false" ht="16.5" hidden="false" customHeight="true" outlineLevel="0" collapsed="false"/>
    <row r="3669" customFormat="false" ht="16.5" hidden="false" customHeight="true" outlineLevel="0" collapsed="false"/>
    <row r="3670" customFormat="false" ht="16.5" hidden="false" customHeight="true" outlineLevel="0" collapsed="false"/>
    <row r="3671" customFormat="false" ht="16.5" hidden="false" customHeight="true" outlineLevel="0" collapsed="false"/>
    <row r="3672" customFormat="false" ht="16.5" hidden="false" customHeight="true" outlineLevel="0" collapsed="false"/>
    <row r="3673" customFormat="false" ht="16.5" hidden="false" customHeight="true" outlineLevel="0" collapsed="false"/>
    <row r="3674" customFormat="false" ht="16.5" hidden="false" customHeight="true" outlineLevel="0" collapsed="false"/>
    <row r="3675" customFormat="false" ht="16.5" hidden="false" customHeight="true" outlineLevel="0" collapsed="false"/>
    <row r="3676" customFormat="false" ht="16.5" hidden="false" customHeight="true" outlineLevel="0" collapsed="false"/>
    <row r="3677" customFormat="false" ht="16.5" hidden="false" customHeight="true" outlineLevel="0" collapsed="false"/>
    <row r="3678" customFormat="false" ht="16.5" hidden="false" customHeight="true" outlineLevel="0" collapsed="false"/>
    <row r="3679" customFormat="false" ht="16.5" hidden="false" customHeight="true" outlineLevel="0" collapsed="false"/>
    <row r="3680" customFormat="false" ht="16.5" hidden="false" customHeight="true" outlineLevel="0" collapsed="false"/>
    <row r="3681" customFormat="false" ht="16.5" hidden="false" customHeight="true" outlineLevel="0" collapsed="false"/>
    <row r="3682" customFormat="false" ht="16.5" hidden="false" customHeight="true" outlineLevel="0" collapsed="false"/>
    <row r="3683" customFormat="false" ht="16.5" hidden="false" customHeight="true" outlineLevel="0" collapsed="false"/>
    <row r="3684" customFormat="false" ht="16.5" hidden="false" customHeight="true" outlineLevel="0" collapsed="false"/>
    <row r="3685" customFormat="false" ht="16.5" hidden="false" customHeight="true" outlineLevel="0" collapsed="false"/>
    <row r="3686" customFormat="false" ht="16.5" hidden="false" customHeight="true" outlineLevel="0" collapsed="false"/>
    <row r="3687" customFormat="false" ht="16.5" hidden="false" customHeight="true" outlineLevel="0" collapsed="false"/>
    <row r="3688" customFormat="false" ht="16.5" hidden="false" customHeight="true" outlineLevel="0" collapsed="false"/>
    <row r="3689" customFormat="false" ht="16.5" hidden="false" customHeight="true" outlineLevel="0" collapsed="false"/>
    <row r="3690" customFormat="false" ht="16.5" hidden="false" customHeight="true" outlineLevel="0" collapsed="false"/>
    <row r="3691" customFormat="false" ht="16.5" hidden="false" customHeight="true" outlineLevel="0" collapsed="false"/>
    <row r="3692" customFormat="false" ht="16.5" hidden="false" customHeight="true" outlineLevel="0" collapsed="false"/>
    <row r="3693" customFormat="false" ht="16.5" hidden="false" customHeight="true" outlineLevel="0" collapsed="false"/>
    <row r="3694" customFormat="false" ht="16.5" hidden="false" customHeight="true" outlineLevel="0" collapsed="false"/>
    <row r="3695" customFormat="false" ht="16.5" hidden="false" customHeight="true" outlineLevel="0" collapsed="false"/>
    <row r="3696" customFormat="false" ht="16.5" hidden="false" customHeight="true" outlineLevel="0" collapsed="false"/>
    <row r="3697" customFormat="false" ht="16.5" hidden="false" customHeight="true" outlineLevel="0" collapsed="false"/>
    <row r="3698" customFormat="false" ht="16.5" hidden="false" customHeight="true" outlineLevel="0" collapsed="false"/>
    <row r="3699" customFormat="false" ht="16.5" hidden="false" customHeight="true" outlineLevel="0" collapsed="false"/>
    <row r="3700" customFormat="false" ht="16.5" hidden="false" customHeight="true" outlineLevel="0" collapsed="false"/>
    <row r="3701" customFormat="false" ht="16.5" hidden="false" customHeight="true" outlineLevel="0" collapsed="false"/>
    <row r="3702" customFormat="false" ht="16.5" hidden="false" customHeight="true" outlineLevel="0" collapsed="false"/>
    <row r="3703" customFormat="false" ht="16.5" hidden="false" customHeight="true" outlineLevel="0" collapsed="false"/>
    <row r="3704" customFormat="false" ht="16.5" hidden="false" customHeight="true" outlineLevel="0" collapsed="false"/>
    <row r="3705" customFormat="false" ht="16.5" hidden="false" customHeight="true" outlineLevel="0" collapsed="false"/>
    <row r="3706" customFormat="false" ht="16.5" hidden="false" customHeight="true" outlineLevel="0" collapsed="false"/>
    <row r="3707" customFormat="false" ht="16.5" hidden="false" customHeight="true" outlineLevel="0" collapsed="false"/>
    <row r="3708" customFormat="false" ht="16.5" hidden="false" customHeight="true" outlineLevel="0" collapsed="false"/>
    <row r="3709" customFormat="false" ht="16.5" hidden="false" customHeight="true" outlineLevel="0" collapsed="false"/>
    <row r="3710" customFormat="false" ht="16.5" hidden="false" customHeight="true" outlineLevel="0" collapsed="false"/>
    <row r="3711" customFormat="false" ht="16.5" hidden="false" customHeight="true" outlineLevel="0" collapsed="false"/>
    <row r="3712" customFormat="false" ht="16.5" hidden="false" customHeight="true" outlineLevel="0" collapsed="false"/>
    <row r="3713" customFormat="false" ht="16.5" hidden="false" customHeight="true" outlineLevel="0" collapsed="false"/>
    <row r="3714" customFormat="false" ht="16.5" hidden="false" customHeight="true" outlineLevel="0" collapsed="false"/>
    <row r="3715" customFormat="false" ht="16.5" hidden="false" customHeight="true" outlineLevel="0" collapsed="false"/>
    <row r="3716" customFormat="false" ht="16.5" hidden="false" customHeight="true" outlineLevel="0" collapsed="false"/>
    <row r="3717" customFormat="false" ht="16.5" hidden="false" customHeight="true" outlineLevel="0" collapsed="false"/>
    <row r="3718" customFormat="false" ht="16.5" hidden="false" customHeight="true" outlineLevel="0" collapsed="false"/>
    <row r="3719" customFormat="false" ht="16.5" hidden="false" customHeight="true" outlineLevel="0" collapsed="false"/>
    <row r="3720" customFormat="false" ht="16.5" hidden="false" customHeight="true" outlineLevel="0" collapsed="false"/>
    <row r="3721" customFormat="false" ht="16.5" hidden="false" customHeight="true" outlineLevel="0" collapsed="false"/>
    <row r="3722" customFormat="false" ht="16.5" hidden="false" customHeight="true" outlineLevel="0" collapsed="false"/>
    <row r="3723" customFormat="false" ht="16.5" hidden="false" customHeight="true" outlineLevel="0" collapsed="false"/>
    <row r="3724" customFormat="false" ht="16.5" hidden="false" customHeight="true" outlineLevel="0" collapsed="false"/>
    <row r="3725" customFormat="false" ht="16.5" hidden="false" customHeight="true" outlineLevel="0" collapsed="false"/>
    <row r="3726" customFormat="false" ht="16.5" hidden="false" customHeight="true" outlineLevel="0" collapsed="false"/>
    <row r="3727" customFormat="false" ht="16.5" hidden="false" customHeight="true" outlineLevel="0" collapsed="false"/>
    <row r="3728" customFormat="false" ht="16.5" hidden="false" customHeight="true" outlineLevel="0" collapsed="false"/>
    <row r="3729" customFormat="false" ht="16.5" hidden="false" customHeight="true" outlineLevel="0" collapsed="false"/>
    <row r="3730" customFormat="false" ht="16.5" hidden="false" customHeight="true" outlineLevel="0" collapsed="false"/>
    <row r="3731" customFormat="false" ht="16.5" hidden="false" customHeight="true" outlineLevel="0" collapsed="false"/>
    <row r="3732" customFormat="false" ht="16.5" hidden="false" customHeight="true" outlineLevel="0" collapsed="false"/>
    <row r="3733" customFormat="false" ht="16.5" hidden="false" customHeight="true" outlineLevel="0" collapsed="false"/>
    <row r="3734" customFormat="false" ht="16.5" hidden="false" customHeight="true" outlineLevel="0" collapsed="false"/>
    <row r="3735" customFormat="false" ht="16.5" hidden="false" customHeight="true" outlineLevel="0" collapsed="false"/>
    <row r="3736" customFormat="false" ht="16.5" hidden="false" customHeight="true" outlineLevel="0" collapsed="false"/>
    <row r="3737" customFormat="false" ht="16.5" hidden="false" customHeight="true" outlineLevel="0" collapsed="false"/>
    <row r="3738" customFormat="false" ht="16.5" hidden="false" customHeight="true" outlineLevel="0" collapsed="false"/>
    <row r="3739" customFormat="false" ht="16.5" hidden="false" customHeight="true" outlineLevel="0" collapsed="false"/>
    <row r="3740" customFormat="false" ht="16.5" hidden="false" customHeight="true" outlineLevel="0" collapsed="false"/>
    <row r="3741" customFormat="false" ht="16.5" hidden="false" customHeight="true" outlineLevel="0" collapsed="false"/>
    <row r="3742" customFormat="false" ht="16.5" hidden="false" customHeight="true" outlineLevel="0" collapsed="false"/>
    <row r="3743" customFormat="false" ht="16.5" hidden="false" customHeight="true" outlineLevel="0" collapsed="false"/>
    <row r="3744" customFormat="false" ht="16.5" hidden="false" customHeight="true" outlineLevel="0" collapsed="false"/>
    <row r="3745" customFormat="false" ht="16.5" hidden="false" customHeight="true" outlineLevel="0" collapsed="false"/>
    <row r="3746" customFormat="false" ht="16.5" hidden="false" customHeight="true" outlineLevel="0" collapsed="false"/>
    <row r="3747" customFormat="false" ht="16.5" hidden="false" customHeight="true" outlineLevel="0" collapsed="false"/>
    <row r="3748" customFormat="false" ht="16.5" hidden="false" customHeight="true" outlineLevel="0" collapsed="false"/>
    <row r="3749" customFormat="false" ht="16.5" hidden="false" customHeight="true" outlineLevel="0" collapsed="false"/>
    <row r="3750" customFormat="false" ht="16.5" hidden="false" customHeight="true" outlineLevel="0" collapsed="false"/>
    <row r="3751" customFormat="false" ht="16.5" hidden="false" customHeight="true" outlineLevel="0" collapsed="false"/>
    <row r="3752" customFormat="false" ht="16.5" hidden="false" customHeight="true" outlineLevel="0" collapsed="false"/>
    <row r="3753" customFormat="false" ht="16.5" hidden="false" customHeight="true" outlineLevel="0" collapsed="false"/>
    <row r="3754" customFormat="false" ht="16.5" hidden="false" customHeight="true" outlineLevel="0" collapsed="false"/>
    <row r="3755" customFormat="false" ht="16.5" hidden="false" customHeight="true" outlineLevel="0" collapsed="false"/>
    <row r="3756" customFormat="false" ht="16.5" hidden="false" customHeight="true" outlineLevel="0" collapsed="false"/>
    <row r="3757" customFormat="false" ht="16.5" hidden="false" customHeight="true" outlineLevel="0" collapsed="false"/>
    <row r="3758" customFormat="false" ht="16.5" hidden="false" customHeight="true" outlineLevel="0" collapsed="false"/>
    <row r="3759" customFormat="false" ht="16.5" hidden="false" customHeight="true" outlineLevel="0" collapsed="false"/>
    <row r="3760" customFormat="false" ht="16.5" hidden="false" customHeight="true" outlineLevel="0" collapsed="false"/>
    <row r="3761" customFormat="false" ht="16.5" hidden="false" customHeight="true" outlineLevel="0" collapsed="false"/>
    <row r="3762" customFormat="false" ht="16.5" hidden="false" customHeight="true" outlineLevel="0" collapsed="false"/>
    <row r="3763" customFormat="false" ht="16.5" hidden="false" customHeight="true" outlineLevel="0" collapsed="false"/>
    <row r="3764" customFormat="false" ht="16.5" hidden="false" customHeight="true" outlineLevel="0" collapsed="false"/>
    <row r="3765" customFormat="false" ht="16.5" hidden="false" customHeight="true" outlineLevel="0" collapsed="false"/>
    <row r="3766" customFormat="false" ht="16.5" hidden="false" customHeight="true" outlineLevel="0" collapsed="false"/>
    <row r="3767" customFormat="false" ht="16.5" hidden="false" customHeight="true" outlineLevel="0" collapsed="false"/>
    <row r="3768" customFormat="false" ht="16.5" hidden="false" customHeight="true" outlineLevel="0" collapsed="false"/>
    <row r="3769" customFormat="false" ht="16.5" hidden="false" customHeight="true" outlineLevel="0" collapsed="false"/>
    <row r="3770" customFormat="false" ht="16.5" hidden="false" customHeight="true" outlineLevel="0" collapsed="false"/>
    <row r="3771" customFormat="false" ht="16.5" hidden="false" customHeight="true" outlineLevel="0" collapsed="false"/>
    <row r="3772" customFormat="false" ht="16.5" hidden="false" customHeight="true" outlineLevel="0" collapsed="false"/>
    <row r="3773" customFormat="false" ht="16.5" hidden="false" customHeight="true" outlineLevel="0" collapsed="false"/>
    <row r="3774" customFormat="false" ht="16.5" hidden="false" customHeight="true" outlineLevel="0" collapsed="false"/>
    <row r="3775" customFormat="false" ht="16.5" hidden="false" customHeight="true" outlineLevel="0" collapsed="false"/>
    <row r="3776" customFormat="false" ht="16.5" hidden="false" customHeight="true" outlineLevel="0" collapsed="false"/>
    <row r="3777" customFormat="false" ht="16.5" hidden="false" customHeight="true" outlineLevel="0" collapsed="false"/>
    <row r="3778" customFormat="false" ht="16.5" hidden="false" customHeight="true" outlineLevel="0" collapsed="false"/>
    <row r="3779" customFormat="false" ht="16.5" hidden="false" customHeight="true" outlineLevel="0" collapsed="false"/>
    <row r="3780" customFormat="false" ht="16.5" hidden="false" customHeight="true" outlineLevel="0" collapsed="false"/>
    <row r="3781" customFormat="false" ht="16.5" hidden="false" customHeight="true" outlineLevel="0" collapsed="false"/>
    <row r="3782" customFormat="false" ht="16.5" hidden="false" customHeight="true" outlineLevel="0" collapsed="false"/>
    <row r="3783" customFormat="false" ht="16.5" hidden="false" customHeight="true" outlineLevel="0" collapsed="false"/>
    <row r="3784" customFormat="false" ht="16.5" hidden="false" customHeight="true" outlineLevel="0" collapsed="false"/>
    <row r="3785" customFormat="false" ht="16.5" hidden="false" customHeight="true" outlineLevel="0" collapsed="false"/>
    <row r="3786" customFormat="false" ht="16.5" hidden="false" customHeight="true" outlineLevel="0" collapsed="false"/>
    <row r="3787" customFormat="false" ht="16.5" hidden="false" customHeight="true" outlineLevel="0" collapsed="false"/>
    <row r="3788" customFormat="false" ht="16.5" hidden="false" customHeight="true" outlineLevel="0" collapsed="false"/>
    <row r="3789" customFormat="false" ht="16.5" hidden="false" customHeight="true" outlineLevel="0" collapsed="false"/>
    <row r="3790" customFormat="false" ht="16.5" hidden="false" customHeight="true" outlineLevel="0" collapsed="false"/>
    <row r="3791" customFormat="false" ht="16.5" hidden="false" customHeight="true" outlineLevel="0" collapsed="false"/>
    <row r="3792" customFormat="false" ht="16.5" hidden="false" customHeight="true" outlineLevel="0" collapsed="false"/>
    <row r="3793" customFormat="false" ht="16.5" hidden="false" customHeight="true" outlineLevel="0" collapsed="false"/>
    <row r="3794" customFormat="false" ht="16.5" hidden="false" customHeight="true" outlineLevel="0" collapsed="false"/>
    <row r="3795" customFormat="false" ht="16.5" hidden="false" customHeight="true" outlineLevel="0" collapsed="false"/>
    <row r="3796" customFormat="false" ht="16.5" hidden="false" customHeight="true" outlineLevel="0" collapsed="false"/>
    <row r="3797" customFormat="false" ht="16.5" hidden="false" customHeight="true" outlineLevel="0" collapsed="false"/>
    <row r="3798" customFormat="false" ht="16.5" hidden="false" customHeight="true" outlineLevel="0" collapsed="false"/>
    <row r="3799" customFormat="false" ht="16.5" hidden="false" customHeight="true" outlineLevel="0" collapsed="false"/>
    <row r="3800" customFormat="false" ht="16.5" hidden="false" customHeight="true" outlineLevel="0" collapsed="false"/>
    <row r="3801" customFormat="false" ht="16.5" hidden="false" customHeight="true" outlineLevel="0" collapsed="false"/>
    <row r="3802" customFormat="false" ht="16.5" hidden="false" customHeight="true" outlineLevel="0" collapsed="false"/>
    <row r="3803" customFormat="false" ht="16.5" hidden="false" customHeight="true" outlineLevel="0" collapsed="false"/>
    <row r="3804" customFormat="false" ht="16.5" hidden="false" customHeight="true" outlineLevel="0" collapsed="false"/>
    <row r="3805" customFormat="false" ht="16.5" hidden="false" customHeight="true" outlineLevel="0" collapsed="false"/>
    <row r="3806" customFormat="false" ht="16.5" hidden="false" customHeight="true" outlineLevel="0" collapsed="false"/>
    <row r="3807" customFormat="false" ht="16.5" hidden="false" customHeight="true" outlineLevel="0" collapsed="false"/>
    <row r="3808" customFormat="false" ht="16.5" hidden="false" customHeight="true" outlineLevel="0" collapsed="false"/>
    <row r="3809" customFormat="false" ht="16.5" hidden="false" customHeight="true" outlineLevel="0" collapsed="false"/>
    <row r="3810" customFormat="false" ht="16.5" hidden="false" customHeight="true" outlineLevel="0" collapsed="false"/>
    <row r="3811" customFormat="false" ht="16.5" hidden="false" customHeight="true" outlineLevel="0" collapsed="false"/>
    <row r="3812" customFormat="false" ht="16.5" hidden="false" customHeight="true" outlineLevel="0" collapsed="false"/>
    <row r="3813" customFormat="false" ht="16.5" hidden="false" customHeight="true" outlineLevel="0" collapsed="false"/>
    <row r="3814" customFormat="false" ht="16.5" hidden="false" customHeight="true" outlineLevel="0" collapsed="false"/>
    <row r="3815" customFormat="false" ht="16.5" hidden="false" customHeight="true" outlineLevel="0" collapsed="false"/>
    <row r="3816" customFormat="false" ht="16.5" hidden="false" customHeight="true" outlineLevel="0" collapsed="false"/>
    <row r="3817" customFormat="false" ht="16.5" hidden="false" customHeight="true" outlineLevel="0" collapsed="false"/>
    <row r="3818" customFormat="false" ht="16.5" hidden="false" customHeight="true" outlineLevel="0" collapsed="false"/>
    <row r="3819" customFormat="false" ht="16.5" hidden="false" customHeight="true" outlineLevel="0" collapsed="false"/>
    <row r="3820" customFormat="false" ht="16.5" hidden="false" customHeight="true" outlineLevel="0" collapsed="false"/>
    <row r="3821" customFormat="false" ht="16.5" hidden="false" customHeight="true" outlineLevel="0" collapsed="false"/>
    <row r="3822" customFormat="false" ht="16.5" hidden="false" customHeight="true" outlineLevel="0" collapsed="false"/>
    <row r="3823" customFormat="false" ht="16.5" hidden="false" customHeight="true" outlineLevel="0" collapsed="false"/>
    <row r="3824" customFormat="false" ht="16.5" hidden="false" customHeight="true" outlineLevel="0" collapsed="false"/>
    <row r="3825" customFormat="false" ht="16.5" hidden="false" customHeight="true" outlineLevel="0" collapsed="false"/>
    <row r="3826" customFormat="false" ht="16.5" hidden="false" customHeight="true" outlineLevel="0" collapsed="false"/>
    <row r="3827" customFormat="false" ht="16.5" hidden="false" customHeight="true" outlineLevel="0" collapsed="false"/>
    <row r="3828" customFormat="false" ht="16.5" hidden="false" customHeight="true" outlineLevel="0" collapsed="false"/>
    <row r="3829" customFormat="false" ht="16.5" hidden="false" customHeight="true" outlineLevel="0" collapsed="false"/>
    <row r="3830" customFormat="false" ht="16.5" hidden="false" customHeight="true" outlineLevel="0" collapsed="false"/>
    <row r="3831" customFormat="false" ht="16.5" hidden="false" customHeight="true" outlineLevel="0" collapsed="false"/>
    <row r="3832" customFormat="false" ht="16.5" hidden="false" customHeight="true" outlineLevel="0" collapsed="false"/>
    <row r="3833" customFormat="false" ht="16.5" hidden="false" customHeight="true" outlineLevel="0" collapsed="false"/>
    <row r="3834" customFormat="false" ht="16.5" hidden="false" customHeight="true" outlineLevel="0" collapsed="false"/>
    <row r="3835" customFormat="false" ht="16.5" hidden="false" customHeight="true" outlineLevel="0" collapsed="false"/>
    <row r="3836" customFormat="false" ht="16.5" hidden="false" customHeight="true" outlineLevel="0" collapsed="false"/>
    <row r="3837" customFormat="false" ht="16.5" hidden="false" customHeight="true" outlineLevel="0" collapsed="false"/>
    <row r="3838" customFormat="false" ht="16.5" hidden="false" customHeight="true" outlineLevel="0" collapsed="false"/>
    <row r="3839" customFormat="false" ht="16.5" hidden="false" customHeight="true" outlineLevel="0" collapsed="false"/>
    <row r="3840" customFormat="false" ht="16.5" hidden="false" customHeight="true" outlineLevel="0" collapsed="false"/>
    <row r="3841" customFormat="false" ht="16.5" hidden="false" customHeight="true" outlineLevel="0" collapsed="false"/>
    <row r="3842" customFormat="false" ht="16.5" hidden="false" customHeight="true" outlineLevel="0" collapsed="false"/>
    <row r="3843" customFormat="false" ht="16.5" hidden="false" customHeight="true" outlineLevel="0" collapsed="false"/>
    <row r="3844" customFormat="false" ht="16.5" hidden="false" customHeight="true" outlineLevel="0" collapsed="false"/>
    <row r="3845" customFormat="false" ht="16.5" hidden="false" customHeight="true" outlineLevel="0" collapsed="false"/>
    <row r="3846" customFormat="false" ht="16.5" hidden="false" customHeight="true" outlineLevel="0" collapsed="false"/>
    <row r="3847" customFormat="false" ht="16.5" hidden="false" customHeight="true" outlineLevel="0" collapsed="false"/>
    <row r="3848" customFormat="false" ht="16.5" hidden="false" customHeight="true" outlineLevel="0" collapsed="false"/>
    <row r="3849" customFormat="false" ht="16.5" hidden="false" customHeight="true" outlineLevel="0" collapsed="false"/>
    <row r="3850" customFormat="false" ht="16.5" hidden="false" customHeight="true" outlineLevel="0" collapsed="false"/>
    <row r="3851" customFormat="false" ht="16.5" hidden="false" customHeight="true" outlineLevel="0" collapsed="false"/>
    <row r="3852" customFormat="false" ht="16.5" hidden="false" customHeight="true" outlineLevel="0" collapsed="false"/>
    <row r="3853" customFormat="false" ht="16.5" hidden="false" customHeight="true" outlineLevel="0" collapsed="false"/>
    <row r="3854" customFormat="false" ht="16.5" hidden="false" customHeight="true" outlineLevel="0" collapsed="false"/>
    <row r="3855" customFormat="false" ht="16.5" hidden="false" customHeight="true" outlineLevel="0" collapsed="false"/>
    <row r="3856" customFormat="false" ht="16.5" hidden="false" customHeight="true" outlineLevel="0" collapsed="false"/>
    <row r="3857" customFormat="false" ht="16.5" hidden="false" customHeight="true" outlineLevel="0" collapsed="false"/>
    <row r="3858" customFormat="false" ht="16.5" hidden="false" customHeight="true" outlineLevel="0" collapsed="false"/>
    <row r="3859" customFormat="false" ht="16.5" hidden="false" customHeight="true" outlineLevel="0" collapsed="false"/>
    <row r="3860" customFormat="false" ht="16.5" hidden="false" customHeight="true" outlineLevel="0" collapsed="false"/>
    <row r="3861" customFormat="false" ht="16.5" hidden="false" customHeight="true" outlineLevel="0" collapsed="false"/>
    <row r="3862" customFormat="false" ht="16.5" hidden="false" customHeight="true" outlineLevel="0" collapsed="false"/>
    <row r="3863" customFormat="false" ht="16.5" hidden="false" customHeight="true" outlineLevel="0" collapsed="false"/>
    <row r="3864" customFormat="false" ht="16.5" hidden="false" customHeight="true" outlineLevel="0" collapsed="false"/>
    <row r="3865" customFormat="false" ht="16.5" hidden="false" customHeight="true" outlineLevel="0" collapsed="false"/>
    <row r="3866" customFormat="false" ht="16.5" hidden="false" customHeight="true" outlineLevel="0" collapsed="false"/>
    <row r="3867" customFormat="false" ht="16.5" hidden="false" customHeight="true" outlineLevel="0" collapsed="false"/>
    <row r="3868" customFormat="false" ht="16.5" hidden="false" customHeight="true" outlineLevel="0" collapsed="false"/>
    <row r="3869" customFormat="false" ht="16.5" hidden="false" customHeight="true" outlineLevel="0" collapsed="false"/>
    <row r="3870" customFormat="false" ht="16.5" hidden="false" customHeight="true" outlineLevel="0" collapsed="false"/>
    <row r="3871" customFormat="false" ht="16.5" hidden="false" customHeight="true" outlineLevel="0" collapsed="false"/>
    <row r="3872" customFormat="false" ht="16.5" hidden="false" customHeight="true" outlineLevel="0" collapsed="false"/>
    <row r="3873" customFormat="false" ht="16.5" hidden="false" customHeight="true" outlineLevel="0" collapsed="false"/>
    <row r="3874" customFormat="false" ht="16.5" hidden="false" customHeight="true" outlineLevel="0" collapsed="false"/>
    <row r="3875" customFormat="false" ht="16.5" hidden="false" customHeight="true" outlineLevel="0" collapsed="false"/>
    <row r="3876" customFormat="false" ht="16.5" hidden="false" customHeight="true" outlineLevel="0" collapsed="false"/>
    <row r="3877" customFormat="false" ht="16.5" hidden="false" customHeight="true" outlineLevel="0" collapsed="false"/>
    <row r="3878" customFormat="false" ht="16.5" hidden="false" customHeight="true" outlineLevel="0" collapsed="false"/>
    <row r="3879" customFormat="false" ht="16.5" hidden="false" customHeight="true" outlineLevel="0" collapsed="false"/>
    <row r="3880" customFormat="false" ht="16.5" hidden="false" customHeight="true" outlineLevel="0" collapsed="false"/>
    <row r="3881" customFormat="false" ht="16.5" hidden="false" customHeight="true" outlineLevel="0" collapsed="false"/>
    <row r="3882" customFormat="false" ht="16.5" hidden="false" customHeight="true" outlineLevel="0" collapsed="false"/>
    <row r="3883" customFormat="false" ht="16.5" hidden="false" customHeight="true" outlineLevel="0" collapsed="false"/>
    <row r="3884" customFormat="false" ht="16.5" hidden="false" customHeight="true" outlineLevel="0" collapsed="false"/>
    <row r="3885" customFormat="false" ht="16.5" hidden="false" customHeight="true" outlineLevel="0" collapsed="false"/>
    <row r="3886" customFormat="false" ht="16.5" hidden="false" customHeight="true" outlineLevel="0" collapsed="false"/>
    <row r="3887" customFormat="false" ht="16.5" hidden="false" customHeight="true" outlineLevel="0" collapsed="false"/>
    <row r="3888" customFormat="false" ht="16.5" hidden="false" customHeight="true" outlineLevel="0" collapsed="false"/>
    <row r="3889" customFormat="false" ht="16.5" hidden="false" customHeight="true" outlineLevel="0" collapsed="false"/>
    <row r="3890" customFormat="false" ht="16.5" hidden="false" customHeight="true" outlineLevel="0" collapsed="false"/>
    <row r="3891" customFormat="false" ht="16.5" hidden="false" customHeight="true" outlineLevel="0" collapsed="false"/>
    <row r="3892" customFormat="false" ht="16.5" hidden="false" customHeight="true" outlineLevel="0" collapsed="false"/>
    <row r="3893" customFormat="false" ht="16.5" hidden="false" customHeight="true" outlineLevel="0" collapsed="false"/>
    <row r="3894" customFormat="false" ht="16.5" hidden="false" customHeight="true" outlineLevel="0" collapsed="false"/>
    <row r="3895" customFormat="false" ht="16.5" hidden="false" customHeight="true" outlineLevel="0" collapsed="false"/>
    <row r="3896" customFormat="false" ht="16.5" hidden="false" customHeight="true" outlineLevel="0" collapsed="false"/>
    <row r="3897" customFormat="false" ht="16.5" hidden="false" customHeight="true" outlineLevel="0" collapsed="false"/>
    <row r="3898" customFormat="false" ht="16.5" hidden="false" customHeight="true" outlineLevel="0" collapsed="false"/>
    <row r="3899" customFormat="false" ht="16.5" hidden="false" customHeight="true" outlineLevel="0" collapsed="false"/>
    <row r="3900" customFormat="false" ht="16.5" hidden="false" customHeight="true" outlineLevel="0" collapsed="false"/>
    <row r="3901" customFormat="false" ht="16.5" hidden="false" customHeight="true" outlineLevel="0" collapsed="false"/>
    <row r="3902" customFormat="false" ht="16.5" hidden="false" customHeight="true" outlineLevel="0" collapsed="false"/>
    <row r="3903" customFormat="false" ht="16.5" hidden="false" customHeight="true" outlineLevel="0" collapsed="false"/>
    <row r="3904" customFormat="false" ht="16.5" hidden="false" customHeight="true" outlineLevel="0" collapsed="false"/>
    <row r="3905" customFormat="false" ht="16.5" hidden="false" customHeight="true" outlineLevel="0" collapsed="false"/>
    <row r="3906" customFormat="false" ht="16.5" hidden="false" customHeight="true" outlineLevel="0" collapsed="false"/>
    <row r="3907" customFormat="false" ht="16.5" hidden="false" customHeight="true" outlineLevel="0" collapsed="false"/>
    <row r="3908" customFormat="false" ht="16.5" hidden="false" customHeight="true" outlineLevel="0" collapsed="false"/>
    <row r="3909" customFormat="false" ht="16.5" hidden="false" customHeight="true" outlineLevel="0" collapsed="false"/>
    <row r="3910" customFormat="false" ht="16.5" hidden="false" customHeight="true" outlineLevel="0" collapsed="false"/>
    <row r="3911" customFormat="false" ht="16.5" hidden="false" customHeight="true" outlineLevel="0" collapsed="false"/>
    <row r="3912" customFormat="false" ht="16.5" hidden="false" customHeight="true" outlineLevel="0" collapsed="false"/>
    <row r="3913" customFormat="false" ht="16.5" hidden="false" customHeight="true" outlineLevel="0" collapsed="false"/>
    <row r="3914" customFormat="false" ht="16.5" hidden="false" customHeight="true" outlineLevel="0" collapsed="false"/>
    <row r="3915" customFormat="false" ht="16.5" hidden="false" customHeight="true" outlineLevel="0" collapsed="false"/>
    <row r="3916" customFormat="false" ht="16.5" hidden="false" customHeight="true" outlineLevel="0" collapsed="false"/>
    <row r="3917" customFormat="false" ht="16.5" hidden="false" customHeight="true" outlineLevel="0" collapsed="false"/>
    <row r="3918" customFormat="false" ht="16.5" hidden="false" customHeight="true" outlineLevel="0" collapsed="false"/>
    <row r="3919" customFormat="false" ht="16.5" hidden="false" customHeight="true" outlineLevel="0" collapsed="false"/>
    <row r="3920" customFormat="false" ht="16.5" hidden="false" customHeight="true" outlineLevel="0" collapsed="false"/>
    <row r="3921" customFormat="false" ht="16.5" hidden="false" customHeight="true" outlineLevel="0" collapsed="false"/>
    <row r="3922" customFormat="false" ht="16.5" hidden="false" customHeight="true" outlineLevel="0" collapsed="false"/>
    <row r="3923" customFormat="false" ht="16.5" hidden="false" customHeight="true" outlineLevel="0" collapsed="false"/>
    <row r="3924" customFormat="false" ht="16.5" hidden="false" customHeight="true" outlineLevel="0" collapsed="false"/>
    <row r="3925" customFormat="false" ht="16.5" hidden="false" customHeight="true" outlineLevel="0" collapsed="false"/>
    <row r="3926" customFormat="false" ht="16.5" hidden="false" customHeight="true" outlineLevel="0" collapsed="false"/>
    <row r="3927" customFormat="false" ht="16.5" hidden="false" customHeight="true" outlineLevel="0" collapsed="false"/>
    <row r="3928" customFormat="false" ht="16.5" hidden="false" customHeight="true" outlineLevel="0" collapsed="false"/>
    <row r="3929" customFormat="false" ht="16.5" hidden="false" customHeight="true" outlineLevel="0" collapsed="false"/>
    <row r="3930" customFormat="false" ht="16.5" hidden="false" customHeight="true" outlineLevel="0" collapsed="false"/>
    <row r="3931" customFormat="false" ht="16.5" hidden="false" customHeight="true" outlineLevel="0" collapsed="false"/>
    <row r="3932" customFormat="false" ht="16.5" hidden="false" customHeight="true" outlineLevel="0" collapsed="false"/>
    <row r="3933" customFormat="false" ht="16.5" hidden="false" customHeight="true" outlineLevel="0" collapsed="false"/>
    <row r="3934" customFormat="false" ht="16.5" hidden="false" customHeight="true" outlineLevel="0" collapsed="false"/>
    <row r="3935" customFormat="false" ht="16.5" hidden="false" customHeight="true" outlineLevel="0" collapsed="false"/>
    <row r="3936" customFormat="false" ht="16.5" hidden="false" customHeight="true" outlineLevel="0" collapsed="false"/>
    <row r="3937" customFormat="false" ht="16.5" hidden="false" customHeight="true" outlineLevel="0" collapsed="false"/>
    <row r="3938" customFormat="false" ht="16.5" hidden="false" customHeight="true" outlineLevel="0" collapsed="false"/>
    <row r="3939" customFormat="false" ht="16.5" hidden="false" customHeight="true" outlineLevel="0" collapsed="false"/>
    <row r="3940" customFormat="false" ht="16.5" hidden="false" customHeight="true" outlineLevel="0" collapsed="false"/>
    <row r="3941" customFormat="false" ht="16.5" hidden="false" customHeight="true" outlineLevel="0" collapsed="false"/>
    <row r="3942" customFormat="false" ht="16.5" hidden="false" customHeight="true" outlineLevel="0" collapsed="false"/>
    <row r="3943" customFormat="false" ht="16.5" hidden="false" customHeight="true" outlineLevel="0" collapsed="false"/>
    <row r="3944" customFormat="false" ht="16.5" hidden="false" customHeight="true" outlineLevel="0" collapsed="false"/>
    <row r="3945" customFormat="false" ht="16.5" hidden="false" customHeight="true" outlineLevel="0" collapsed="false"/>
    <row r="3946" customFormat="false" ht="16.5" hidden="false" customHeight="true" outlineLevel="0" collapsed="false"/>
    <row r="3947" customFormat="false" ht="16.5" hidden="false" customHeight="true" outlineLevel="0" collapsed="false"/>
    <row r="3948" customFormat="false" ht="16.5" hidden="false" customHeight="true" outlineLevel="0" collapsed="false"/>
    <row r="3949" customFormat="false" ht="16.5" hidden="false" customHeight="true" outlineLevel="0" collapsed="false"/>
    <row r="3950" customFormat="false" ht="16.5" hidden="false" customHeight="true" outlineLevel="0" collapsed="false"/>
    <row r="3951" customFormat="false" ht="16.5" hidden="false" customHeight="true" outlineLevel="0" collapsed="false"/>
    <row r="3952" customFormat="false" ht="16.5" hidden="false" customHeight="true" outlineLevel="0" collapsed="false"/>
    <row r="3953" customFormat="false" ht="16.5" hidden="false" customHeight="true" outlineLevel="0" collapsed="false"/>
    <row r="3954" customFormat="false" ht="16.5" hidden="false" customHeight="true" outlineLevel="0" collapsed="false"/>
    <row r="3955" customFormat="false" ht="16.5" hidden="false" customHeight="true" outlineLevel="0" collapsed="false"/>
    <row r="3956" customFormat="false" ht="16.5" hidden="false" customHeight="true" outlineLevel="0" collapsed="false"/>
    <row r="3957" customFormat="false" ht="16.5" hidden="false" customHeight="true" outlineLevel="0" collapsed="false"/>
    <row r="3958" customFormat="false" ht="16.5" hidden="false" customHeight="true" outlineLevel="0" collapsed="false"/>
    <row r="3959" customFormat="false" ht="16.5" hidden="false" customHeight="true" outlineLevel="0" collapsed="false"/>
    <row r="3960" customFormat="false" ht="16.5" hidden="false" customHeight="true" outlineLevel="0" collapsed="false"/>
    <row r="3961" customFormat="false" ht="16.5" hidden="false" customHeight="true" outlineLevel="0" collapsed="false"/>
    <row r="3962" customFormat="false" ht="16.5" hidden="false" customHeight="true" outlineLevel="0" collapsed="false"/>
    <row r="3963" customFormat="false" ht="16.5" hidden="false" customHeight="true" outlineLevel="0" collapsed="false"/>
    <row r="3964" customFormat="false" ht="16.5" hidden="false" customHeight="true" outlineLevel="0" collapsed="false"/>
    <row r="3965" customFormat="false" ht="16.5" hidden="false" customHeight="true" outlineLevel="0" collapsed="false"/>
    <row r="3966" customFormat="false" ht="16.5" hidden="false" customHeight="true" outlineLevel="0" collapsed="false"/>
    <row r="3967" customFormat="false" ht="16.5" hidden="false" customHeight="true" outlineLevel="0" collapsed="false"/>
    <row r="3968" customFormat="false" ht="16.5" hidden="false" customHeight="true" outlineLevel="0" collapsed="false"/>
    <row r="3969" customFormat="false" ht="16.5" hidden="false" customHeight="true" outlineLevel="0" collapsed="false"/>
    <row r="3970" customFormat="false" ht="16.5" hidden="false" customHeight="true" outlineLevel="0" collapsed="false"/>
    <row r="3971" customFormat="false" ht="16.5" hidden="false" customHeight="true" outlineLevel="0" collapsed="false"/>
    <row r="3972" customFormat="false" ht="16.5" hidden="false" customHeight="true" outlineLevel="0" collapsed="false"/>
    <row r="3973" customFormat="false" ht="16.5" hidden="false" customHeight="true" outlineLevel="0" collapsed="false"/>
    <row r="3974" customFormat="false" ht="16.5" hidden="false" customHeight="true" outlineLevel="0" collapsed="false"/>
    <row r="3975" customFormat="false" ht="16.5" hidden="false" customHeight="true" outlineLevel="0" collapsed="false"/>
    <row r="3976" customFormat="false" ht="16.5" hidden="false" customHeight="true" outlineLevel="0" collapsed="false"/>
    <row r="3977" customFormat="false" ht="16.5" hidden="false" customHeight="true" outlineLevel="0" collapsed="false"/>
    <row r="3978" customFormat="false" ht="16.5" hidden="false" customHeight="true" outlineLevel="0" collapsed="false"/>
    <row r="3979" customFormat="false" ht="16.5" hidden="false" customHeight="true" outlineLevel="0" collapsed="false"/>
    <row r="3980" customFormat="false" ht="16.5" hidden="false" customHeight="true" outlineLevel="0" collapsed="false"/>
    <row r="3981" customFormat="false" ht="16.5" hidden="false" customHeight="true" outlineLevel="0" collapsed="false"/>
    <row r="3982" customFormat="false" ht="16.5" hidden="false" customHeight="true" outlineLevel="0" collapsed="false"/>
    <row r="3983" customFormat="false" ht="16.5" hidden="false" customHeight="true" outlineLevel="0" collapsed="false"/>
    <row r="3984" customFormat="false" ht="16.5" hidden="false" customHeight="true" outlineLevel="0" collapsed="false"/>
    <row r="3985" customFormat="false" ht="16.5" hidden="false" customHeight="true" outlineLevel="0" collapsed="false"/>
    <row r="3986" customFormat="false" ht="16.5" hidden="false" customHeight="true" outlineLevel="0" collapsed="false"/>
    <row r="3987" customFormat="false" ht="16.5" hidden="false" customHeight="true" outlineLevel="0" collapsed="false"/>
    <row r="3988" customFormat="false" ht="16.5" hidden="false" customHeight="true" outlineLevel="0" collapsed="false"/>
    <row r="3989" customFormat="false" ht="16.5" hidden="false" customHeight="true" outlineLevel="0" collapsed="false"/>
    <row r="3990" customFormat="false" ht="16.5" hidden="false" customHeight="true" outlineLevel="0" collapsed="false"/>
    <row r="3991" customFormat="false" ht="16.5" hidden="false" customHeight="true" outlineLevel="0" collapsed="false"/>
    <row r="3992" customFormat="false" ht="16.5" hidden="false" customHeight="true" outlineLevel="0" collapsed="false"/>
    <row r="3993" customFormat="false" ht="16.5" hidden="false" customHeight="true" outlineLevel="0" collapsed="false"/>
    <row r="3994" customFormat="false" ht="16.5" hidden="false" customHeight="true" outlineLevel="0" collapsed="false"/>
    <row r="3995" customFormat="false" ht="16.5" hidden="false" customHeight="true" outlineLevel="0" collapsed="false"/>
    <row r="3996" customFormat="false" ht="16.5" hidden="false" customHeight="true" outlineLevel="0" collapsed="false"/>
    <row r="3997" customFormat="false" ht="16.5" hidden="false" customHeight="true" outlineLevel="0" collapsed="false"/>
    <row r="3998" customFormat="false" ht="16.5" hidden="false" customHeight="true" outlineLevel="0" collapsed="false"/>
    <row r="3999" customFormat="false" ht="16.5" hidden="false" customHeight="true" outlineLevel="0" collapsed="false"/>
    <row r="4000" customFormat="false" ht="16.5" hidden="false" customHeight="true" outlineLevel="0" collapsed="false"/>
    <row r="4001" customFormat="false" ht="16.5" hidden="false" customHeight="true" outlineLevel="0" collapsed="false"/>
    <row r="4002" customFormat="false" ht="16.5" hidden="false" customHeight="true" outlineLevel="0" collapsed="false"/>
    <row r="4003" customFormat="false" ht="16.5" hidden="false" customHeight="true" outlineLevel="0" collapsed="false"/>
    <row r="4004" customFormat="false" ht="16.5" hidden="false" customHeight="true" outlineLevel="0" collapsed="false"/>
    <row r="4005" customFormat="false" ht="16.5" hidden="false" customHeight="true" outlineLevel="0" collapsed="false"/>
    <row r="4006" customFormat="false" ht="16.5" hidden="false" customHeight="true" outlineLevel="0" collapsed="false"/>
    <row r="4007" customFormat="false" ht="16.5" hidden="false" customHeight="true" outlineLevel="0" collapsed="false"/>
    <row r="4008" customFormat="false" ht="16.5" hidden="false" customHeight="true" outlineLevel="0" collapsed="false"/>
    <row r="4009" customFormat="false" ht="16.5" hidden="false" customHeight="true" outlineLevel="0" collapsed="false"/>
    <row r="4010" customFormat="false" ht="16.5" hidden="false" customHeight="true" outlineLevel="0" collapsed="false"/>
    <row r="4011" customFormat="false" ht="16.5" hidden="false" customHeight="true" outlineLevel="0" collapsed="false"/>
    <row r="4012" customFormat="false" ht="16.5" hidden="false" customHeight="true" outlineLevel="0" collapsed="false"/>
    <row r="4013" customFormat="false" ht="16.5" hidden="false" customHeight="true" outlineLevel="0" collapsed="false"/>
    <row r="4014" customFormat="false" ht="16.5" hidden="false" customHeight="true" outlineLevel="0" collapsed="false"/>
    <row r="4015" customFormat="false" ht="16.5" hidden="false" customHeight="true" outlineLevel="0" collapsed="false"/>
    <row r="4016" customFormat="false" ht="16.5" hidden="false" customHeight="true" outlineLevel="0" collapsed="false"/>
    <row r="4017" customFormat="false" ht="16.5" hidden="false" customHeight="true" outlineLevel="0" collapsed="false"/>
    <row r="4018" customFormat="false" ht="16.5" hidden="false" customHeight="true" outlineLevel="0" collapsed="false"/>
    <row r="4019" customFormat="false" ht="16.5" hidden="false" customHeight="true" outlineLevel="0" collapsed="false"/>
    <row r="4020" customFormat="false" ht="16.5" hidden="false" customHeight="true" outlineLevel="0" collapsed="false"/>
    <row r="4021" customFormat="false" ht="16.5" hidden="false" customHeight="true" outlineLevel="0" collapsed="false"/>
    <row r="4022" customFormat="false" ht="16.5" hidden="false" customHeight="true" outlineLevel="0" collapsed="false"/>
    <row r="4023" customFormat="false" ht="16.5" hidden="false" customHeight="true" outlineLevel="0" collapsed="false"/>
    <row r="4024" customFormat="false" ht="16.5" hidden="false" customHeight="true" outlineLevel="0" collapsed="false"/>
    <row r="4025" customFormat="false" ht="16.5" hidden="false" customHeight="true" outlineLevel="0" collapsed="false"/>
    <row r="4026" customFormat="false" ht="16.5" hidden="false" customHeight="true" outlineLevel="0" collapsed="false"/>
    <row r="4027" customFormat="false" ht="16.5" hidden="false" customHeight="true" outlineLevel="0" collapsed="false"/>
    <row r="4028" customFormat="false" ht="16.5" hidden="false" customHeight="true" outlineLevel="0" collapsed="false"/>
    <row r="4029" customFormat="false" ht="16.5" hidden="false" customHeight="true" outlineLevel="0" collapsed="false"/>
    <row r="4030" customFormat="false" ht="16.5" hidden="false" customHeight="true" outlineLevel="0" collapsed="false"/>
    <row r="4031" customFormat="false" ht="16.5" hidden="false" customHeight="true" outlineLevel="0" collapsed="false"/>
    <row r="4032" customFormat="false" ht="16.5" hidden="false" customHeight="true" outlineLevel="0" collapsed="false"/>
    <row r="4033" customFormat="false" ht="16.5" hidden="false" customHeight="true" outlineLevel="0" collapsed="false"/>
    <row r="4034" customFormat="false" ht="16.5" hidden="false" customHeight="true" outlineLevel="0" collapsed="false"/>
    <row r="4035" customFormat="false" ht="16.5" hidden="false" customHeight="true" outlineLevel="0" collapsed="false"/>
    <row r="4036" customFormat="false" ht="16.5" hidden="false" customHeight="true" outlineLevel="0" collapsed="false"/>
    <row r="4037" customFormat="false" ht="16.5" hidden="false" customHeight="true" outlineLevel="0" collapsed="false"/>
    <row r="4038" customFormat="false" ht="16.5" hidden="false" customHeight="true" outlineLevel="0" collapsed="false"/>
    <row r="4039" customFormat="false" ht="16.5" hidden="false" customHeight="true" outlineLevel="0" collapsed="false"/>
    <row r="4040" customFormat="false" ht="16.5" hidden="false" customHeight="true" outlineLevel="0" collapsed="false"/>
    <row r="4041" customFormat="false" ht="16.5" hidden="false" customHeight="true" outlineLevel="0" collapsed="false"/>
    <row r="4042" customFormat="false" ht="16.5" hidden="false" customHeight="true" outlineLevel="0" collapsed="false"/>
    <row r="4043" customFormat="false" ht="16.5" hidden="false" customHeight="true" outlineLevel="0" collapsed="false"/>
    <row r="4044" customFormat="false" ht="16.5" hidden="false" customHeight="true" outlineLevel="0" collapsed="false"/>
    <row r="4045" customFormat="false" ht="16.5" hidden="false" customHeight="true" outlineLevel="0" collapsed="false"/>
    <row r="4046" customFormat="false" ht="16.5" hidden="false" customHeight="true" outlineLevel="0" collapsed="false"/>
    <row r="4047" customFormat="false" ht="16.5" hidden="false" customHeight="true" outlineLevel="0" collapsed="false"/>
    <row r="4048" customFormat="false" ht="16.5" hidden="false" customHeight="true" outlineLevel="0" collapsed="false"/>
    <row r="4049" customFormat="false" ht="16.5" hidden="false" customHeight="true" outlineLevel="0" collapsed="false"/>
    <row r="4050" customFormat="false" ht="16.5" hidden="false" customHeight="true" outlineLevel="0" collapsed="false"/>
    <row r="4051" customFormat="false" ht="16.5" hidden="false" customHeight="true" outlineLevel="0" collapsed="false"/>
    <row r="4052" customFormat="false" ht="16.5" hidden="false" customHeight="true" outlineLevel="0" collapsed="false"/>
    <row r="4053" customFormat="false" ht="16.5" hidden="false" customHeight="true" outlineLevel="0" collapsed="false"/>
    <row r="4054" customFormat="false" ht="16.5" hidden="false" customHeight="true" outlineLevel="0" collapsed="false"/>
    <row r="4055" customFormat="false" ht="16.5" hidden="false" customHeight="true" outlineLevel="0" collapsed="false"/>
    <row r="4056" customFormat="false" ht="16.5" hidden="false" customHeight="true" outlineLevel="0" collapsed="false"/>
    <row r="4057" customFormat="false" ht="16.5" hidden="false" customHeight="true" outlineLevel="0" collapsed="false"/>
    <row r="4058" customFormat="false" ht="16.5" hidden="false" customHeight="true" outlineLevel="0" collapsed="false"/>
    <row r="4059" customFormat="false" ht="16.5" hidden="false" customHeight="true" outlineLevel="0" collapsed="false"/>
    <row r="4060" customFormat="false" ht="16.5" hidden="false" customHeight="true" outlineLevel="0" collapsed="false"/>
    <row r="4061" customFormat="false" ht="16.5" hidden="false" customHeight="true" outlineLevel="0" collapsed="false"/>
    <row r="4062" customFormat="false" ht="16.5" hidden="false" customHeight="true" outlineLevel="0" collapsed="false"/>
    <row r="4063" customFormat="false" ht="16.5" hidden="false" customHeight="true" outlineLevel="0" collapsed="false"/>
    <row r="4064" customFormat="false" ht="16.5" hidden="false" customHeight="true" outlineLevel="0" collapsed="false"/>
    <row r="4065" customFormat="false" ht="16.5" hidden="false" customHeight="true" outlineLevel="0" collapsed="false"/>
    <row r="4066" customFormat="false" ht="16.5" hidden="false" customHeight="true" outlineLevel="0" collapsed="false"/>
    <row r="4067" customFormat="false" ht="16.5" hidden="false" customHeight="true" outlineLevel="0" collapsed="false"/>
    <row r="4068" customFormat="false" ht="16.5" hidden="false" customHeight="true" outlineLevel="0" collapsed="false"/>
    <row r="4069" customFormat="false" ht="16.5" hidden="false" customHeight="true" outlineLevel="0" collapsed="false"/>
    <row r="4070" customFormat="false" ht="16.5" hidden="false" customHeight="true" outlineLevel="0" collapsed="false"/>
    <row r="4071" customFormat="false" ht="16.5" hidden="false" customHeight="true" outlineLevel="0" collapsed="false"/>
    <row r="4072" customFormat="false" ht="16.5" hidden="false" customHeight="true" outlineLevel="0" collapsed="false"/>
    <row r="4073" customFormat="false" ht="16.5" hidden="false" customHeight="true" outlineLevel="0" collapsed="false"/>
    <row r="4074" customFormat="false" ht="16.5" hidden="false" customHeight="true" outlineLevel="0" collapsed="false"/>
    <row r="4075" customFormat="false" ht="16.5" hidden="false" customHeight="true" outlineLevel="0" collapsed="false"/>
    <row r="4076" customFormat="false" ht="16.5" hidden="false" customHeight="true" outlineLevel="0" collapsed="false"/>
    <row r="4077" customFormat="false" ht="16.5" hidden="false" customHeight="true" outlineLevel="0" collapsed="false"/>
    <row r="4078" customFormat="false" ht="16.5" hidden="false" customHeight="true" outlineLevel="0" collapsed="false"/>
    <row r="4079" customFormat="false" ht="16.5" hidden="false" customHeight="true" outlineLevel="0" collapsed="false"/>
    <row r="4080" customFormat="false" ht="16.5" hidden="false" customHeight="true" outlineLevel="0" collapsed="false"/>
    <row r="4081" customFormat="false" ht="16.5" hidden="false" customHeight="true" outlineLevel="0" collapsed="false"/>
    <row r="4082" customFormat="false" ht="16.5" hidden="false" customHeight="true" outlineLevel="0" collapsed="false"/>
    <row r="4083" customFormat="false" ht="16.5" hidden="false" customHeight="true" outlineLevel="0" collapsed="false"/>
    <row r="4084" customFormat="false" ht="16.5" hidden="false" customHeight="true" outlineLevel="0" collapsed="false"/>
    <row r="4085" customFormat="false" ht="16.5" hidden="false" customHeight="true" outlineLevel="0" collapsed="false"/>
    <row r="4086" customFormat="false" ht="16.5" hidden="false" customHeight="true" outlineLevel="0" collapsed="false"/>
    <row r="4087" customFormat="false" ht="16.5" hidden="false" customHeight="true" outlineLevel="0" collapsed="false"/>
    <row r="4088" customFormat="false" ht="16.5" hidden="false" customHeight="true" outlineLevel="0" collapsed="false"/>
    <row r="4089" customFormat="false" ht="16.5" hidden="false" customHeight="true" outlineLevel="0" collapsed="false"/>
    <row r="4090" customFormat="false" ht="16.5" hidden="false" customHeight="true" outlineLevel="0" collapsed="false"/>
    <row r="4091" customFormat="false" ht="16.5" hidden="false" customHeight="true" outlineLevel="0" collapsed="false"/>
    <row r="4092" customFormat="false" ht="16.5" hidden="false" customHeight="true" outlineLevel="0" collapsed="false"/>
    <row r="4093" customFormat="false" ht="16.5" hidden="false" customHeight="true" outlineLevel="0" collapsed="false"/>
    <row r="4094" customFormat="false" ht="16.5" hidden="false" customHeight="true" outlineLevel="0" collapsed="false"/>
    <row r="4095" customFormat="false" ht="16.5" hidden="false" customHeight="true" outlineLevel="0" collapsed="false"/>
    <row r="4096" customFormat="false" ht="16.5" hidden="false" customHeight="true" outlineLevel="0" collapsed="false"/>
    <row r="4097" customFormat="false" ht="16.5" hidden="false" customHeight="true" outlineLevel="0" collapsed="false"/>
    <row r="4098" customFormat="false" ht="16.5" hidden="false" customHeight="true" outlineLevel="0" collapsed="false"/>
    <row r="4099" customFormat="false" ht="16.5" hidden="false" customHeight="true" outlineLevel="0" collapsed="false"/>
    <row r="4100" customFormat="false" ht="16.5" hidden="false" customHeight="true" outlineLevel="0" collapsed="false"/>
    <row r="4101" customFormat="false" ht="16.5" hidden="false" customHeight="true" outlineLevel="0" collapsed="false"/>
    <row r="4102" customFormat="false" ht="16.5" hidden="false" customHeight="true" outlineLevel="0" collapsed="false"/>
    <row r="4103" customFormat="false" ht="16.5" hidden="false" customHeight="true" outlineLevel="0" collapsed="false"/>
    <row r="4104" customFormat="false" ht="16.5" hidden="false" customHeight="true" outlineLevel="0" collapsed="false"/>
    <row r="4105" customFormat="false" ht="16.5" hidden="false" customHeight="true" outlineLevel="0" collapsed="false"/>
    <row r="4106" customFormat="false" ht="16.5" hidden="false" customHeight="true" outlineLevel="0" collapsed="false"/>
    <row r="4107" customFormat="false" ht="16.5" hidden="false" customHeight="true" outlineLevel="0" collapsed="false"/>
    <row r="4108" customFormat="false" ht="16.5" hidden="false" customHeight="true" outlineLevel="0" collapsed="false"/>
    <row r="4109" customFormat="false" ht="16.5" hidden="false" customHeight="true" outlineLevel="0" collapsed="false"/>
    <row r="4110" customFormat="false" ht="16.5" hidden="false" customHeight="true" outlineLevel="0" collapsed="false"/>
    <row r="4111" customFormat="false" ht="16.5" hidden="false" customHeight="true" outlineLevel="0" collapsed="false"/>
    <row r="4112" customFormat="false" ht="16.5" hidden="false" customHeight="true" outlineLevel="0" collapsed="false"/>
    <row r="4113" customFormat="false" ht="16.5" hidden="false" customHeight="true" outlineLevel="0" collapsed="false"/>
    <row r="4114" customFormat="false" ht="16.5" hidden="false" customHeight="true" outlineLevel="0" collapsed="false"/>
    <row r="4115" customFormat="false" ht="16.5" hidden="false" customHeight="true" outlineLevel="0" collapsed="false"/>
    <row r="4116" customFormat="false" ht="16.5" hidden="false" customHeight="true" outlineLevel="0" collapsed="false"/>
    <row r="4117" customFormat="false" ht="16.5" hidden="false" customHeight="true" outlineLevel="0" collapsed="false"/>
    <row r="4118" customFormat="false" ht="16.5" hidden="false" customHeight="true" outlineLevel="0" collapsed="false"/>
    <row r="4119" customFormat="false" ht="16.5" hidden="false" customHeight="true" outlineLevel="0" collapsed="false"/>
    <row r="4120" customFormat="false" ht="16.5" hidden="false" customHeight="true" outlineLevel="0" collapsed="false"/>
    <row r="4121" customFormat="false" ht="16.5" hidden="false" customHeight="true" outlineLevel="0" collapsed="false"/>
    <row r="4122" customFormat="false" ht="16.5" hidden="false" customHeight="true" outlineLevel="0" collapsed="false"/>
    <row r="4123" customFormat="false" ht="16.5" hidden="false" customHeight="true" outlineLevel="0" collapsed="false"/>
    <row r="4124" customFormat="false" ht="16.5" hidden="false" customHeight="true" outlineLevel="0" collapsed="false"/>
    <row r="4125" customFormat="false" ht="16.5" hidden="false" customHeight="true" outlineLevel="0" collapsed="false"/>
    <row r="4126" customFormat="false" ht="16.5" hidden="false" customHeight="true" outlineLevel="0" collapsed="false"/>
    <row r="4127" customFormat="false" ht="16.5" hidden="false" customHeight="true" outlineLevel="0" collapsed="false"/>
    <row r="4128" customFormat="false" ht="16.5" hidden="false" customHeight="true" outlineLevel="0" collapsed="false"/>
    <row r="4129" customFormat="false" ht="16.5" hidden="false" customHeight="true" outlineLevel="0" collapsed="false"/>
    <row r="4130" customFormat="false" ht="16.5" hidden="false" customHeight="true" outlineLevel="0" collapsed="false"/>
    <row r="4131" customFormat="false" ht="16.5" hidden="false" customHeight="true" outlineLevel="0" collapsed="false"/>
    <row r="4132" customFormat="false" ht="16.5" hidden="false" customHeight="true" outlineLevel="0" collapsed="false"/>
    <row r="4133" customFormat="false" ht="16.5" hidden="false" customHeight="true" outlineLevel="0" collapsed="false"/>
    <row r="4134" customFormat="false" ht="16.5" hidden="false" customHeight="true" outlineLevel="0" collapsed="false"/>
    <row r="4135" customFormat="false" ht="16.5" hidden="false" customHeight="true" outlineLevel="0" collapsed="false"/>
    <row r="4136" customFormat="false" ht="16.5" hidden="false" customHeight="true" outlineLevel="0" collapsed="false"/>
    <row r="4137" customFormat="false" ht="16.5" hidden="false" customHeight="true" outlineLevel="0" collapsed="false"/>
    <row r="4138" customFormat="false" ht="16.5" hidden="false" customHeight="true" outlineLevel="0" collapsed="false"/>
    <row r="4139" customFormat="false" ht="16.5" hidden="false" customHeight="true" outlineLevel="0" collapsed="false"/>
    <row r="4140" customFormat="false" ht="16.5" hidden="false" customHeight="true" outlineLevel="0" collapsed="false"/>
    <row r="4141" customFormat="false" ht="16.5" hidden="false" customHeight="true" outlineLevel="0" collapsed="false"/>
    <row r="4142" customFormat="false" ht="16.5" hidden="false" customHeight="true" outlineLevel="0" collapsed="false"/>
    <row r="4143" customFormat="false" ht="16.5" hidden="false" customHeight="true" outlineLevel="0" collapsed="false"/>
    <row r="4144" customFormat="false" ht="16.5" hidden="false" customHeight="true" outlineLevel="0" collapsed="false"/>
    <row r="4145" customFormat="false" ht="16.5" hidden="false" customHeight="true" outlineLevel="0" collapsed="false"/>
    <row r="4146" customFormat="false" ht="16.5" hidden="false" customHeight="true" outlineLevel="0" collapsed="false"/>
    <row r="4147" customFormat="false" ht="16.5" hidden="false" customHeight="true" outlineLevel="0" collapsed="false"/>
    <row r="4148" customFormat="false" ht="16.5" hidden="false" customHeight="true" outlineLevel="0" collapsed="false"/>
    <row r="4149" customFormat="false" ht="16.5" hidden="false" customHeight="true" outlineLevel="0" collapsed="false"/>
    <row r="4150" customFormat="false" ht="16.5" hidden="false" customHeight="true" outlineLevel="0" collapsed="false"/>
    <row r="4151" customFormat="false" ht="16.5" hidden="false" customHeight="true" outlineLevel="0" collapsed="false"/>
    <row r="4152" customFormat="false" ht="16.5" hidden="false" customHeight="true" outlineLevel="0" collapsed="false"/>
    <row r="4153" customFormat="false" ht="16.5" hidden="false" customHeight="true" outlineLevel="0" collapsed="false"/>
    <row r="4154" customFormat="false" ht="16.5" hidden="false" customHeight="true" outlineLevel="0" collapsed="false"/>
    <row r="4155" customFormat="false" ht="16.5" hidden="false" customHeight="true" outlineLevel="0" collapsed="false"/>
    <row r="4156" customFormat="false" ht="16.5" hidden="false" customHeight="true" outlineLevel="0" collapsed="false"/>
    <row r="4157" customFormat="false" ht="16.5" hidden="false" customHeight="true" outlineLevel="0" collapsed="false"/>
    <row r="4158" customFormat="false" ht="16.5" hidden="false" customHeight="true" outlineLevel="0" collapsed="false"/>
    <row r="4159" customFormat="false" ht="16.5" hidden="false" customHeight="true" outlineLevel="0" collapsed="false"/>
    <row r="4160" customFormat="false" ht="16.5" hidden="false" customHeight="true" outlineLevel="0" collapsed="false"/>
    <row r="4161" customFormat="false" ht="16.5" hidden="false" customHeight="true" outlineLevel="0" collapsed="false"/>
    <row r="4162" customFormat="false" ht="16.5" hidden="false" customHeight="true" outlineLevel="0" collapsed="false"/>
    <row r="4163" customFormat="false" ht="16.5" hidden="false" customHeight="true" outlineLevel="0" collapsed="false"/>
    <row r="4164" customFormat="false" ht="16.5" hidden="false" customHeight="true" outlineLevel="0" collapsed="false"/>
    <row r="4165" customFormat="false" ht="16.5" hidden="false" customHeight="true" outlineLevel="0" collapsed="false"/>
    <row r="4166" customFormat="false" ht="16.5" hidden="false" customHeight="true" outlineLevel="0" collapsed="false"/>
    <row r="4167" customFormat="false" ht="16.5" hidden="false" customHeight="true" outlineLevel="0" collapsed="false"/>
    <row r="4168" customFormat="false" ht="16.5" hidden="false" customHeight="true" outlineLevel="0" collapsed="false"/>
    <row r="4169" customFormat="false" ht="16.5" hidden="false" customHeight="true" outlineLevel="0" collapsed="false"/>
    <row r="4170" customFormat="false" ht="16.5" hidden="false" customHeight="true" outlineLevel="0" collapsed="false"/>
    <row r="4171" customFormat="false" ht="16.5" hidden="false" customHeight="true" outlineLevel="0" collapsed="false"/>
    <row r="4172" customFormat="false" ht="16.5" hidden="false" customHeight="true" outlineLevel="0" collapsed="false"/>
    <row r="4173" customFormat="false" ht="16.5" hidden="false" customHeight="true" outlineLevel="0" collapsed="false"/>
    <row r="4174" customFormat="false" ht="16.5" hidden="false" customHeight="true" outlineLevel="0" collapsed="false"/>
    <row r="4175" customFormat="false" ht="16.5" hidden="false" customHeight="true" outlineLevel="0" collapsed="false"/>
    <row r="4176" customFormat="false" ht="16.5" hidden="false" customHeight="true" outlineLevel="0" collapsed="false"/>
    <row r="4177" customFormat="false" ht="16.5" hidden="false" customHeight="true" outlineLevel="0" collapsed="false"/>
    <row r="4178" customFormat="false" ht="16.5" hidden="false" customHeight="true" outlineLevel="0" collapsed="false"/>
    <row r="4179" customFormat="false" ht="16.5" hidden="false" customHeight="true" outlineLevel="0" collapsed="false"/>
    <row r="4180" customFormat="false" ht="16.5" hidden="false" customHeight="true" outlineLevel="0" collapsed="false"/>
    <row r="4181" customFormat="false" ht="16.5" hidden="false" customHeight="true" outlineLevel="0" collapsed="false"/>
    <row r="4182" customFormat="false" ht="16.5" hidden="false" customHeight="true" outlineLevel="0" collapsed="false"/>
    <row r="4183" customFormat="false" ht="16.5" hidden="false" customHeight="true" outlineLevel="0" collapsed="false"/>
    <row r="4184" customFormat="false" ht="16.5" hidden="false" customHeight="true" outlineLevel="0" collapsed="false"/>
    <row r="4185" customFormat="false" ht="16.5" hidden="false" customHeight="true" outlineLevel="0" collapsed="false"/>
    <row r="4186" customFormat="false" ht="16.5" hidden="false" customHeight="true" outlineLevel="0" collapsed="false"/>
    <row r="4187" customFormat="false" ht="16.5" hidden="false" customHeight="true" outlineLevel="0" collapsed="false"/>
    <row r="4188" customFormat="false" ht="16.5" hidden="false" customHeight="true" outlineLevel="0" collapsed="false"/>
    <row r="4189" customFormat="false" ht="16.5" hidden="false" customHeight="true" outlineLevel="0" collapsed="false"/>
    <row r="4190" customFormat="false" ht="16.5" hidden="false" customHeight="true" outlineLevel="0" collapsed="false"/>
    <row r="4191" customFormat="false" ht="16.5" hidden="false" customHeight="true" outlineLevel="0" collapsed="false"/>
    <row r="4192" customFormat="false" ht="16.5" hidden="false" customHeight="true" outlineLevel="0" collapsed="false"/>
    <row r="4193" customFormat="false" ht="16.5" hidden="false" customHeight="true" outlineLevel="0" collapsed="false"/>
    <row r="4194" customFormat="false" ht="16.5" hidden="false" customHeight="true" outlineLevel="0" collapsed="false"/>
    <row r="4195" customFormat="false" ht="16.5" hidden="false" customHeight="true" outlineLevel="0" collapsed="false"/>
    <row r="4196" customFormat="false" ht="16.5" hidden="false" customHeight="true" outlineLevel="0" collapsed="false"/>
    <row r="4197" customFormat="false" ht="16.5" hidden="false" customHeight="true" outlineLevel="0" collapsed="false"/>
    <row r="4198" customFormat="false" ht="16.5" hidden="false" customHeight="true" outlineLevel="0" collapsed="false"/>
    <row r="4199" customFormat="false" ht="16.5" hidden="false" customHeight="true" outlineLevel="0" collapsed="false"/>
    <row r="4200" customFormat="false" ht="16.5" hidden="false" customHeight="true" outlineLevel="0" collapsed="false"/>
    <row r="4201" customFormat="false" ht="16.5" hidden="false" customHeight="true" outlineLevel="0" collapsed="false"/>
    <row r="4202" customFormat="false" ht="16.5" hidden="false" customHeight="true" outlineLevel="0" collapsed="false"/>
    <row r="4203" customFormat="false" ht="16.5" hidden="false" customHeight="true" outlineLevel="0" collapsed="false"/>
    <row r="4204" customFormat="false" ht="16.5" hidden="false" customHeight="true" outlineLevel="0" collapsed="false"/>
    <row r="4205" customFormat="false" ht="16.5" hidden="false" customHeight="true" outlineLevel="0" collapsed="false"/>
    <row r="4206" customFormat="false" ht="16.5" hidden="false" customHeight="true" outlineLevel="0" collapsed="false"/>
    <row r="4207" customFormat="false" ht="16.5" hidden="false" customHeight="true" outlineLevel="0" collapsed="false"/>
    <row r="4208" customFormat="false" ht="16.5" hidden="false" customHeight="true" outlineLevel="0" collapsed="false"/>
    <row r="4209" customFormat="false" ht="16.5" hidden="false" customHeight="true" outlineLevel="0" collapsed="false"/>
    <row r="4210" customFormat="false" ht="16.5" hidden="false" customHeight="true" outlineLevel="0" collapsed="false"/>
    <row r="4211" customFormat="false" ht="16.5" hidden="false" customHeight="true" outlineLevel="0" collapsed="false"/>
    <row r="4212" customFormat="false" ht="16.5" hidden="false" customHeight="true" outlineLevel="0" collapsed="false"/>
    <row r="4213" customFormat="false" ht="16.5" hidden="false" customHeight="true" outlineLevel="0" collapsed="false"/>
    <row r="4214" customFormat="false" ht="16.5" hidden="false" customHeight="true" outlineLevel="0" collapsed="false"/>
    <row r="4215" customFormat="false" ht="16.5" hidden="false" customHeight="true" outlineLevel="0" collapsed="false"/>
    <row r="4216" customFormat="false" ht="16.5" hidden="false" customHeight="true" outlineLevel="0" collapsed="false"/>
    <row r="4217" customFormat="false" ht="16.5" hidden="false" customHeight="true" outlineLevel="0" collapsed="false"/>
    <row r="4218" customFormat="false" ht="16.5" hidden="false" customHeight="true" outlineLevel="0" collapsed="false"/>
    <row r="4219" customFormat="false" ht="16.5" hidden="false" customHeight="true" outlineLevel="0" collapsed="false"/>
    <row r="4220" customFormat="false" ht="16.5" hidden="false" customHeight="true" outlineLevel="0" collapsed="false"/>
    <row r="4221" customFormat="false" ht="16.5" hidden="false" customHeight="true" outlineLevel="0" collapsed="false"/>
    <row r="4222" customFormat="false" ht="16.5" hidden="false" customHeight="true" outlineLevel="0" collapsed="false"/>
    <row r="4223" customFormat="false" ht="16.5" hidden="false" customHeight="true" outlineLevel="0" collapsed="false"/>
    <row r="4224" customFormat="false" ht="16.5" hidden="false" customHeight="true" outlineLevel="0" collapsed="false"/>
    <row r="4225" customFormat="false" ht="16.5" hidden="false" customHeight="true" outlineLevel="0" collapsed="false"/>
    <row r="4226" customFormat="false" ht="16.5" hidden="false" customHeight="true" outlineLevel="0" collapsed="false"/>
    <row r="4227" customFormat="false" ht="16.5" hidden="false" customHeight="true" outlineLevel="0" collapsed="false"/>
    <row r="4228" customFormat="false" ht="16.5" hidden="false" customHeight="true" outlineLevel="0" collapsed="false"/>
    <row r="4229" customFormat="false" ht="16.5" hidden="false" customHeight="true" outlineLevel="0" collapsed="false"/>
    <row r="4230" customFormat="false" ht="16.5" hidden="false" customHeight="true" outlineLevel="0" collapsed="false"/>
    <row r="4231" customFormat="false" ht="16.5" hidden="false" customHeight="true" outlineLevel="0" collapsed="false"/>
    <row r="4232" customFormat="false" ht="16.5" hidden="false" customHeight="true" outlineLevel="0" collapsed="false"/>
    <row r="4233" customFormat="false" ht="16.5" hidden="false" customHeight="true" outlineLevel="0" collapsed="false"/>
    <row r="4234" customFormat="false" ht="16.5" hidden="false" customHeight="true" outlineLevel="0" collapsed="false"/>
    <row r="4235" customFormat="false" ht="16.5" hidden="false" customHeight="true" outlineLevel="0" collapsed="false"/>
    <row r="4236" customFormat="false" ht="16.5" hidden="false" customHeight="true" outlineLevel="0" collapsed="false"/>
    <row r="4237" customFormat="false" ht="16.5" hidden="false" customHeight="true" outlineLevel="0" collapsed="false"/>
    <row r="4238" customFormat="false" ht="16.5" hidden="false" customHeight="true" outlineLevel="0" collapsed="false"/>
    <row r="4239" customFormat="false" ht="16.5" hidden="false" customHeight="true" outlineLevel="0" collapsed="false"/>
    <row r="4240" customFormat="false" ht="16.5" hidden="false" customHeight="true" outlineLevel="0" collapsed="false"/>
    <row r="4241" customFormat="false" ht="16.5" hidden="false" customHeight="true" outlineLevel="0" collapsed="false"/>
    <row r="4242" customFormat="false" ht="16.5" hidden="false" customHeight="true" outlineLevel="0" collapsed="false"/>
    <row r="4243" customFormat="false" ht="16.5" hidden="false" customHeight="true" outlineLevel="0" collapsed="false"/>
    <row r="4244" customFormat="false" ht="16.5" hidden="false" customHeight="true" outlineLevel="0" collapsed="false"/>
    <row r="4245" customFormat="false" ht="16.5" hidden="false" customHeight="true" outlineLevel="0" collapsed="false"/>
    <row r="4246" customFormat="false" ht="16.5" hidden="false" customHeight="true" outlineLevel="0" collapsed="false"/>
    <row r="4247" customFormat="false" ht="16.5" hidden="false" customHeight="true" outlineLevel="0" collapsed="false"/>
    <row r="4248" customFormat="false" ht="16.5" hidden="false" customHeight="true" outlineLevel="0" collapsed="false"/>
    <row r="4249" customFormat="false" ht="16.5" hidden="false" customHeight="true" outlineLevel="0" collapsed="false"/>
    <row r="4250" customFormat="false" ht="16.5" hidden="false" customHeight="true" outlineLevel="0" collapsed="false"/>
    <row r="4251" customFormat="false" ht="16.5" hidden="false" customHeight="true" outlineLevel="0" collapsed="false"/>
    <row r="4252" customFormat="false" ht="16.5" hidden="false" customHeight="true" outlineLevel="0" collapsed="false"/>
    <row r="4253" customFormat="false" ht="16.5" hidden="false" customHeight="true" outlineLevel="0" collapsed="false"/>
    <row r="4254" customFormat="false" ht="16.5" hidden="false" customHeight="true" outlineLevel="0" collapsed="false"/>
    <row r="4255" customFormat="false" ht="16.5" hidden="false" customHeight="true" outlineLevel="0" collapsed="false"/>
    <row r="4256" customFormat="false" ht="16.5" hidden="false" customHeight="true" outlineLevel="0" collapsed="false"/>
    <row r="4257" customFormat="false" ht="16.5" hidden="false" customHeight="true" outlineLevel="0" collapsed="false"/>
    <row r="4258" customFormat="false" ht="16.5" hidden="false" customHeight="true" outlineLevel="0" collapsed="false"/>
    <row r="4259" customFormat="false" ht="16.5" hidden="false" customHeight="true" outlineLevel="0" collapsed="false"/>
    <row r="4260" customFormat="false" ht="16.5" hidden="false" customHeight="true" outlineLevel="0" collapsed="false"/>
    <row r="4261" customFormat="false" ht="16.5" hidden="false" customHeight="true" outlineLevel="0" collapsed="false"/>
    <row r="4262" customFormat="false" ht="16.5" hidden="false" customHeight="true" outlineLevel="0" collapsed="false"/>
    <row r="4263" customFormat="false" ht="16.5" hidden="false" customHeight="true" outlineLevel="0" collapsed="false"/>
    <row r="4264" customFormat="false" ht="16.5" hidden="false" customHeight="true" outlineLevel="0" collapsed="false"/>
    <row r="4265" customFormat="false" ht="16.5" hidden="false" customHeight="true" outlineLevel="0" collapsed="false"/>
    <row r="4266" customFormat="false" ht="16.5" hidden="false" customHeight="true" outlineLevel="0" collapsed="false"/>
    <row r="4267" customFormat="false" ht="16.5" hidden="false" customHeight="true" outlineLevel="0" collapsed="false"/>
    <row r="4268" customFormat="false" ht="16.5" hidden="false" customHeight="true" outlineLevel="0" collapsed="false"/>
    <row r="4269" customFormat="false" ht="16.5" hidden="false" customHeight="true" outlineLevel="0" collapsed="false"/>
    <row r="4270" customFormat="false" ht="16.5" hidden="false" customHeight="true" outlineLevel="0" collapsed="false"/>
    <row r="4271" customFormat="false" ht="16.5" hidden="false" customHeight="true" outlineLevel="0" collapsed="false"/>
    <row r="4272" customFormat="false" ht="16.5" hidden="false" customHeight="true" outlineLevel="0" collapsed="false"/>
    <row r="4273" customFormat="false" ht="16.5" hidden="false" customHeight="true" outlineLevel="0" collapsed="false"/>
    <row r="4274" customFormat="false" ht="16.5" hidden="false" customHeight="true" outlineLevel="0" collapsed="false"/>
    <row r="4275" customFormat="false" ht="16.5" hidden="false" customHeight="true" outlineLevel="0" collapsed="false"/>
    <row r="4276" customFormat="false" ht="16.5" hidden="false" customHeight="true" outlineLevel="0" collapsed="false"/>
    <row r="4277" customFormat="false" ht="16.5" hidden="false" customHeight="true" outlineLevel="0" collapsed="false"/>
    <row r="4278" customFormat="false" ht="16.5" hidden="false" customHeight="true" outlineLevel="0" collapsed="false"/>
    <row r="4279" customFormat="false" ht="16.5" hidden="false" customHeight="true" outlineLevel="0" collapsed="false"/>
    <row r="4280" customFormat="false" ht="16.5" hidden="false" customHeight="true" outlineLevel="0" collapsed="false"/>
    <row r="4281" customFormat="false" ht="16.5" hidden="false" customHeight="true" outlineLevel="0" collapsed="false"/>
    <row r="4282" customFormat="false" ht="16.5" hidden="false" customHeight="true" outlineLevel="0" collapsed="false"/>
    <row r="4283" customFormat="false" ht="16.5" hidden="false" customHeight="true" outlineLevel="0" collapsed="false"/>
    <row r="4284" customFormat="false" ht="16.5" hidden="false" customHeight="true" outlineLevel="0" collapsed="false"/>
    <row r="4285" customFormat="false" ht="16.5" hidden="false" customHeight="true" outlineLevel="0" collapsed="false"/>
    <row r="4286" customFormat="false" ht="16.5" hidden="false" customHeight="true" outlineLevel="0" collapsed="false"/>
    <row r="4287" customFormat="false" ht="16.5" hidden="false" customHeight="true" outlineLevel="0" collapsed="false"/>
    <row r="4288" customFormat="false" ht="16.5" hidden="false" customHeight="true" outlineLevel="0" collapsed="false"/>
    <row r="4289" customFormat="false" ht="16.5" hidden="false" customHeight="true" outlineLevel="0" collapsed="false"/>
    <row r="4290" customFormat="false" ht="16.5" hidden="false" customHeight="true" outlineLevel="0" collapsed="false"/>
    <row r="4291" customFormat="false" ht="16.5" hidden="false" customHeight="true" outlineLevel="0" collapsed="false"/>
    <row r="4292" customFormat="false" ht="16.5" hidden="false" customHeight="true" outlineLevel="0" collapsed="false"/>
    <row r="4293" customFormat="false" ht="16.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403:F1755 F1760:F1790 F1792:F1887 F1889:F1894 F1896:F2008 F2010:F2011 F2013:F4293 F1:F401">
    <cfRule type="cellIs" priority="2" operator="equal" aboveAverage="0" equalAverage="0" bottom="0" percent="0" rank="0" text="" dxfId="11">
      <formula>"-"</formula>
    </cfRule>
  </conditionalFormatting>
  <conditionalFormatting sqref="H1:H3 H6:H37 H41:H55 H58:H167 H171:H297 H301:H356 H358 H360:H519 H523:H686 H690:H742 H745:H792 H794:H803 H836 H838 H841:H847 H909:H911 H913 H960:H963 H1073:H1074 H1741:H1744 H1892:H1895 H1934 H2115 H2276:H2277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31.57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9.52"/>
    <col collapsed="false" customWidth="true" hidden="false" outlineLevel="0" max="5" min="5" style="45" width="11.89"/>
    <col collapsed="false" customWidth="true" hidden="false" outlineLevel="0" max="7" min="6" style="45" width="14.89"/>
    <col collapsed="false" customWidth="true" hidden="false" outlineLevel="0" max="9" min="8" style="44" width="14.89"/>
    <col collapsed="false" customWidth="true" hidden="false" outlineLevel="0" max="10" min="10" style="44" width="14.83"/>
    <col collapsed="false" customWidth="true" hidden="false" outlineLevel="0" max="11" min="11" style="45" width="9.33"/>
    <col collapsed="false" customWidth="true" hidden="false" outlineLevel="0" max="12" min="12" style="45" width="8"/>
    <col collapsed="false" customWidth="true" hidden="false" outlineLevel="0" max="13" min="13" style="74" width="41.42"/>
    <col collapsed="false" customWidth="true" hidden="false" outlineLevel="0" max="14" min="14" style="74" width="14.98"/>
    <col collapsed="false" customWidth="true" hidden="false" outlineLevel="0" max="15" min="15" style="74" width="11"/>
    <col collapsed="false" customWidth="true" hidden="false" outlineLevel="0" max="16" min="16" style="74" width="15.51"/>
    <col collapsed="false" customWidth="false" hidden="false" outlineLevel="0" max="16371" min="19" style="74" width="19.16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68" t="str">
        <f aca="false">$N$22</f>
        <v>✓</v>
      </c>
      <c r="B1" s="12"/>
      <c r="C1" s="12" t="s">
        <v>111</v>
      </c>
      <c r="D1" s="12"/>
      <c r="E1" s="12"/>
      <c r="F1" s="12"/>
      <c r="G1" s="12"/>
      <c r="H1" s="169"/>
      <c r="I1" s="14"/>
      <c r="J1" s="14"/>
      <c r="K1" s="136"/>
      <c r="L1" s="136"/>
    </row>
    <row r="2" customFormat="false" ht="28.5" hidden="false" customHeight="true" outlineLevel="0" collapsed="false">
      <c r="A2" s="170" t="s">
        <v>112</v>
      </c>
      <c r="B2" s="171" t="s">
        <v>39</v>
      </c>
      <c r="C2" s="171" t="s">
        <v>113</v>
      </c>
      <c r="D2" s="171" t="s">
        <v>114</v>
      </c>
      <c r="E2" s="171" t="s">
        <v>115</v>
      </c>
      <c r="F2" s="171" t="s">
        <v>116</v>
      </c>
      <c r="G2" s="171" t="s">
        <v>117</v>
      </c>
      <c r="H2" s="26" t="s">
        <v>118</v>
      </c>
      <c r="I2" s="26" t="s">
        <v>119</v>
      </c>
      <c r="J2" s="26" t="s">
        <v>80</v>
      </c>
      <c r="K2" s="58" t="s">
        <v>120</v>
      </c>
      <c r="L2" s="26" t="s">
        <v>121</v>
      </c>
    </row>
    <row r="3" customFormat="false" ht="16.5" hidden="false" customHeight="true" outlineLevel="0" collapsed="false">
      <c r="A3" s="79"/>
      <c r="B3" s="80"/>
      <c r="C3" s="172"/>
      <c r="D3" s="173"/>
      <c r="E3" s="172"/>
      <c r="F3" s="173"/>
      <c r="G3" s="21"/>
      <c r="H3" s="21"/>
      <c r="I3" s="21"/>
      <c r="J3" s="21"/>
      <c r="K3" s="174"/>
      <c r="L3" s="173"/>
      <c r="XFC3" s="1"/>
      <c r="XFD3" s="1"/>
    </row>
    <row r="4" customFormat="false" ht="16.5" hidden="false" customHeight="true" outlineLevel="0" collapsed="false">
      <c r="A4" s="175"/>
      <c r="B4" s="173"/>
      <c r="C4" s="173"/>
      <c r="D4" s="173"/>
      <c r="E4" s="173"/>
      <c r="F4" s="173"/>
      <c r="G4" s="173"/>
      <c r="H4" s="176"/>
      <c r="I4" s="177"/>
      <c r="J4" s="177"/>
      <c r="K4" s="173"/>
      <c r="L4" s="173"/>
    </row>
    <row r="5" customFormat="false" ht="17.25" hidden="false" customHeight="true" outlineLevel="0" collapsed="false">
      <c r="A5" s="66"/>
      <c r="B5" s="70"/>
      <c r="C5" s="66"/>
      <c r="D5" s="70" t="n">
        <f aca="false">ABS(SUMIFS(D4,D4,1)-COUNTA(D4))</f>
        <v>0</v>
      </c>
      <c r="E5" s="66"/>
      <c r="F5" s="70" t="n">
        <f aca="false">COUNTIF($F$4,0)</f>
        <v>0</v>
      </c>
      <c r="G5" s="66"/>
      <c r="H5" s="66"/>
      <c r="I5" s="66"/>
      <c r="J5" s="66"/>
      <c r="K5" s="67"/>
      <c r="L5" s="70" t="n">
        <f aca="false">ABS(SUMIFS(L4,L4,1)-COUNTA(L4))</f>
        <v>0</v>
      </c>
    </row>
    <row r="7" customFormat="false" ht="18.75" hidden="false" customHeight="true" outlineLevel="0" collapsed="false">
      <c r="M7" s="97" t="s">
        <v>122</v>
      </c>
      <c r="N7" s="97"/>
      <c r="O7" s="97"/>
      <c r="P7" s="97"/>
    </row>
    <row r="8" customFormat="false" ht="19.5" hidden="false" customHeight="true" outlineLevel="0" collapsed="false">
      <c r="M8" s="26" t="s">
        <v>123</v>
      </c>
      <c r="N8" s="26" t="s">
        <v>124</v>
      </c>
      <c r="O8" s="26" t="s">
        <v>125</v>
      </c>
      <c r="P8" s="26" t="s">
        <v>61</v>
      </c>
    </row>
    <row r="9" customFormat="false" ht="16.5" hidden="false" customHeight="true" outlineLevel="0" collapsed="false">
      <c r="M9" s="26"/>
      <c r="N9" s="26"/>
      <c r="O9" s="169"/>
      <c r="P9" s="178"/>
    </row>
    <row r="10" customFormat="false" ht="16.5" hidden="false" customHeight="true" outlineLevel="0" collapsed="false">
      <c r="M10" s="79" t="s">
        <v>126</v>
      </c>
      <c r="N10" s="179" t="str">
        <f aca="false">IF(SUM($O10:$P10)=0,"✓","✗")</f>
        <v>✓</v>
      </c>
      <c r="O10" s="180" t="n">
        <f aca="false">$D$5+$L$5+$F$5</f>
        <v>0</v>
      </c>
      <c r="P10" s="181" t="n">
        <f aca="false">COUNTIFS($B4,P$8,$K4,"Oui")-COUNTIFS($B4,P$8,$K4,"Oui",$J4,0)</f>
        <v>0</v>
      </c>
    </row>
    <row r="11" customFormat="false" ht="16.5" hidden="false" customHeight="true" outlineLevel="0" collapsed="false">
      <c r="M11" s="79" t="s">
        <v>127</v>
      </c>
      <c r="N11" s="182" t="str">
        <f aca="false">IF(SUM($O11:$P11)=0,"✓","✗")</f>
        <v>✓</v>
      </c>
      <c r="O11" s="180"/>
      <c r="P11" s="183" t="n">
        <f aca="false">Budget!F$38</f>
        <v>0</v>
      </c>
    </row>
    <row r="12" customFormat="false" ht="16.5" hidden="false" customHeight="true" outlineLevel="0" collapsed="false">
      <c r="M12" s="79" t="s">
        <v>42</v>
      </c>
      <c r="N12" s="182" t="str">
        <f aca="false">IF(O12=0,"✓","⚠")</f>
        <v>✓</v>
      </c>
      <c r="O12" s="180" t="n">
        <f aca="false">COUNTIF(OPdate,"&lt;"&amp;DATE(2020,1,1))+COUNTIF(OPdate,"&gt;"&amp;DATE(année_courante,12,31))</f>
        <v>0</v>
      </c>
      <c r="P12" s="181"/>
    </row>
    <row r="13" customFormat="false" ht="16.5" hidden="false" customHeight="true" outlineLevel="0" collapsed="false">
      <c r="M13" s="79" t="s">
        <v>128</v>
      </c>
      <c r="N13" s="182" t="str">
        <f aca="false">IF(O13=0,"✓","⚠")</f>
        <v>✓</v>
      </c>
      <c r="O13" s="180" t="n">
        <f aca="false">COUNTIFS(OPréf,"-")</f>
        <v>0</v>
      </c>
      <c r="P13" s="181" t="n">
        <f aca="false">COUNTIFS(OPréf,"-",OPdevise,P$8)</f>
        <v>0</v>
      </c>
    </row>
    <row r="14" customFormat="false" ht="16.5" hidden="false" customHeight="true" outlineLevel="0" collapsed="false">
      <c r="M14" s="175" t="s">
        <v>129</v>
      </c>
      <c r="N14" s="182" t="str">
        <f aca="false">IF(O14=0,"✓","⚠")</f>
        <v>✓</v>
      </c>
      <c r="O14" s="180" t="n">
        <f aca="false">3-COUNTIFS(O15:O19,0)</f>
        <v>0</v>
      </c>
      <c r="P14" s="181" t="n">
        <f aca="false">COUNTA($M15:$M17)-COUNTIFS(P15:P17,0)</f>
        <v>0</v>
      </c>
    </row>
    <row r="15" customFormat="false" ht="16.5" hidden="false" customHeight="true" outlineLevel="0" collapsed="false">
      <c r="M15" s="184" t="s">
        <v>130</v>
      </c>
      <c r="N15" s="19"/>
      <c r="O15" s="110"/>
      <c r="P15" s="185" t="n">
        <f aca="false">ROUND(SUMIFS(OPmontant,OPdevise,P$8,OPcatégorie,"Virement*"),0)</f>
        <v>0</v>
      </c>
    </row>
    <row r="16" customFormat="false" ht="16.5" hidden="false" customHeight="true" outlineLevel="0" collapsed="false">
      <c r="M16" s="186" t="s">
        <v>131</v>
      </c>
      <c r="N16" s="19"/>
      <c r="O16" s="110" t="n">
        <f aca="false">SUM(P16)</f>
        <v>0</v>
      </c>
      <c r="P16" s="183" t="n">
        <f aca="false">ROUND(SUMIFS(OPmontant,OPdevise,P$8,OPcatégorie,"Virement*"),0)</f>
        <v>0</v>
      </c>
    </row>
    <row r="17" customFormat="false" ht="16.5" hidden="false" customHeight="true" outlineLevel="0" collapsed="false">
      <c r="M17" s="184" t="s">
        <v>14</v>
      </c>
      <c r="N17" s="19"/>
      <c r="O17" s="110"/>
      <c r="P17" s="183" t="n">
        <f aca="false">ROUND(SUMIFS(OPmontant,OPdevise,P$8,OPcatégorie,"*titres"),0)</f>
        <v>0</v>
      </c>
    </row>
    <row r="18" customFormat="false" ht="16.5" hidden="false" customHeight="true" outlineLevel="0" collapsed="false">
      <c r="M18" s="186" t="s">
        <v>131</v>
      </c>
      <c r="N18" s="19"/>
      <c r="O18" s="110" t="n">
        <f aca="false">SUM(P18)</f>
        <v>0</v>
      </c>
      <c r="P18" s="183" t="n">
        <f aca="false">ROUND(SUMIFS(OPmontant,OPdevise,P$8,OPcatégorie,"*titres"),0)</f>
        <v>0</v>
      </c>
    </row>
    <row r="19" customFormat="false" ht="16.5" hidden="false" customHeight="true" outlineLevel="0" collapsed="false">
      <c r="M19" s="184" t="s">
        <v>132</v>
      </c>
      <c r="N19" s="19"/>
      <c r="O19" s="110" t="n">
        <f aca="false">SUMIFS(OPequiv_euro,OPcatégorie,"Change") + SUMIFS(OPequiv_euro,OPcatégorie,"Achat métaux")</f>
        <v>0</v>
      </c>
      <c r="P19" s="183" t="n">
        <f aca="false">SUMIFS(OPequiv_euro,OPdevise,P$8,OPcatégorie,"Change")+SUMIFS(OPequiv_euro,OPdevise,P$8,OPcatégorie,"Achat métaux")</f>
        <v>0</v>
      </c>
    </row>
    <row r="20" customFormat="false" ht="16.5" hidden="false" customHeight="true" outlineLevel="0" collapsed="false">
      <c r="M20" s="187" t="s">
        <v>133</v>
      </c>
      <c r="N20" s="19"/>
      <c r="O20" s="188" t="n">
        <f aca="false">O16+O18+O19</f>
        <v>0</v>
      </c>
      <c r="P20" s="183" t="n">
        <f aca="false">P16+P18+P19</f>
        <v>0</v>
      </c>
    </row>
    <row r="21" customFormat="false" ht="16.5" hidden="false" customHeight="true" outlineLevel="0" collapsed="false">
      <c r="M21" s="175" t="s">
        <v>134</v>
      </c>
      <c r="N21" s="182" t="str">
        <f aca="false">IF(O21=0,"✓","✗")</f>
        <v>✓</v>
      </c>
      <c r="O21" s="180" t="n">
        <f aca="false">SUMPRODUCT((COUNTIF(AVRintitulé,OPcompte)=0)*(OPcompte&lt;&gt;""))</f>
        <v>0</v>
      </c>
      <c r="P21" s="110"/>
    </row>
    <row r="22" customFormat="false" ht="16.5" hidden="false" customHeight="true" outlineLevel="0" collapsed="false">
      <c r="M22" s="67" t="s">
        <v>135</v>
      </c>
      <c r="N22" s="70" t="str">
        <f aca="false">IF(N10&amp;N11&amp;N12&amp;$N13&amp;$N14&amp;$N21="✓✓✓✓✓✓","✓",$N10&amp;$N11&amp;N12&amp;$N13&amp;$N14&amp;$N21)</f>
        <v>✓</v>
      </c>
      <c r="O22" s="189" t="n">
        <f aca="false">O18+O20+O21</f>
        <v>0</v>
      </c>
      <c r="P22" s="67"/>
    </row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M7:P7"/>
  </mergeCells>
  <conditionalFormatting sqref="O16:P16 O18:O20 P11 P15 P17:P18">
    <cfRule type="cellIs" priority="2" operator="notEqual" aboveAverage="0" equalAverage="0" bottom="0" percent="0" rank="0" text="" dxfId="0">
      <formula>0</formula>
    </cfRule>
  </conditionalFormatting>
  <conditionalFormatting sqref="O10:P10 O12 O22 P13:P14">
    <cfRule type="cellIs" priority="3" operator="notEqual" aboveAverage="0" equalAverage="0" bottom="0" percent="0" rank="0" text="" dxfId="0">
      <formula>0</formula>
    </cfRule>
  </conditionalFormatting>
  <conditionalFormatting sqref="N22">
    <cfRule type="cellIs" priority="4" operator="notEqual" aboveAverage="0" equalAverage="0" bottom="0" percent="0" rank="0" text="" dxfId="0">
      <formula>"."</formula>
    </cfRule>
  </conditionalFormatting>
  <conditionalFormatting sqref="N9">
    <cfRule type="expression" priority="5" aboveAverage="0" equalAverage="0" bottom="0" percent="0" rank="0" text="" dxfId="1">
      <formula>NOT(ISERROR(FIND("✗",INDIRECT("RC",0))))</formula>
    </cfRule>
    <cfRule type="expression" priority="6" aboveAverage="0" equalAverage="0" bottom="0" percent="0" rank="0" text="" dxfId="2">
      <formula>NOT(ISERROR(FIND("⚠",INDIRECT("RC",0))))</formula>
    </cfRule>
  </conditionalFormatting>
  <conditionalFormatting sqref="N10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N11">
    <cfRule type="expression" priority="9" aboveAverage="0" equalAverage="0" bottom="0" percent="0" rank="0" text="" dxfId="1">
      <formula>NOT(ISERROR(FIND("✗",INDIRECT("RC",0))))</formula>
    </cfRule>
    <cfRule type="expression" priority="10" aboveAverage="0" equalAverage="0" bottom="0" percent="0" rank="0" text="" dxfId="2">
      <formula>NOT(ISERROR(FIND("⚠",INDIRECT("RC",0))))</formula>
    </cfRule>
  </conditionalFormatting>
  <conditionalFormatting sqref="N12">
    <cfRule type="expression" priority="11" aboveAverage="0" equalAverage="0" bottom="0" percent="0" rank="0" text="" dxfId="1">
      <formula>NOT(ISERROR(FIND("✗",INDIRECT("RC",0))))</formula>
    </cfRule>
    <cfRule type="expression" priority="12" aboveAverage="0" equalAverage="0" bottom="0" percent="0" rank="0" text="" dxfId="2">
      <formula>NOT(ISERROR(FIND("⚠",INDIRECT("RC",0))))</formula>
    </cfRule>
  </conditionalFormatting>
  <conditionalFormatting sqref="N21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A1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C1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N13:N14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O13:O14">
    <cfRule type="cellIs" priority="21" operator="notEqual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2" min="2" style="74" width="9"/>
    <col collapsed="false" customWidth="true" hidden="false" outlineLevel="0" max="3" min="3" style="133" width="9"/>
    <col collapsed="false" customWidth="true" hidden="false" outlineLevel="0" max="4" min="4" style="74" width="14.47"/>
    <col collapsed="false" customWidth="true" hidden="false" outlineLevel="0" max="5" min="5" style="74" width="15.33"/>
    <col collapsed="false" customWidth="true" hidden="false" outlineLevel="0" max="6" min="6" style="74" width="17.52"/>
    <col collapsed="false" customWidth="true" hidden="false" outlineLevel="0" max="7" min="7" style="44" width="9.83"/>
    <col collapsed="false" customWidth="true" hidden="false" outlineLevel="0" max="8" min="8" style="44" width="9.52"/>
    <col collapsed="false" customWidth="true" hidden="false" outlineLevel="0" max="9" min="9" style="44" width="3.5"/>
    <col collapsed="false" customWidth="true" hidden="false" outlineLevel="0" max="10" min="10" style="44" width="67.16"/>
    <col collapsed="false" customWidth="false" hidden="false" outlineLevel="0" max="16381" min="11" style="44" width="13.16"/>
    <col collapsed="false" customWidth="true" hidden="false" outlineLevel="0" max="16382" min="16382" style="1" width="11.5"/>
    <col collapsed="false" customWidth="true" hidden="false" outlineLevel="0" max="16384" min="16383" style="1" width="11.53"/>
  </cols>
  <sheetData>
    <row r="1" customFormat="false" ht="16.5" hidden="false" customHeight="true" outlineLevel="0" collapsed="false">
      <c r="A1" s="136" t="str">
        <f aca="false">Contrôles!$N$22</f>
        <v>✓</v>
      </c>
      <c r="B1" s="136"/>
      <c r="C1" s="136"/>
      <c r="D1" s="136" t="n">
        <f aca="false">année_courante</f>
        <v>2026</v>
      </c>
      <c r="E1" s="136"/>
      <c r="F1" s="14"/>
    </row>
    <row r="2" customFormat="false" ht="21" hidden="false" customHeight="true" outlineLevel="0" collapsed="false">
      <c r="A2" s="190" t="s">
        <v>136</v>
      </c>
      <c r="B2" s="190" t="s">
        <v>137</v>
      </c>
      <c r="C2" s="191" t="s">
        <v>138</v>
      </c>
      <c r="D2" s="58" t="s">
        <v>139</v>
      </c>
      <c r="E2" s="58" t="s">
        <v>42</v>
      </c>
      <c r="F2" s="58" t="s">
        <v>140</v>
      </c>
    </row>
    <row r="3" customFormat="false" ht="16.5" hidden="false" customHeight="true" outlineLevel="0" collapsed="false">
      <c r="A3" s="192" t="s">
        <v>16</v>
      </c>
      <c r="B3" s="192" t="s">
        <v>141</v>
      </c>
      <c r="C3" s="19" t="s">
        <v>61</v>
      </c>
      <c r="D3" s="65" t="n">
        <v>1</v>
      </c>
      <c r="E3" s="193"/>
      <c r="F3" s="194"/>
    </row>
    <row r="4" customFormat="false" ht="16.5" hidden="false" customHeight="true" outlineLevel="0" collapsed="false">
      <c r="A4" s="192"/>
      <c r="B4" s="192"/>
      <c r="C4" s="19"/>
      <c r="D4" s="65"/>
      <c r="E4" s="193"/>
      <c r="F4" s="194"/>
    </row>
    <row r="6" customFormat="false" ht="18" hidden="false" customHeight="true" outlineLevel="0" collapsed="false">
      <c r="D6" s="195"/>
      <c r="E6" s="195"/>
    </row>
    <row r="7" customFormat="false" ht="18" hidden="false" customHeight="true" outlineLevel="0" collapsed="false">
      <c r="D7" s="195"/>
      <c r="E7" s="195"/>
    </row>
    <row r="8" customFormat="false" ht="18" hidden="false" customHeight="true" outlineLevel="0" collapsed="false">
      <c r="D8" s="195"/>
      <c r="E8" s="195"/>
    </row>
    <row r="9" customFormat="false" ht="18" hidden="false" customHeight="true" outlineLevel="0" collapsed="false">
      <c r="D9" s="195"/>
      <c r="E9" s="195"/>
    </row>
    <row r="10" customFormat="false" ht="18" hidden="false" customHeight="true" outlineLevel="0" collapsed="false">
      <c r="D10" s="195"/>
      <c r="E10" s="195"/>
    </row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:B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52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2026-03-28T10:00:12Z</dcterms:modified>
  <cp:revision>938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