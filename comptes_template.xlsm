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Patrimoine!$K$40:$K$65</definedName>
    <definedName function="false" hidden="false" name="CONVlégende" vbProcedure="false">Patrimoine!$L$40:$L$65</definedName>
    <definedName function="false" hidden="false" name="CONVnom" vbProcedure="false">Patrimoine!$J$40:$J$65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Contrôles!$K$9:$K$26</definedName>
    <definedName function="false" hidden="false" name="CTRL2drill" vbProcedure="false">Contrôles!$M$9:$M$26</definedName>
    <definedName function="false" hidden="false" name="CTRL2general" vbProcedure="false">Contrôles!$L$9:$L$26</definedName>
    <definedName function="false" hidden="false" name="CTRL2type" vbProcedure="false">Contrôles!$J$9:$J$26</definedName>
    <definedName function="false" hidden="false" name="CTRL2_fonds_en_transit" vbProcedure="false">Contrôles!$L$21</definedName>
    <definedName function="false" hidden="false" name="CTRL2_synthese" vbProcedure="false">Contrôles!$K$27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<sst xmlns="http://schemas.openxmlformats.org/spreadsheetml/2006/main" count="224" uniqueCount="161">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</sst>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9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5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9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2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7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7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Contrôles!K$27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 t="s">
        <v>37</v>
      </c>
      <c r="L48" s="38" t="s">
        <v>38</v>
      </c>
    </row>
    <row r="49" customFormat="false" ht="15.85" hidden="false" customHeight="true" outlineLevel="0" collapsed="false">
      <c r="J49" s="14"/>
      <c r="K49" s="42" t="s">
        <v>39</v>
      </c>
      <c r="L49" s="38" t="s">
        <v>40</v>
      </c>
    </row>
    <row r="50" customFormat="false" ht="15.85" hidden="false" customHeight="true" outlineLevel="0" collapsed="false">
      <c r="J50" s="14"/>
      <c r="K50" s="42" t="s">
        <v>41</v>
      </c>
      <c r="L50" s="38" t="s">
        <v>42</v>
      </c>
    </row>
    <row r="51" customFormat="false" ht="15.85" hidden="false" customHeight="true" outlineLevel="0" collapsed="false">
      <c r="J51" s="14"/>
      <c r="K51" s="43"/>
      <c r="L51" s="38"/>
    </row>
    <row r="52" customFormat="false" ht="15.85" hidden="false" customHeight="true" outlineLevel="0" collapsed="false">
      <c r="J52" s="14"/>
      <c r="K52" s="38" t="s">
        <v>43</v>
      </c>
      <c r="L52" s="38"/>
    </row>
    <row r="53" customFormat="false" ht="15.85" hidden="false" customHeight="true" outlineLevel="0" collapsed="false">
      <c r="J53" s="14"/>
      <c r="K53" s="43"/>
      <c r="L53" s="38"/>
    </row>
    <row r="54" customFormat="false" ht="15.85" hidden="false" customHeight="true" outlineLevel="0" collapsed="false">
      <c r="J54" s="14"/>
      <c r="K54" s="43" t="s">
        <v>3</v>
      </c>
      <c r="L54" s="38" t="s">
        <v>44</v>
      </c>
    </row>
    <row r="55" customFormat="false" ht="15.85" hidden="false" customHeight="true" outlineLevel="0" collapsed="false">
      <c r="J55" s="14"/>
      <c r="K55" s="43" t="s">
        <v>45</v>
      </c>
      <c r="L55" s="38" t="s">
        <v>46</v>
      </c>
    </row>
    <row r="56" customFormat="false" ht="15.85" hidden="false" customHeight="true" outlineLevel="0" collapsed="false">
      <c r="J56" s="14"/>
      <c r="K56" s="43" t="s">
        <v>47</v>
      </c>
      <c r="L56" s="38" t="s">
        <v>48</v>
      </c>
    </row>
    <row r="57" customFormat="false" ht="15.85" hidden="false" customHeight="true" outlineLevel="0" collapsed="false">
      <c r="J57" s="14"/>
      <c r="K57" s="43" t="s">
        <v>49</v>
      </c>
      <c r="L57" s="38" t="s">
        <v>48</v>
      </c>
    </row>
    <row r="58" customFormat="false" ht="15.85" hidden="false" customHeight="true" outlineLevel="0" collapsed="false">
      <c r="J58" s="14"/>
      <c r="K58" s="43" t="s">
        <v>50</v>
      </c>
      <c r="L58" s="38" t="s">
        <v>51</v>
      </c>
    </row>
    <row r="59" customFormat="false" ht="15.85" hidden="false" customHeight="true" outlineLevel="0" collapsed="false">
      <c r="J59" s="14"/>
      <c r="K59" s="43" t="s">
        <v>52</v>
      </c>
      <c r="L59" s="38" t="s">
        <v>53</v>
      </c>
    </row>
    <row r="60" customFormat="false" ht="15.85" hidden="false" customHeight="true" outlineLevel="0" collapsed="false">
      <c r="J60" s="14"/>
      <c r="K60" s="43" t="s">
        <v>54</v>
      </c>
      <c r="L60" s="38" t="s">
        <v>53</v>
      </c>
    </row>
    <row r="61" customFormat="false" ht="15.85" hidden="false" customHeight="true" outlineLevel="0" collapsed="false">
      <c r="J61" s="14"/>
      <c r="K61" s="43" t="s">
        <v>55</v>
      </c>
      <c r="L61" s="38" t="s">
        <v>56</v>
      </c>
    </row>
    <row r="62" customFormat="false" ht="15.85" hidden="false" customHeight="true" outlineLevel="0" collapsed="false">
      <c r="J62" s="14"/>
      <c r="K62" s="43" t="s">
        <v>57</v>
      </c>
      <c r="L62" s="38" t="s">
        <v>56</v>
      </c>
    </row>
    <row r="63" customFormat="false" ht="15.85" hidden="false" customHeight="true" outlineLevel="0" collapsed="false">
      <c r="J63" s="14"/>
      <c r="K63" s="43"/>
      <c r="L63" s="43"/>
    </row>
    <row r="64" customFormat="false" ht="15.85" hidden="false" customHeight="true" outlineLevel="0" collapsed="false">
      <c r="J64" s="14"/>
      <c r="K64" s="38" t="s">
        <v>58</v>
      </c>
      <c r="L64" s="43"/>
    </row>
    <row r="65" customFormat="false" ht="12.75" hidden="false" customHeight="true" outlineLevel="0" collapsed="false">
      <c r="J65" s="14" t="s">
        <v>4</v>
      </c>
      <c r="K65" s="43"/>
      <c r="L65" s="43"/>
    </row>
    <row r="66" customFormat="false" ht="12.75" hidden="false" customHeight="true" outlineLevel="0" collapsed="false">
      <c r="J66" s="30"/>
      <c r="K66" s="30"/>
      <c r="L66" s="30"/>
    </row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59</v>
      </c>
      <c r="B1" s="47" t="s">
        <v>60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IF(ISERROR(L6),"✗","✓")</f>
        <v>✓</v>
      </c>
    </row>
    <row r="2" customFormat="false" ht="16.5" hidden="false" customHeight="true" outlineLevel="0" collapsed="false">
      <c r="A2" s="49" t="str">
        <f aca="false">Contrôles!K$27</f>
        <v>✓</v>
      </c>
      <c r="B2" s="5"/>
      <c r="C2" s="5"/>
      <c r="D2" s="10"/>
      <c r="E2" s="10"/>
      <c r="F2" s="10"/>
      <c r="G2" s="10"/>
      <c r="H2" s="47" t="s">
        <v>61</v>
      </c>
      <c r="I2" s="49"/>
      <c r="J2" s="47" t="s">
        <v>62</v>
      </c>
      <c r="K2" s="49"/>
      <c r="L2" s="50" t="n">
        <f aca="false">L6</f>
        <v>0</v>
      </c>
    </row>
    <row r="3" customFormat="false" ht="33.75" hidden="false" customHeight="true" outlineLevel="0" collapsed="false">
      <c r="A3" s="26" t="s">
        <v>63</v>
      </c>
      <c r="B3" s="47" t="s">
        <v>64</v>
      </c>
      <c r="C3" s="47" t="s">
        <v>65</v>
      </c>
      <c r="D3" s="49" t="s">
        <v>66</v>
      </c>
      <c r="E3" s="51" t="s">
        <v>67</v>
      </c>
      <c r="F3" s="49" t="s">
        <v>68</v>
      </c>
      <c r="G3" s="49" t="s">
        <v>69</v>
      </c>
      <c r="H3" s="49" t="s">
        <v>70</v>
      </c>
      <c r="I3" s="26" t="s">
        <v>71</v>
      </c>
      <c r="J3" s="49" t="s">
        <v>70</v>
      </c>
      <c r="K3" s="51" t="s">
        <v>71</v>
      </c>
      <c r="L3" s="51" t="s">
        <v>72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6.5" hidden="false" customHeight="true" outlineLevel="0" collapsed="false">
      <c r="A5" s="14" t="s">
        <v>4</v>
      </c>
      <c r="B5" s="53"/>
      <c r="C5" s="53"/>
      <c r="D5" s="54"/>
      <c r="E5" s="54"/>
      <c r="F5" s="54"/>
      <c r="G5" s="54"/>
      <c r="H5" s="54"/>
      <c r="I5" s="54"/>
      <c r="J5" s="56"/>
      <c r="K5" s="57"/>
      <c r="L5" s="57"/>
    </row>
    <row r="6" customFormat="false" ht="17.25" hidden="false" customHeight="true" outlineLevel="0" collapsed="false">
      <c r="A6" s="58" t="s">
        <v>50</v>
      </c>
      <c r="B6" s="58"/>
      <c r="C6" s="30"/>
      <c r="D6" s="59"/>
      <c r="E6" s="59"/>
      <c r="F6" s="60"/>
      <c r="G6" s="60"/>
      <c r="H6" s="60"/>
      <c r="I6" s="61"/>
      <c r="J6" s="61"/>
      <c r="K6" s="61"/>
      <c r="L6" s="61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2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63" width="31.68"/>
    <col collapsed="false" customWidth="true" hidden="false" outlineLevel="0" max="6" min="6" style="63" width="15.77"/>
    <col collapsed="false" customWidth="true" hidden="false" outlineLevel="0" max="7" min="7" style="63" width="12.84"/>
    <col collapsed="false" customWidth="true" hidden="false" outlineLevel="0" max="8" min="8" style="63" width="11.12"/>
    <col collapsed="false" customWidth="true" hidden="false" outlineLevel="0" max="9" min="9" style="63" width="13.16"/>
    <col collapsed="false" customWidth="true" hidden="false" outlineLevel="0" max="10" min="10" style="63" width="37"/>
    <col collapsed="false" customWidth="false" hidden="false" outlineLevel="0" max="16366" min="29" style="63" width="10.83"/>
    <col collapsed="false" customWidth="true" hidden="false" outlineLevel="0" max="16384" min="16367" style="63" width="11.53"/>
  </cols>
  <sheetData>
    <row r="1" customFormat="false" ht="16.5" hidden="false" customHeight="true" outlineLevel="0" collapsed="false">
      <c r="A1" s="51" t="str">
        <f aca="false">Contrôles!K$27</f>
        <v>✓</v>
      </c>
      <c r="B1" s="12"/>
      <c r="C1" s="64" t="n">
        <f aca="false">C$2-365</f>
        <v>45847</v>
      </c>
      <c r="D1" s="64"/>
    </row>
    <row r="2" customFormat="false" ht="16.5" hidden="false" customHeight="true" outlineLevel="0" collapsed="false">
      <c r="A2" s="12"/>
      <c r="B2" s="12"/>
      <c r="C2" s="64" t="n">
        <f aca="true">TODAY()</f>
        <v>46212</v>
      </c>
      <c r="D2" s="64"/>
    </row>
    <row r="3" customFormat="false" ht="28.5" hidden="false" customHeight="true" outlineLevel="0" collapsed="false">
      <c r="A3" s="26" t="s">
        <v>73</v>
      </c>
      <c r="B3" s="26" t="s">
        <v>64</v>
      </c>
      <c r="C3" s="26" t="s">
        <v>74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75</v>
      </c>
      <c r="B5" s="55" t="s">
        <v>76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5"/>
      <c r="C6" s="16"/>
      <c r="D6" s="16"/>
    </row>
    <row r="7" customFormat="false" ht="17.25" hidden="false" customHeight="true" outlineLevel="0" collapsed="false">
      <c r="A7" s="65" t="s">
        <v>77</v>
      </c>
      <c r="B7" s="58"/>
      <c r="C7" s="61" t="n">
        <f aca="false">SUM(POSTESmontant)</f>
        <v>0</v>
      </c>
      <c r="D7" s="66"/>
    </row>
    <row r="8" customFormat="false" ht="16.5" hidden="false" customHeight="true" outlineLevel="0" collapsed="false">
      <c r="A8" s="67" t="s">
        <v>78</v>
      </c>
      <c r="B8" s="68"/>
      <c r="C8" s="69" t="n">
        <f aca="false">SUMIF(POSTEStype,"Fixe",POSTESmontant)</f>
        <v>0</v>
      </c>
      <c r="D8" s="70"/>
    </row>
    <row r="9" customFormat="false" ht="17.25" hidden="false" customHeight="true" outlineLevel="0" collapsed="false">
      <c r="A9" s="67" t="s">
        <v>79</v>
      </c>
      <c r="B9" s="68"/>
      <c r="C9" s="69" t="n">
        <f aca="false">C$8/12</f>
        <v>0</v>
      </c>
      <c r="D9" s="71"/>
    </row>
    <row r="10" customFormat="false" ht="16.5" hidden="false" customHeight="true" outlineLevel="0" collapsed="false">
      <c r="A10" s="67" t="s">
        <v>80</v>
      </c>
      <c r="B10" s="68"/>
      <c r="C10" s="69" t="n">
        <f aca="false">ROUND(C$7-I$27,2)</f>
        <v>0</v>
      </c>
      <c r="D10" s="72"/>
    </row>
    <row r="12" customFormat="false" ht="18.75" hidden="false" customHeight="true" outlineLevel="0" collapsed="false">
      <c r="E12" s="73" t="s">
        <v>45</v>
      </c>
      <c r="F12" s="73"/>
      <c r="G12" s="73"/>
      <c r="H12" s="73"/>
      <c r="I12" s="73"/>
      <c r="J12" s="73"/>
    </row>
    <row r="13" customFormat="false" ht="37.5" hidden="false" customHeight="true" outlineLevel="0" collapsed="false">
      <c r="E13" s="74" t="s">
        <v>81</v>
      </c>
      <c r="F13" s="75" t="s">
        <v>82</v>
      </c>
      <c r="G13" s="26" t="s">
        <v>83</v>
      </c>
      <c r="H13" s="51" t="s">
        <v>84</v>
      </c>
      <c r="I13" s="26" t="s">
        <v>85</v>
      </c>
      <c r="J13" s="26" t="s">
        <v>73</v>
      </c>
    </row>
    <row r="14" customFormat="false" ht="15" hidden="false" customHeight="true" outlineLevel="0" collapsed="false">
      <c r="E14" s="74" t="s">
        <v>86</v>
      </c>
      <c r="F14" s="76" t="n">
        <f aca="false">INDEX(COTcours,MATCH($F$13,COTcode,0))</f>
        <v>1</v>
      </c>
      <c r="G14" s="12"/>
      <c r="H14" s="77"/>
      <c r="I14" s="78"/>
      <c r="J14" s="78"/>
    </row>
    <row r="15" customFormat="false" ht="15" hidden="false" customHeight="true" outlineLevel="0" collapsed="false">
      <c r="E15" s="32" t="s">
        <v>4</v>
      </c>
      <c r="F15" s="16"/>
      <c r="G15" s="16"/>
      <c r="H15" s="79"/>
      <c r="I15" s="16"/>
      <c r="J15" s="80"/>
    </row>
    <row r="16" customFormat="false" ht="16.5" hidden="false" customHeight="true" outlineLevel="0" collapsed="false">
      <c r="E16" s="32" t="s">
        <v>87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9"/>
      <c r="I16" s="16"/>
      <c r="J16" s="80"/>
    </row>
    <row r="17" customFormat="false" ht="16.5" hidden="false" customHeight="true" outlineLevel="0" collapsed="false">
      <c r="E17" s="32" t="s">
        <v>88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9"/>
      <c r="I17" s="16"/>
      <c r="J17" s="80"/>
    </row>
    <row r="18" customFormat="false" ht="16.5" hidden="false" customHeight="true" outlineLevel="0" collapsed="false">
      <c r="E18" s="32" t="s">
        <v>89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2"/>
    </row>
    <row r="19" customFormat="false" ht="16.5" hidden="false" customHeight="true" outlineLevel="0" collapsed="false">
      <c r="E19" s="32" t="s">
        <v>90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2"/>
    </row>
    <row r="20" customFormat="false" ht="16.5" hidden="false" customHeight="true" outlineLevel="0" collapsed="false">
      <c r="E20" s="32" t="s">
        <v>91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2"/>
    </row>
    <row r="21" customFormat="false" ht="16.5" hidden="false" customHeight="true" outlineLevel="0" collapsed="false">
      <c r="E21" s="32" t="s">
        <v>92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9"/>
      <c r="I21" s="16"/>
      <c r="J21" s="80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1" t="n">
        <v>1</v>
      </c>
      <c r="I22" s="16" t="n">
        <f aca="false">G22*H22</f>
        <v>0</v>
      </c>
      <c r="J22" s="52" t="s">
        <v>75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2"/>
    </row>
    <row r="24" customFormat="false" ht="19.5" hidden="false" customHeight="true" outlineLevel="0" collapsed="false">
      <c r="E24" s="65" t="s">
        <v>50</v>
      </c>
      <c r="F24" s="61" t="n">
        <f aca="false">SUM(CATmontant)</f>
        <v>0</v>
      </c>
      <c r="G24" s="61" t="n">
        <f aca="false">SUM(CATtotal_euro)</f>
        <v>0</v>
      </c>
      <c r="H24" s="82"/>
      <c r="I24" s="61"/>
      <c r="J24" s="82"/>
    </row>
    <row r="25" customFormat="false" ht="18" hidden="false" customHeight="true" outlineLevel="0" collapsed="false">
      <c r="E25" s="67" t="s">
        <v>93</v>
      </c>
      <c r="F25" s="69" t="n">
        <f aca="false">SUMIFS(OPmontant,OPdevise,F$13,OPdate,"&gt;"&amp;$C$2-365,OPcatégorie,"&lt;&gt;"&amp;Spéciale)</f>
        <v>0</v>
      </c>
      <c r="G25" s="69" t="n">
        <f aca="false">SUMPRODUCT(SUMIFS(OPmontant,OPdate,"&gt;"&amp;$C$2-365,OPcatégorie,"&lt;&gt;"&amp;Spéciale,OPdevise,COTcode)*COTcours)</f>
        <v>0</v>
      </c>
      <c r="H25" s="83"/>
      <c r="I25" s="69"/>
      <c r="J25" s="83"/>
    </row>
    <row r="26" customFormat="false" ht="16.5" hidden="false" customHeight="true" outlineLevel="0" collapsed="false">
      <c r="E26" s="67" t="s">
        <v>94</v>
      </c>
      <c r="F26" s="69" t="n">
        <f aca="false">ROUND(F$24-F$25,2)</f>
        <v>0</v>
      </c>
      <c r="G26" s="69" t="n">
        <f aca="false">ROUND(G$24-G$25,2)</f>
        <v>0</v>
      </c>
      <c r="H26" s="83"/>
      <c r="I26" s="69"/>
      <c r="J26" s="83"/>
    </row>
    <row r="27" customFormat="false" ht="21.75" hidden="false" customHeight="true" outlineLevel="0" collapsed="false">
      <c r="E27" s="67" t="s">
        <v>95</v>
      </c>
      <c r="F27" s="69" t="n">
        <f aca="false">SUMIFS(CATmontant,CATnom,"&lt;&gt;@*")</f>
        <v>0</v>
      </c>
      <c r="G27" s="69" t="n">
        <f aca="false">SUMIFS(CATtotal_euro,CATnom,"&lt;&gt;@*")</f>
        <v>0</v>
      </c>
      <c r="H27" s="83"/>
      <c r="I27" s="69" t="n">
        <f aca="false">SUMIFS(CATaffectation,CATnom,"&lt;&gt;@*")</f>
        <v>0</v>
      </c>
      <c r="J27" s="83"/>
    </row>
    <row r="28" customFormat="false" ht="16.5" hidden="false" customHeight="true" outlineLevel="0" collapsed="false">
      <c r="E28" s="67" t="s">
        <v>96</v>
      </c>
      <c r="F28" s="69" t="n">
        <f aca="false">F$27*INDEX(COTcours,MATCH($F$13,COTcode,0))</f>
        <v>0</v>
      </c>
      <c r="G28" s="69" t="n">
        <f aca="false">SUM(F$28)</f>
        <v>0</v>
      </c>
      <c r="H28" s="83"/>
      <c r="I28" s="69"/>
      <c r="J28" s="83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25.15"/>
    <col collapsed="false" customWidth="true" hidden="false" outlineLevel="0" max="2" min="2" style="63" width="31.42"/>
    <col collapsed="false" customWidth="true" hidden="false" outlineLevel="0" max="3" min="3" style="63" width="28.57"/>
    <col collapsed="false" customWidth="true" hidden="false" outlineLevel="0" max="4" min="4" style="63" width="15.09"/>
    <col collapsed="false" customWidth="true" hidden="false" outlineLevel="0" max="5" min="5" style="84" width="17.62"/>
    <col collapsed="false" customWidth="true" hidden="false" outlineLevel="0" max="6" min="6" style="63" width="13.67"/>
    <col collapsed="false" customWidth="true" hidden="false" outlineLevel="0" max="7" min="7" style="84" width="9.16"/>
    <col collapsed="false" customWidth="true" hidden="false" outlineLevel="0" max="8" min="8" style="63" width="15.66"/>
    <col collapsed="false" customWidth="true" hidden="false" outlineLevel="0" max="9" min="9" style="63" width="17.74"/>
    <col collapsed="false" customWidth="true" hidden="false" outlineLevel="0" max="10" min="10" style="63" width="15.66"/>
    <col collapsed="false" customWidth="true" hidden="false" outlineLevel="0" max="11" min="11" style="84" width="17.74"/>
    <col collapsed="false" customWidth="true" hidden="false" outlineLevel="0" max="12" min="12" style="84" width="13.67"/>
    <col collapsed="false" customWidth="false" hidden="false" outlineLevel="0" max="16379" min="13" style="63" width="13.16"/>
    <col collapsed="false" customWidth="true" hidden="false" outlineLevel="0" max="16384" min="16380" style="63" width="11.53"/>
  </cols>
  <sheetData>
    <row r="1" customFormat="false" ht="16.5" hidden="false" customHeight="true" outlineLevel="0" collapsed="false">
      <c r="A1" s="74" t="str">
        <f aca="false">Contrôles!$K27</f>
        <v>✓</v>
      </c>
      <c r="B1" s="47" t="s">
        <v>97</v>
      </c>
      <c r="C1" s="12"/>
      <c r="D1" s="74"/>
      <c r="E1" s="12"/>
      <c r="F1" s="74"/>
      <c r="G1" s="12"/>
      <c r="H1" s="12"/>
      <c r="I1" s="12"/>
      <c r="J1" s="74"/>
      <c r="K1" s="74"/>
    </row>
    <row r="2" customFormat="false" ht="16.5" hidden="false" customHeight="true" outlineLevel="0" collapsed="false">
      <c r="A2" s="47"/>
      <c r="B2" s="47" t="s">
        <v>98</v>
      </c>
      <c r="C2" s="47"/>
      <c r="D2" s="74"/>
      <c r="E2" s="12"/>
      <c r="F2" s="74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IF(OR(ISERROR(E15),ISERROR(K15)),"✗","✓")</f>
        <v>✓</v>
      </c>
      <c r="C3" s="47"/>
      <c r="D3" s="74"/>
      <c r="E3" s="11" t="n">
        <f aca="false">E15</f>
        <v>0</v>
      </c>
      <c r="F3" s="74"/>
      <c r="G3" s="85" t="n">
        <f aca="false">G15</f>
        <v>0</v>
      </c>
      <c r="H3" s="47"/>
      <c r="I3" s="12"/>
      <c r="J3" s="47"/>
      <c r="K3" s="12"/>
    </row>
    <row r="4" customFormat="false" ht="24.75" hidden="false" customHeight="true" outlineLevel="0" collapsed="false">
      <c r="A4" s="86" t="s">
        <v>99</v>
      </c>
      <c r="B4" s="26" t="s">
        <v>54</v>
      </c>
      <c r="C4" s="26" t="s">
        <v>100</v>
      </c>
      <c r="D4" s="26" t="s">
        <v>67</v>
      </c>
      <c r="E4" s="87" t="s">
        <v>101</v>
      </c>
      <c r="F4" s="26" t="s">
        <v>102</v>
      </c>
      <c r="G4" s="51" t="s">
        <v>103</v>
      </c>
      <c r="H4" s="26" t="s">
        <v>104</v>
      </c>
      <c r="I4" s="88" t="s">
        <v>105</v>
      </c>
      <c r="J4" s="51" t="s">
        <v>106</v>
      </c>
      <c r="K4" s="88" t="s">
        <v>107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89" t="s">
        <v>108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89" t="s">
        <v>109</v>
      </c>
      <c r="B8" s="52"/>
      <c r="C8" s="52"/>
      <c r="D8" s="52"/>
      <c r="E8" s="52"/>
      <c r="F8" s="52"/>
      <c r="G8" s="52"/>
      <c r="H8" s="52"/>
      <c r="I8" s="52"/>
      <c r="J8" s="52"/>
      <c r="K8" s="52"/>
    </row>
    <row r="9" customFormat="false" ht="16.5" hidden="false" customHeight="true" outlineLevel="0" collapsed="false">
      <c r="A9" s="32"/>
      <c r="B9" s="52"/>
      <c r="C9" s="52"/>
      <c r="D9" s="52"/>
      <c r="E9" s="52"/>
      <c r="F9" s="52"/>
      <c r="G9" s="52"/>
      <c r="H9" s="52"/>
      <c r="I9" s="52"/>
      <c r="J9" s="52"/>
      <c r="K9" s="52"/>
    </row>
    <row r="10" customFormat="false" ht="16.5" hidden="false" customHeight="true" outlineLevel="0" collapsed="false">
      <c r="A10" s="89" t="s">
        <v>110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customFormat="false" ht="16.5" hidden="false" customHeight="true" outlineLevel="0" collapsed="false">
      <c r="A11" s="32"/>
      <c r="B11" s="52"/>
      <c r="C11" s="52"/>
      <c r="D11" s="52"/>
      <c r="E11" s="52"/>
      <c r="F11" s="52"/>
      <c r="G11" s="52"/>
      <c r="H11" s="52"/>
      <c r="I11" s="52"/>
      <c r="J11" s="52"/>
      <c r="K11" s="52"/>
    </row>
    <row r="12" customFormat="false" ht="16.5" hidden="false" customHeight="true" outlineLevel="0" collapsed="false">
      <c r="A12" s="89" t="s">
        <v>111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customFormat="false" ht="16.5" hidden="false" customHeight="true" outlineLevel="0" collapsed="false">
      <c r="A13" s="32"/>
      <c r="B13" s="52"/>
      <c r="C13" s="52"/>
      <c r="D13" s="52"/>
      <c r="E13" s="52"/>
      <c r="F13" s="52"/>
      <c r="G13" s="52"/>
      <c r="H13" s="52"/>
      <c r="I13" s="52"/>
      <c r="J13" s="52"/>
      <c r="K13" s="52"/>
    </row>
    <row r="14" customFormat="false" ht="16.5" hidden="false" customHeight="true" outlineLevel="0" collapsed="false">
      <c r="A14" s="89" t="s">
        <v>4</v>
      </c>
      <c r="B14" s="90"/>
      <c r="C14" s="91"/>
      <c r="D14" s="92"/>
      <c r="E14" s="91"/>
      <c r="F14" s="91"/>
      <c r="G14" s="93"/>
      <c r="H14" s="91"/>
      <c r="I14" s="91"/>
      <c r="J14" s="91"/>
      <c r="K14" s="91"/>
    </row>
    <row r="15" customFormat="false" ht="16.5" hidden="false" customHeight="true" outlineLevel="0" collapsed="false">
      <c r="A15" s="58" t="s">
        <v>57</v>
      </c>
      <c r="B15" s="58"/>
      <c r="C15" s="58"/>
      <c r="D15" s="60" t="s">
        <v>82</v>
      </c>
      <c r="E15" s="94" t="n">
        <f aca="false">SUM(E16:E19)</f>
        <v>0</v>
      </c>
      <c r="F15" s="95" t="e">
        <f aca="false">E15/(H15+I15)</f>
        <v>#DIV/0!</v>
      </c>
      <c r="G15" s="96" t="n">
        <f aca="false">MIN(G16:G19)</f>
        <v>0</v>
      </c>
      <c r="H15" s="97" t="n">
        <f aca="false">SUM(H16:H19)</f>
        <v>0</v>
      </c>
      <c r="I15" s="97" t="n">
        <f aca="false">SUM(I16:I19)</f>
        <v>0</v>
      </c>
      <c r="J15" s="98"/>
      <c r="K15" s="94" t="n">
        <f aca="false">SUM(K16:K19)</f>
        <v>0</v>
      </c>
    </row>
    <row r="16" customFormat="false" ht="16.5" hidden="false" customHeight="true" outlineLevel="0" collapsed="false">
      <c r="A16" s="32" t="s">
        <v>112</v>
      </c>
      <c r="B16" s="32"/>
      <c r="C16" s="32"/>
      <c r="D16" s="22" t="s">
        <v>82</v>
      </c>
      <c r="E16" s="99" t="n">
        <f aca="false">K16-(H16+I16)</f>
        <v>0</v>
      </c>
      <c r="F16" s="100" t="e">
        <f aca="false">E16/(H16+I16)</f>
        <v>#DIV/0!</v>
      </c>
      <c r="G16" s="101" t="n">
        <f aca="false">MIN(_xlfn.MINIFS(G:G,A:A,"portefeuilles",C:C,"Retenu",G:G,"&gt;0"))</f>
        <v>0</v>
      </c>
      <c r="H16" s="102" t="n">
        <f aca="false">SUMPRODUCT((PVLsection="portefeuilles")*(PVLtitre="Retenu")*PVLmontant_init*IFERROR(INDEX(COTcours,MATCH(PVLdevise,COTcode,0)),1))</f>
        <v>0</v>
      </c>
      <c r="I16" s="102" t="n">
        <f aca="false">SUMPRODUCT((PVLsection="portefeuilles")*(PVLtitre="Retenu")*PVLsigma*IFERROR(INDEX(COTcours,MATCH(PVLdevise,COTcode,0)),1))</f>
        <v>0</v>
      </c>
      <c r="J16" s="101" t="n">
        <f aca="false">_xlfn.MAXIFS(J:J,A:A,"portefeuilles",C:C,"Retenu")</f>
        <v>0</v>
      </c>
      <c r="K16" s="99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113</v>
      </c>
      <c r="B17" s="32"/>
      <c r="C17" s="32"/>
      <c r="D17" s="22" t="s">
        <v>82</v>
      </c>
      <c r="E17" s="99" t="n">
        <f aca="false">K17-(H17+I17)</f>
        <v>0</v>
      </c>
      <c r="F17" s="100" t="e">
        <f aca="false">E17/(H17+I17)</f>
        <v>#DIV/0!</v>
      </c>
      <c r="G17" s="101" t="n">
        <f aca="false">MIN(_xlfn.MINIFS(G:G,A:A,"métaux",G:G,"&gt;0"))</f>
        <v>0</v>
      </c>
      <c r="H17" s="102" t="n">
        <f aca="false">SUMIFS(PVLmontant_init,PVLsection,"métaux")</f>
        <v>0</v>
      </c>
      <c r="I17" s="102" t="n">
        <f aca="false">SUMIFS(PVLsigma,PVLsection,"métaux")</f>
        <v>0</v>
      </c>
      <c r="J17" s="101" t="n">
        <f aca="false">_xlfn.MAXIFS(J:J,A:A,"métaux")</f>
        <v>0</v>
      </c>
      <c r="K17" s="99" t="n">
        <f aca="false">SUMIFS(PVLmontant,PVLsection,"métaux")</f>
        <v>0</v>
      </c>
    </row>
    <row r="18" customFormat="false" ht="16.5" hidden="false" customHeight="true" outlineLevel="0" collapsed="false">
      <c r="A18" s="32" t="s">
        <v>114</v>
      </c>
      <c r="B18" s="32"/>
      <c r="C18" s="32"/>
      <c r="D18" s="22" t="s">
        <v>82</v>
      </c>
      <c r="E18" s="99" t="n">
        <f aca="false">K18-(H18+I18)</f>
        <v>0</v>
      </c>
      <c r="F18" s="100" t="e">
        <f aca="false">E18/(H18+I18)</f>
        <v>#DIV/0!</v>
      </c>
      <c r="G18" s="101" t="n">
        <f aca="false">MIN(_xlfn.MINIFS(G:G,A:A,"crypto",G:G,"&gt;0"))</f>
        <v>0</v>
      </c>
      <c r="H18" s="102" t="n">
        <f aca="false">SUMIFS(PVLmontant_init,PVLsection,"crypto")</f>
        <v>0</v>
      </c>
      <c r="I18" s="102" t="n">
        <f aca="false">SUMIFS(PVLsigma,PVLsection,"crypto")</f>
        <v>0</v>
      </c>
      <c r="J18" s="101" t="n">
        <f aca="false">_xlfn.MAXIFS(J:J,A:A,"crypto")</f>
        <v>0</v>
      </c>
      <c r="K18" s="99" t="n">
        <f aca="false">SUMIFS(PVLmontant,PVLsection,"crypto")</f>
        <v>0</v>
      </c>
    </row>
    <row r="19" customFormat="false" ht="16.5" hidden="false" customHeight="true" outlineLevel="0" collapsed="false">
      <c r="A19" s="32" t="s">
        <v>115</v>
      </c>
      <c r="B19" s="32"/>
      <c r="C19" s="32"/>
      <c r="D19" s="22" t="s">
        <v>82</v>
      </c>
      <c r="E19" s="99" t="n">
        <f aca="false">K19-(H19+I19)</f>
        <v>0</v>
      </c>
      <c r="F19" s="100" t="e">
        <f aca="false">E19/(H19+I19)</f>
        <v>#DIV/0!</v>
      </c>
      <c r="G19" s="101" t="n">
        <f aca="false">MIN(_xlfn.MINIFS(G:G,A:A,"devises",G:G,"&gt;0"))</f>
        <v>0</v>
      </c>
      <c r="H19" s="102" t="n">
        <f aca="false">SUMIFS(PVLmontant_init,PVLsection,"devises")</f>
        <v>0</v>
      </c>
      <c r="I19" s="102" t="n">
        <f aca="false">SUMIFS(PVLsigma,PVLsection,"devises")</f>
        <v>0</v>
      </c>
      <c r="J19" s="101" t="n">
        <f aca="false">_xlfn.MAXIFS(J:J,A:A,"devises")</f>
        <v>0</v>
      </c>
      <c r="K19" s="99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3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116</v>
      </c>
      <c r="B1" s="5"/>
      <c r="C1" s="5"/>
      <c r="D1" s="5"/>
      <c r="E1" s="104"/>
      <c r="F1" s="10" t="s">
        <v>117</v>
      </c>
      <c r="G1" s="5"/>
      <c r="H1" s="5"/>
      <c r="I1" s="5"/>
    </row>
    <row r="2" customFormat="false" ht="16.5" hidden="false" customHeight="true" outlineLevel="0" collapsed="false">
      <c r="A2" s="105" t="n">
        <f aca="true">TODAY()</f>
        <v>46212</v>
      </c>
      <c r="B2" s="49" t="str">
        <f aca="false">Contrôles!K$27</f>
        <v>✓</v>
      </c>
      <c r="C2" s="106"/>
      <c r="D2" s="5"/>
      <c r="E2" s="104"/>
      <c r="F2" s="107" t="s">
        <v>118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9" t="s">
        <v>70</v>
      </c>
      <c r="B3" s="49" t="s">
        <v>119</v>
      </c>
      <c r="C3" s="49" t="s">
        <v>71</v>
      </c>
      <c r="D3" s="49" t="s">
        <v>67</v>
      </c>
      <c r="E3" s="49" t="s">
        <v>120</v>
      </c>
      <c r="F3" s="51" t="s">
        <v>121</v>
      </c>
      <c r="G3" s="49" t="s">
        <v>122</v>
      </c>
      <c r="H3" s="49" t="s">
        <v>54</v>
      </c>
      <c r="I3" s="47" t="s">
        <v>123</v>
      </c>
    </row>
    <row r="4" customFormat="false" ht="14.25" hidden="false" customHeight="true" outlineLevel="0" collapsed="false">
      <c r="A4" s="108" t="s">
        <v>4</v>
      </c>
      <c r="B4" s="109"/>
      <c r="C4" s="110"/>
      <c r="D4" s="111"/>
      <c r="E4" s="110"/>
      <c r="F4" s="112"/>
      <c r="G4" s="113"/>
      <c r="H4" s="113"/>
      <c r="I4" s="109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63" width="41.42"/>
    <col collapsed="false" customWidth="true" hidden="false" outlineLevel="0" max="11" min="11" style="63" width="14.98"/>
    <col collapsed="false" customWidth="true" hidden="false" outlineLevel="0" max="12" min="12" style="63" width="11"/>
    <col collapsed="false" customWidth="true" hidden="false" outlineLevel="0" max="13" min="13" style="63" width="15.51"/>
    <col collapsed="false" customWidth="false" hidden="false" outlineLevel="0" max="16368" min="16" style="63" width="19.16"/>
    <col collapsed="false" customWidth="true" hidden="false" outlineLevel="0" max="16382" min="16369" style="1" width="11.53"/>
    <col collapsed="false" customWidth="true" hidden="false" outlineLevel="0" max="16384" min="16383" style="63" width="11.53"/>
  </cols>
  <sheetData>
    <row r="1" customFormat="false" ht="16.5" hidden="false" customHeight="true" outlineLevel="0" collapsed="false">
      <c r="A1" s="114" t="str">
        <f aca="false">$K$27</f>
        <v>✓</v>
      </c>
      <c r="B1" s="10"/>
      <c r="C1" s="10"/>
      <c r="D1" s="10"/>
      <c r="E1" s="10"/>
      <c r="F1" s="12"/>
      <c r="G1" s="12"/>
      <c r="H1" s="12"/>
      <c r="I1" s="74"/>
    </row>
    <row r="2" customFormat="false" ht="28.5" hidden="false" customHeight="true" outlineLevel="0" collapsed="false">
      <c r="A2" s="51" t="s">
        <v>124</v>
      </c>
      <c r="B2" s="74" t="s">
        <v>67</v>
      </c>
      <c r="C2" s="74" t="s">
        <v>125</v>
      </c>
      <c r="D2" s="74" t="s">
        <v>126</v>
      </c>
      <c r="E2" s="74" t="s">
        <v>127</v>
      </c>
      <c r="F2" s="26" t="s">
        <v>128</v>
      </c>
      <c r="G2" s="26" t="s">
        <v>129</v>
      </c>
      <c r="H2" s="51" t="s">
        <v>94</v>
      </c>
      <c r="I2" s="51" t="s">
        <v>130</v>
      </c>
    </row>
    <row r="3" customFormat="false" ht="15" hidden="false" customHeight="true" outlineLevel="0" collapsed="false">
      <c r="A3" s="14" t="s">
        <v>4</v>
      </c>
      <c r="B3" s="55"/>
      <c r="C3" s="93"/>
      <c r="D3" s="93"/>
      <c r="E3" s="16"/>
      <c r="F3" s="16"/>
      <c r="G3" s="16"/>
      <c r="H3" s="16"/>
      <c r="I3" s="16"/>
    </row>
    <row r="4" customFormat="false" ht="16.5" hidden="false" customHeight="true" outlineLevel="0" collapsed="false">
      <c r="A4" s="115" t="s">
        <v>4</v>
      </c>
      <c r="B4" s="116"/>
      <c r="C4" s="116"/>
      <c r="D4" s="116"/>
      <c r="E4" s="116"/>
      <c r="F4" s="117"/>
      <c r="G4" s="118"/>
      <c r="H4" s="118"/>
      <c r="I4" s="116"/>
    </row>
    <row r="5" customFormat="false" ht="17.25" hidden="false" customHeight="true" outlineLevel="0" collapsed="false">
      <c r="A5" s="58"/>
      <c r="B5" s="60"/>
      <c r="C5" s="60"/>
      <c r="D5" s="60"/>
      <c r="E5" s="60"/>
      <c r="F5" s="119"/>
      <c r="G5" s="58"/>
      <c r="H5" s="58"/>
      <c r="I5" s="58"/>
    </row>
    <row r="7" customFormat="false" ht="18.75" hidden="false" customHeight="true" outlineLevel="0" collapsed="false">
      <c r="J7" s="73" t="s">
        <v>131</v>
      </c>
      <c r="K7" s="73"/>
      <c r="L7" s="73"/>
      <c r="M7" s="73"/>
    </row>
    <row r="8" customFormat="false" ht="19.5" hidden="false" customHeight="true" outlineLevel="0" collapsed="false">
      <c r="J8" s="26" t="s">
        <v>132</v>
      </c>
      <c r="K8" s="26" t="s">
        <v>133</v>
      </c>
      <c r="L8" s="26" t="s">
        <v>134</v>
      </c>
      <c r="M8" s="75" t="s">
        <v>82</v>
      </c>
    </row>
    <row r="9" customFormat="false" ht="16.5" hidden="false" customHeight="true" outlineLevel="0" collapsed="false">
      <c r="J9" s="14" t="s">
        <v>4</v>
      </c>
      <c r="K9" s="55"/>
      <c r="L9" s="120"/>
      <c r="M9" s="80"/>
    </row>
    <row r="10" customFormat="false" ht="16.5" hidden="false" customHeight="true" outlineLevel="0" collapsed="false">
      <c r="J10" s="32" t="s">
        <v>135</v>
      </c>
      <c r="K10" s="116" t="str">
        <f aca="false">IF(L10=0,"✓","✗")</f>
        <v>✓</v>
      </c>
      <c r="L10" s="120" t="n">
        <f aca="false">COUNTIFS(CTRL1controle,"Oui")-COUNTIFS(CTRL1controle,"Oui",CTRL1ecart,0)</f>
        <v>0</v>
      </c>
      <c r="M10" s="120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136</v>
      </c>
      <c r="K11" s="116" t="str">
        <f aca="false">IF(ABS(L11)&lt;1,"✓","✗")</f>
        <v>✓</v>
      </c>
      <c r="L11" s="80" t="n">
        <f aca="false">ABS(Budget!G$26)+ABS(Budget!I$27-Budget!G$27)+ABS(Budget!C$10)</f>
        <v>0</v>
      </c>
      <c r="M11" s="80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2" t="s">
        <v>49</v>
      </c>
      <c r="K12" s="116" t="str">
        <f aca="false">IF(L12&gt;0,"⚠","✓")</f>
        <v>✓</v>
      </c>
      <c r="L12" s="34" t="n">
        <f aca="false">SUM(L13:L15)</f>
        <v>0</v>
      </c>
      <c r="M12" s="80"/>
    </row>
    <row r="13" customFormat="false" ht="16.5" hidden="false" customHeight="true" outlineLevel="0" collapsed="false">
      <c r="J13" s="121" t="s">
        <v>137</v>
      </c>
      <c r="K13" s="116"/>
      <c r="L13" s="34" t="n">
        <f aca="false">COUNTIF(OPdate,"&lt;"&amp;DATE(2020,1,1))+COUNTIF(OPdate,"&gt;"&amp;DATE(année_courante,12,31))</f>
        <v>0</v>
      </c>
      <c r="M13" s="80"/>
    </row>
    <row r="14" customFormat="false" ht="16.5" hidden="false" customHeight="true" outlineLevel="0" collapsed="false">
      <c r="J14" s="121" t="s">
        <v>138</v>
      </c>
      <c r="K14" s="116"/>
      <c r="L14" s="34" t="n">
        <f aca="false">Patrimoine!D33</f>
        <v>0</v>
      </c>
      <c r="M14" s="80"/>
    </row>
    <row r="15" customFormat="false" ht="16.5" hidden="false" customHeight="true" outlineLevel="0" collapsed="false">
      <c r="J15" s="121" t="s">
        <v>139</v>
      </c>
      <c r="K15" s="116"/>
      <c r="L15" s="34" t="n">
        <f aca="false">IF(Cotations!B20="⚠",1,0)</f>
        <v>0</v>
      </c>
      <c r="M15" s="80"/>
    </row>
    <row r="16" customFormat="false" ht="16.5" hidden="false" customHeight="true" outlineLevel="0" collapsed="false">
      <c r="J16" s="32" t="s">
        <v>140</v>
      </c>
      <c r="K16" s="116" t="str">
        <f aca="false">IF(L16=0,"✓","⚠")</f>
        <v>✓</v>
      </c>
      <c r="L16" s="120" t="n">
        <f aca="false">COUNTIFS(OPréf,"-")</f>
        <v>0</v>
      </c>
      <c r="M16" s="120" t="n">
        <f aca="false">COUNTIFS(OPréf,"-",OPdevise,M$8)</f>
        <v>0</v>
      </c>
    </row>
    <row r="17" customFormat="false" ht="16.5" hidden="false" customHeight="true" outlineLevel="0" collapsed="false">
      <c r="J17" s="115" t="s">
        <v>141</v>
      </c>
      <c r="K17" s="116" t="str">
        <f aca="false">IF(L17=0,"✓","⚠")</f>
        <v>✓</v>
      </c>
      <c r="L17" s="120" t="n">
        <f aca="false">3-COUNTIFS(L18:L20,0)</f>
        <v>0</v>
      </c>
      <c r="M17" s="120" t="n">
        <f aca="false">COUNTA($J18:$J20)-COUNTIFS(M18:M20,0)</f>
        <v>0</v>
      </c>
    </row>
    <row r="18" customFormat="false" ht="16.5" hidden="false" customHeight="true" outlineLevel="0" collapsed="false">
      <c r="J18" s="122" t="s">
        <v>142</v>
      </c>
      <c r="K18" s="55"/>
      <c r="L18" s="80" t="n">
        <f aca="false">ROUND(SUMIFS(OPequiv_euro,OPcatégorie,"@Virement"),0)</f>
        <v>0</v>
      </c>
      <c r="M18" s="80" t="n">
        <f aca="false">SUMIFS(OPequiv_euro,OPdevise,M$8,OPcatégorie,"@Virement")</f>
        <v>0</v>
      </c>
    </row>
    <row r="19" customFormat="false" ht="16.5" hidden="false" customHeight="true" outlineLevel="0" collapsed="false">
      <c r="J19" s="122" t="s">
        <v>143</v>
      </c>
      <c r="K19" s="55"/>
      <c r="L19" s="80" t="n">
        <f aca="false">ROUND(SUMIFS(OPequiv_euro,OPcatégorie,"*titres"),0)</f>
        <v>0</v>
      </c>
      <c r="M19" s="80" t="n">
        <f aca="false">SUMIFS(OPequiv_euro,OPdevise,M$8,OPcatégorie,"*titres")</f>
        <v>0</v>
      </c>
    </row>
    <row r="20" customFormat="false" ht="16.5" hidden="false" customHeight="true" outlineLevel="0" collapsed="false">
      <c r="J20" s="122" t="s">
        <v>144</v>
      </c>
      <c r="K20" s="55"/>
      <c r="L20" s="80" t="n">
        <f aca="false">SUMIFS(OPequiv_euro,OPcatégorie,"@Change") + SUMIFS(OPequiv_euro,OPcatégorie,"@Achat métaux")</f>
        <v>0</v>
      </c>
      <c r="M20" s="80" t="n">
        <f aca="false">SUMIFS(OPequiv_euro,OPdevise,M$8,OPcatégorie,"@Change")+SUMIFS(OPequiv_euro,OPdevise,M$8,OPcatégorie,"@Achat métaux")</f>
        <v>0</v>
      </c>
    </row>
    <row r="21" customFormat="false" ht="16.5" hidden="false" customHeight="true" outlineLevel="0" collapsed="false">
      <c r="J21" s="123" t="s">
        <v>145</v>
      </c>
      <c r="K21" s="55"/>
      <c r="L21" s="80" t="n">
        <f aca="false">L18+L19+L20</f>
        <v>0</v>
      </c>
      <c r="M21" s="80" t="n">
        <f aca="false">M18+M19+M20</f>
        <v>0</v>
      </c>
    </row>
    <row r="22" customFormat="false" ht="16.5" hidden="false" customHeight="true" outlineLevel="0" collapsed="false">
      <c r="J22" s="115" t="s">
        <v>146</v>
      </c>
      <c r="K22" s="116" t="str">
        <f aca="false">IF(L22=0,"✓","✗")</f>
        <v>✓</v>
      </c>
      <c r="L22" s="120" t="n">
        <f aca="false">SUMPRODUCT((COUNTIF(AVRintitulé,OPcompte)=0)*(OPcompte&lt;&gt;""))</f>
        <v>0</v>
      </c>
      <c r="M22" s="80"/>
    </row>
    <row r="23" customFormat="false" ht="16.5" hidden="false" customHeight="true" outlineLevel="0" collapsed="false">
      <c r="J23" s="115" t="s">
        <v>147</v>
      </c>
      <c r="K23" s="116" t="str">
        <f aca="false">IF(L23&gt;0,"✗","✓")</f>
        <v>✓</v>
      </c>
      <c r="L23" s="120" t="n">
        <f aca="false">SUM(L24:L25)</f>
        <v>0</v>
      </c>
      <c r="M23" s="80"/>
    </row>
    <row r="24" customFormat="false" ht="16.5" hidden="false" customHeight="true" outlineLevel="0" collapsed="false">
      <c r="J24" s="122" t="s">
        <v>148</v>
      </c>
      <c r="K24" s="116"/>
      <c r="L24" s="120" t="n">
        <f aca="false">IF(Avoirs!L1="✗",1,0)</f>
        <v>0</v>
      </c>
      <c r="M24" s="80"/>
    </row>
    <row r="25" customFormat="false" ht="16.5" hidden="false" customHeight="true" outlineLevel="0" collapsed="false">
      <c r="J25" s="122" t="s">
        <v>149</v>
      </c>
      <c r="K25" s="116"/>
      <c r="L25" s="120" t="n">
        <f aca="false">IF(Plus_value!B3="✗",1,0)</f>
        <v>0</v>
      </c>
      <c r="M25" s="80"/>
    </row>
    <row r="26" customFormat="false" ht="16.5" hidden="false" customHeight="true" outlineLevel="0" collapsed="false">
      <c r="J26" s="14" t="s">
        <v>4</v>
      </c>
      <c r="K26" s="55"/>
      <c r="L26" s="120"/>
      <c r="M26" s="80"/>
    </row>
    <row r="27" customFormat="false" ht="17.25" hidden="false" customHeight="true" outlineLevel="0" collapsed="false">
      <c r="J27" s="58" t="s">
        <v>150</v>
      </c>
      <c r="K27" s="60" t="str">
        <f aca="false">IF(ISNUMBER(FIND("✗",IFERROR(K10,"⚠")&amp;IFERROR(K11,"⚠")&amp;IFERROR(K12,"⚠")&amp;IFERROR(K16,"⚠")&amp;IFERROR(K17,"⚠")&amp;IFERROR(K22,"⚠")&amp;IFERROR(K23,"⚠"))),"✗",IF(ISNUMBER(FIND("⚠",IFERROR(K10,"⚠")&amp;IFERROR(K11,"⚠")&amp;IFERROR(K12,"⚠")&amp;IFERROR(K16,"⚠")&amp;IFERROR(K17,"⚠")&amp;IFERROR(K22,"⚠")&amp;IFERROR(K23,"⚠"))),"⚠","✓"))</f>
        <v>✓</v>
      </c>
      <c r="L27" s="124"/>
      <c r="M27" s="58"/>
    </row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8:L21">
    <cfRule type="cellIs" priority="2" operator="notEqual" aboveAverage="0" equalAverage="0" bottom="0" percent="0" rank="0" text="" dxfId="0">
      <formula>0</formula>
    </cfRule>
  </conditionalFormatting>
  <conditionalFormatting sqref="L9:L10 L12:L17 L22:L26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6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M11">
    <cfRule type="expression" priority="14" aboveAverage="0" equalAverage="0" bottom="0" percent="0" rank="0" text="" dxfId="6">
      <formula>$M$8="EUR"</formula>
    </cfRule>
  </conditionalFormatting>
  <conditionalFormatting sqref="K17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7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2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2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K23">
    <cfRule type="expression" priority="23" aboveAverage="0" equalAverage="0" bottom="0" percent="0" rank="0" text="" dxfId="1">
      <formula>NOT(ISERROR(FIND("✗",INDIRECT("RC",0))))</formula>
    </cfRule>
    <cfRule type="expression" priority="24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45.77"/>
    <col collapsed="false" customWidth="true" hidden="false" outlineLevel="0" max="3" min="2" style="63" width="9"/>
    <col collapsed="false" customWidth="true" hidden="false" outlineLevel="0" max="4" min="4" style="63" width="10.66"/>
    <col collapsed="false" customWidth="true" hidden="false" outlineLevel="0" max="5" min="5" style="84" width="9"/>
    <col collapsed="false" customWidth="true" hidden="false" outlineLevel="0" max="6" min="6" style="63" width="14.47"/>
    <col collapsed="false" customWidth="true" hidden="false" outlineLevel="0" max="7" min="7" style="63" width="13.44"/>
    <col collapsed="false" customWidth="true" hidden="false" outlineLevel="0" max="8" min="8" style="63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4" t="str">
        <f aca="false">Contrôles!$K$27</f>
        <v>✓</v>
      </c>
      <c r="B1" s="74"/>
      <c r="C1" s="74"/>
      <c r="D1" s="74"/>
      <c r="E1" s="74"/>
      <c r="F1" s="74" t="str">
        <f aca="false">année_courante</f>
        <v>2026</v>
      </c>
      <c r="G1" s="74"/>
      <c r="H1" s="12"/>
    </row>
    <row r="2" customFormat="false" ht="21" hidden="false" customHeight="true" outlineLevel="0" collapsed="false">
      <c r="A2" s="26" t="s">
        <v>151</v>
      </c>
      <c r="B2" s="26" t="s">
        <v>152</v>
      </c>
      <c r="C2" s="26" t="s">
        <v>153</v>
      </c>
      <c r="D2" s="26" t="s">
        <v>154</v>
      </c>
      <c r="E2" s="51" t="s">
        <v>155</v>
      </c>
      <c r="F2" s="51" t="s">
        <v>156</v>
      </c>
      <c r="G2" s="51" t="s">
        <v>70</v>
      </c>
      <c r="H2" s="51" t="s">
        <v>157</v>
      </c>
    </row>
    <row r="3" customFormat="false" ht="14.25" hidden="false" customHeight="true" outlineLevel="0" collapsed="false">
      <c r="A3" s="125" t="s">
        <v>4</v>
      </c>
      <c r="B3" s="126"/>
      <c r="C3" s="126"/>
      <c r="D3" s="126"/>
      <c r="E3" s="55"/>
      <c r="F3" s="16"/>
      <c r="G3" s="16"/>
      <c r="H3" s="16"/>
    </row>
    <row r="4" customFormat="false" ht="16.5" hidden="false" customHeight="true" outlineLevel="0" collapsed="false">
      <c r="A4" s="125" t="s">
        <v>17</v>
      </c>
      <c r="B4" s="126" t="s">
        <v>158</v>
      </c>
      <c r="C4" s="126" t="s">
        <v>159</v>
      </c>
      <c r="D4" s="126" t="n">
        <v>2</v>
      </c>
      <c r="E4" s="55" t="s">
        <v>82</v>
      </c>
      <c r="F4" s="110" t="n">
        <v>1</v>
      </c>
      <c r="G4" s="110"/>
      <c r="H4" s="127"/>
    </row>
    <row r="5" customFormat="false" ht="16.5" hidden="false" customHeight="true" outlineLevel="0" collapsed="false">
      <c r="A5" s="125" t="s">
        <v>4</v>
      </c>
      <c r="B5" s="126"/>
      <c r="C5" s="126"/>
      <c r="D5" s="126"/>
      <c r="E5" s="55"/>
      <c r="F5" s="16"/>
      <c r="G5" s="16"/>
      <c r="H5" s="16"/>
    </row>
    <row r="6" customFormat="false" ht="15" hidden="false" customHeight="true" outlineLevel="0" collapsed="false">
      <c r="A6" s="58" t="s">
        <v>160</v>
      </c>
      <c r="B6" s="58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8"/>
      <c r="D6" s="58"/>
      <c r="E6" s="58"/>
      <c r="F6" s="58"/>
      <c r="G6" s="58"/>
      <c r="H6" s="58"/>
    </row>
    <row r="7" customFormat="false" ht="18" hidden="false" customHeight="true" outlineLevel="0" collapsed="false">
      <c r="F7" s="128"/>
      <c r="G7" s="128"/>
    </row>
    <row r="8" customFormat="false" ht="18" hidden="false" customHeight="true" outlineLevel="0" collapsed="false">
      <c r="F8" s="128"/>
      <c r="G8" s="128"/>
    </row>
    <row r="9" customFormat="false" ht="18" hidden="false" customHeight="true" outlineLevel="0" collapsed="false">
      <c r="F9" s="128"/>
      <c r="G9" s="128"/>
    </row>
    <row r="10" customFormat="false" ht="18" hidden="false" customHeight="true" outlineLevel="0" collapsed="false">
      <c r="F10" s="128"/>
      <c r="G10" s="128"/>
    </row>
    <row r="11" customFormat="false" ht="18" hidden="false" customHeight="true" outlineLevel="0" collapsed="false">
      <c r="F11" s="128"/>
      <c r="G11" s="128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2026-07-09T16:33:19Z</dcterms:modified>
  <cp:revision>1012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