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Contrôles!$K$9:$K$29</definedName>
    <definedName function="false" hidden="false" name="CTRL2drill" vbProcedure="false">Contrôles!$M$9:$M$29</definedName>
    <definedName function="false" hidden="false" name="CTRL2general" vbProcedure="false">Contrôles!$L$9:$L$29</definedName>
    <definedName function="false" hidden="false" name="CTRL2type" vbProcedure="false">Contrôles!$J$9:$J$29</definedName>
    <definedName function="false" hidden="false" name="CTRL2_fonds_en_transit" vbProcedure="false">Contrôles!$L$24</definedName>
    <definedName function="false" hidden="false" name="CTRL2_synthese" vbProcedure="false">Contrôles!$K$30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<sst xmlns="http://schemas.openxmlformats.org/spreadsheetml/2006/main" count="227" uniqueCount="163">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</sst>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6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  <dxf>
      <fill>
        <patternFill>
          <bgColor rgb="FFFFC7CE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6"/>
  <sheetViews>
    <sheetView showFormulas="false" showGridLines="true" showRowColHeaders="true" showZeros="true" rightToLeft="false" tabSelected="1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Contrôles!K$30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7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7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7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7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7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75" hidden="false" customHeight="true" outlineLevel="0" collapsed="false">
      <c r="J42" s="32"/>
      <c r="K42" s="35" t="s">
        <v>28</v>
      </c>
      <c r="L42" s="34" t="s">
        <v>30</v>
      </c>
    </row>
    <row r="43" customFormat="false" ht="15.75" hidden="false" customHeight="true" outlineLevel="0" collapsed="false">
      <c r="J43" s="32"/>
      <c r="K43" s="36" t="s">
        <v>28</v>
      </c>
      <c r="L43" s="34" t="s">
        <v>31</v>
      </c>
    </row>
    <row r="44" customFormat="false" ht="15.75" hidden="false" customHeight="true" outlineLevel="0" collapsed="false">
      <c r="J44" s="14"/>
      <c r="K44" s="37" t="s">
        <v>28</v>
      </c>
      <c r="L44" s="38" t="s">
        <v>32</v>
      </c>
    </row>
    <row r="45" customFormat="false" ht="15.75" hidden="false" customHeight="true" outlineLevel="0" collapsed="false">
      <c r="J45" s="14"/>
      <c r="K45" s="39" t="s">
        <v>33</v>
      </c>
      <c r="L45" s="38" t="s">
        <v>34</v>
      </c>
    </row>
    <row r="46" customFormat="false" ht="15.75" hidden="false" customHeight="true" outlineLevel="0" collapsed="false">
      <c r="J46" s="14"/>
      <c r="K46" s="40" t="s">
        <v>33</v>
      </c>
      <c r="L46" s="38" t="s">
        <v>35</v>
      </c>
    </row>
    <row r="47" customFormat="false" ht="15.75" hidden="false" customHeight="true" outlineLevel="0" collapsed="false">
      <c r="J47" s="14"/>
      <c r="K47" s="41" t="s">
        <v>28</v>
      </c>
      <c r="L47" s="38" t="s">
        <v>36</v>
      </c>
    </row>
    <row r="48" customFormat="false" ht="15.75" hidden="false" customHeight="true" outlineLevel="0" collapsed="false">
      <c r="J48" s="14"/>
      <c r="K48" s="42" t="s">
        <v>37</v>
      </c>
      <c r="L48" s="38" t="s">
        <v>38</v>
      </c>
    </row>
    <row r="49" customFormat="false" ht="15.75" hidden="false" customHeight="true" outlineLevel="0" collapsed="false">
      <c r="J49" s="14"/>
      <c r="K49" s="42" t="s">
        <v>39</v>
      </c>
      <c r="L49" s="38" t="s">
        <v>40</v>
      </c>
    </row>
    <row r="50" customFormat="false" ht="15.75" hidden="false" customHeight="true" outlineLevel="0" collapsed="false">
      <c r="J50" s="14"/>
      <c r="K50" s="42" t="s">
        <v>41</v>
      </c>
      <c r="L50" s="38" t="s">
        <v>42</v>
      </c>
    </row>
    <row r="51" customFormat="false" ht="15.75" hidden="false" customHeight="true" outlineLevel="0" collapsed="false">
      <c r="J51" s="14"/>
      <c r="K51" s="43"/>
      <c r="L51" s="38"/>
    </row>
    <row r="52" customFormat="false" ht="15.75" hidden="false" customHeight="true" outlineLevel="0" collapsed="false">
      <c r="J52" s="14"/>
      <c r="K52" s="38" t="s">
        <v>43</v>
      </c>
      <c r="L52" s="38"/>
    </row>
    <row r="53" customFormat="false" ht="15.75" hidden="false" customHeight="true" outlineLevel="0" collapsed="false">
      <c r="J53" s="14"/>
      <c r="K53" s="43"/>
      <c r="L53" s="38"/>
    </row>
    <row r="54" customFormat="false" ht="15.75" hidden="false" customHeight="true" outlineLevel="0" collapsed="false">
      <c r="J54" s="14"/>
      <c r="K54" s="43" t="s">
        <v>3</v>
      </c>
      <c r="L54" s="38" t="s">
        <v>44</v>
      </c>
    </row>
    <row r="55" customFormat="false" ht="15.75" hidden="false" customHeight="true" outlineLevel="0" collapsed="false">
      <c r="J55" s="14"/>
      <c r="K55" s="43" t="s">
        <v>45</v>
      </c>
      <c r="L55" s="38" t="s">
        <v>46</v>
      </c>
    </row>
    <row r="56" customFormat="false" ht="15.75" hidden="false" customHeight="true" outlineLevel="0" collapsed="false">
      <c r="J56" s="14"/>
      <c r="K56" s="43" t="s">
        <v>47</v>
      </c>
      <c r="L56" s="38" t="s">
        <v>48</v>
      </c>
    </row>
    <row r="57" customFormat="false" ht="15.75" hidden="false" customHeight="true" outlineLevel="0" collapsed="false">
      <c r="J57" s="14"/>
      <c r="K57" s="43" t="s">
        <v>49</v>
      </c>
      <c r="L57" s="38" t="s">
        <v>48</v>
      </c>
    </row>
    <row r="58" customFormat="false" ht="15.75" hidden="false" customHeight="true" outlineLevel="0" collapsed="false">
      <c r="J58" s="14"/>
      <c r="K58" s="43" t="s">
        <v>50</v>
      </c>
      <c r="L58" s="38" t="s">
        <v>51</v>
      </c>
    </row>
    <row r="59" customFormat="false" ht="15.75" hidden="false" customHeight="true" outlineLevel="0" collapsed="false">
      <c r="J59" s="14"/>
      <c r="K59" s="43" t="s">
        <v>52</v>
      </c>
      <c r="L59" s="38" t="s">
        <v>53</v>
      </c>
    </row>
    <row r="60" customFormat="false" ht="15.75" hidden="false" customHeight="true" outlineLevel="0" collapsed="false">
      <c r="J60" s="14"/>
      <c r="K60" s="43" t="s">
        <v>54</v>
      </c>
      <c r="L60" s="38" t="s">
        <v>53</v>
      </c>
    </row>
    <row r="61" customFormat="false" ht="15.75" hidden="false" customHeight="true" outlineLevel="0" collapsed="false">
      <c r="J61" s="14"/>
      <c r="K61" s="43" t="s">
        <v>55</v>
      </c>
      <c r="L61" s="38" t="s">
        <v>56</v>
      </c>
    </row>
    <row r="62" customFormat="false" ht="15.75" hidden="false" customHeight="true" outlineLevel="0" collapsed="false">
      <c r="J62" s="14"/>
      <c r="K62" s="43" t="s">
        <v>57</v>
      </c>
      <c r="L62" s="38" t="s">
        <v>56</v>
      </c>
    </row>
    <row r="63" customFormat="false" ht="15.75" hidden="false" customHeight="true" outlineLevel="0" collapsed="false">
      <c r="J63" s="14"/>
      <c r="K63" s="43"/>
      <c r="L63" s="43"/>
    </row>
    <row r="64" customFormat="false" ht="15.7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IF(ISERROR(L6),"✗","✓")</f>
        <v>✓</v>
      </c>
    </row>
    <row r="2" customFormat="false" ht="16.5" hidden="false" customHeight="true" outlineLevel="0" collapsed="false">
      <c r="A2" s="49" t="str">
        <f aca="false">Contrôles!K$30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L6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6.5" hidden="false" customHeight="true" outlineLevel="0" collapsed="false">
      <c r="A5" s="14" t="s">
        <v>4</v>
      </c>
      <c r="B5" s="53"/>
      <c r="C5" s="53"/>
      <c r="D5" s="54"/>
      <c r="E5" s="54"/>
      <c r="F5" s="54"/>
      <c r="G5" s="54"/>
      <c r="H5" s="54"/>
      <c r="I5" s="54"/>
      <c r="J5" s="56"/>
      <c r="K5" s="57"/>
      <c r="L5" s="57"/>
    </row>
    <row r="6" customFormat="false" ht="17.25" hidden="false" customHeight="true" outlineLevel="0" collapsed="false">
      <c r="A6" s="58" t="s">
        <v>50</v>
      </c>
      <c r="B6" s="58"/>
      <c r="C6" s="30"/>
      <c r="D6" s="59"/>
      <c r="E6" s="59"/>
      <c r="F6" s="60"/>
      <c r="G6" s="60"/>
      <c r="H6" s="60"/>
      <c r="I6" s="61"/>
      <c r="J6" s="61"/>
      <c r="K6" s="61"/>
      <c r="L6" s="61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2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3" width="31.68"/>
    <col collapsed="false" customWidth="true" hidden="false" outlineLevel="0" max="6" min="6" style="63" width="15.77"/>
    <col collapsed="false" customWidth="true" hidden="false" outlineLevel="0" max="7" min="7" style="63" width="12.84"/>
    <col collapsed="false" customWidth="true" hidden="false" outlineLevel="0" max="8" min="8" style="63" width="11.12"/>
    <col collapsed="false" customWidth="true" hidden="false" outlineLevel="0" max="9" min="9" style="63" width="13.16"/>
    <col collapsed="false" customWidth="true" hidden="false" outlineLevel="0" max="10" min="10" style="63" width="37"/>
    <col collapsed="false" customWidth="false" hidden="false" outlineLevel="0" max="16366" min="29" style="63" width="10.83"/>
    <col collapsed="false" customWidth="true" hidden="false" outlineLevel="0" max="16384" min="16367" style="63" width="11.53"/>
  </cols>
  <sheetData>
    <row r="1" customFormat="false" ht="16.5" hidden="false" customHeight="true" outlineLevel="0" collapsed="false">
      <c r="A1" s="51" t="str">
        <f aca="false">Contrôles!K$30</f>
        <v>✓</v>
      </c>
      <c r="B1" s="12"/>
      <c r="C1" s="64" t="n">
        <f aca="false">C$2-365</f>
        <v>45913</v>
      </c>
      <c r="D1" s="64"/>
    </row>
    <row r="2" customFormat="false" ht="16.5" hidden="false" customHeight="true" outlineLevel="0" collapsed="false">
      <c r="A2" s="12"/>
      <c r="B2" s="12"/>
      <c r="C2" s="64" t="n">
        <f aca="true">TODAY()</f>
        <v>46278</v>
      </c>
      <c r="D2" s="64"/>
    </row>
    <row r="3" customFormat="false" ht="28.5" hidden="false" customHeight="true" outlineLevel="0" collapsed="false">
      <c r="A3" s="26" t="s">
        <v>73</v>
      </c>
      <c r="B3" s="26" t="s">
        <v>64</v>
      </c>
      <c r="C3" s="26" t="s">
        <v>74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75</v>
      </c>
      <c r="B5" s="55" t="s">
        <v>76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5" t="s">
        <v>77</v>
      </c>
      <c r="B7" s="58"/>
      <c r="C7" s="61" t="n">
        <f aca="false">SUM(POSTESmontant)</f>
        <v>0</v>
      </c>
      <c r="D7" s="66"/>
    </row>
    <row r="8" customFormat="false" ht="16.5" hidden="false" customHeight="true" outlineLevel="0" collapsed="false">
      <c r="A8" s="67" t="s">
        <v>78</v>
      </c>
      <c r="B8" s="68"/>
      <c r="C8" s="69" t="n">
        <f aca="false">SUMIF(POSTEStype,"Fixe",POSTESmontant)</f>
        <v>0</v>
      </c>
      <c r="D8" s="70"/>
    </row>
    <row r="9" customFormat="false" ht="17.25" hidden="false" customHeight="true" outlineLevel="0" collapsed="false">
      <c r="A9" s="67" t="s">
        <v>79</v>
      </c>
      <c r="B9" s="68"/>
      <c r="C9" s="69" t="n">
        <f aca="false">C$8/12</f>
        <v>0</v>
      </c>
      <c r="D9" s="71"/>
    </row>
    <row r="10" customFormat="false" ht="16.5" hidden="false" customHeight="true" outlineLevel="0" collapsed="false">
      <c r="A10" s="67" t="s">
        <v>80</v>
      </c>
      <c r="B10" s="68"/>
      <c r="C10" s="69" t="n">
        <f aca="false">ROUND(C$7-I$27,2)</f>
        <v>0</v>
      </c>
      <c r="D10" s="72"/>
    </row>
    <row r="12" customFormat="false" ht="18.75" hidden="false" customHeight="true" outlineLevel="0" collapsed="false">
      <c r="E12" s="73" t="s">
        <v>45</v>
      </c>
      <c r="F12" s="73"/>
      <c r="G12" s="73"/>
      <c r="H12" s="73"/>
      <c r="I12" s="73"/>
      <c r="J12" s="73"/>
    </row>
    <row r="13" customFormat="false" ht="37.5" hidden="false" customHeight="true" outlineLevel="0" collapsed="false">
      <c r="E13" s="74" t="s">
        <v>81</v>
      </c>
      <c r="F13" s="75" t="s">
        <v>82</v>
      </c>
      <c r="G13" s="26" t="s">
        <v>83</v>
      </c>
      <c r="H13" s="51" t="s">
        <v>84</v>
      </c>
      <c r="I13" s="26" t="s">
        <v>85</v>
      </c>
      <c r="J13" s="26" t="s">
        <v>73</v>
      </c>
    </row>
    <row r="14" customFormat="false" ht="15" hidden="false" customHeight="true" outlineLevel="0" collapsed="false">
      <c r="E14" s="74" t="s">
        <v>86</v>
      </c>
      <c r="F14" s="76" t="n">
        <f aca="false">INDEX(COTcours,MATCH($F$13,COTcode,0))</f>
        <v>1</v>
      </c>
      <c r="G14" s="12"/>
      <c r="H14" s="77"/>
      <c r="I14" s="78"/>
      <c r="J14" s="78"/>
    </row>
    <row r="15" customFormat="false" ht="15" hidden="false" customHeight="true" outlineLevel="0" collapsed="false">
      <c r="E15" s="32" t="s">
        <v>4</v>
      </c>
      <c r="F15" s="16"/>
      <c r="G15" s="16"/>
      <c r="H15" s="79"/>
      <c r="I15" s="16"/>
      <c r="J15" s="80"/>
    </row>
    <row r="16" customFormat="false" ht="16.5" hidden="false" customHeight="true" outlineLevel="0" collapsed="false">
      <c r="E16" s="32" t="s">
        <v>87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9"/>
      <c r="I16" s="16"/>
      <c r="J16" s="80"/>
    </row>
    <row r="17" customFormat="false" ht="16.5" hidden="false" customHeight="true" outlineLevel="0" collapsed="false">
      <c r="E17" s="32" t="s">
        <v>88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9"/>
      <c r="I17" s="16"/>
      <c r="J17" s="80"/>
    </row>
    <row r="18" customFormat="false" ht="16.5" hidden="false" customHeight="true" outlineLevel="0" collapsed="false">
      <c r="E18" s="32" t="s">
        <v>89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90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91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92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9"/>
      <c r="I21" s="16"/>
      <c r="J21" s="80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1" t="n">
        <v>1</v>
      </c>
      <c r="I22" s="16" t="n">
        <f aca="false">G22*H22</f>
        <v>0</v>
      </c>
      <c r="J22" s="52" t="s">
        <v>75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5" t="s">
        <v>50</v>
      </c>
      <c r="F24" s="61" t="n">
        <f aca="false">SUM(CATmontant)</f>
        <v>0</v>
      </c>
      <c r="G24" s="61" t="n">
        <f aca="false">SUM(CATtotal_euro)</f>
        <v>0</v>
      </c>
      <c r="H24" s="82"/>
      <c r="I24" s="61"/>
      <c r="J24" s="82"/>
    </row>
    <row r="25" customFormat="false" ht="18" hidden="false" customHeight="true" outlineLevel="0" collapsed="false">
      <c r="E25" s="67" t="s">
        <v>93</v>
      </c>
      <c r="F25" s="69" t="n">
        <f aca="false">SUMIFS(OPmontant,OPdevise,F$13,OPdate,"&gt;"&amp;$C$2-365,OPcatégorie,"&lt;&gt;"&amp;Spéciale)</f>
        <v>0</v>
      </c>
      <c r="G25" s="69" t="n">
        <f aca="false">SUMPRODUCT(SUMIFS(OPmontant,OPdate,"&gt;"&amp;$C$2-365,OPcatégorie,"&lt;&gt;"&amp;Spéciale,OPdevise,COTcode)*COTcours)</f>
        <v>0</v>
      </c>
      <c r="H25" s="83"/>
      <c r="I25" s="69"/>
      <c r="J25" s="83"/>
    </row>
    <row r="26" customFormat="false" ht="16.5" hidden="false" customHeight="true" outlineLevel="0" collapsed="false">
      <c r="E26" s="67" t="s">
        <v>94</v>
      </c>
      <c r="F26" s="69" t="n">
        <f aca="false">ROUND(F$24-F$25,2)</f>
        <v>0</v>
      </c>
      <c r="G26" s="69" t="n">
        <f aca="false">ROUND(G$24-G$25,2)</f>
        <v>0</v>
      </c>
      <c r="H26" s="83"/>
      <c r="I26" s="69"/>
      <c r="J26" s="83"/>
    </row>
    <row r="27" customFormat="false" ht="21.75" hidden="false" customHeight="true" outlineLevel="0" collapsed="false">
      <c r="E27" s="67" t="s">
        <v>95</v>
      </c>
      <c r="F27" s="69" t="n">
        <f aca="false">SUMIFS(CATmontant,CATnom,"&lt;&gt;@*")</f>
        <v>0</v>
      </c>
      <c r="G27" s="69" t="n">
        <f aca="false">SUMIFS(CATtotal_euro,CATnom,"&lt;&gt;@*")</f>
        <v>0</v>
      </c>
      <c r="H27" s="83"/>
      <c r="I27" s="69" t="n">
        <f aca="false">SUMIFS(CATaffectation,CATnom,"&lt;&gt;@*")</f>
        <v>0</v>
      </c>
      <c r="J27" s="83"/>
    </row>
    <row r="28" customFormat="false" ht="16.5" hidden="false" customHeight="true" outlineLevel="0" collapsed="false">
      <c r="E28" s="67" t="s">
        <v>96</v>
      </c>
      <c r="F28" s="69" t="n">
        <f aca="false">F$27*INDEX(COTcours,MATCH($F$13,COTcode,0))</f>
        <v>0</v>
      </c>
      <c r="G28" s="69" t="n">
        <f aca="false">SUM(F$28)</f>
        <v>0</v>
      </c>
      <c r="H28" s="83"/>
      <c r="I28" s="69"/>
      <c r="J28" s="83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G26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25.15"/>
    <col collapsed="false" customWidth="true" hidden="false" outlineLevel="0" max="2" min="2" style="63" width="31.42"/>
    <col collapsed="false" customWidth="true" hidden="false" outlineLevel="0" max="3" min="3" style="63" width="28.57"/>
    <col collapsed="false" customWidth="true" hidden="false" outlineLevel="0" max="4" min="4" style="63" width="15.09"/>
    <col collapsed="false" customWidth="true" hidden="false" outlineLevel="0" max="5" min="5" style="84" width="17.62"/>
    <col collapsed="false" customWidth="true" hidden="false" outlineLevel="0" max="6" min="6" style="63" width="13.67"/>
    <col collapsed="false" customWidth="true" hidden="false" outlineLevel="0" max="7" min="7" style="84" width="9.16"/>
    <col collapsed="false" customWidth="true" hidden="false" outlineLevel="0" max="8" min="8" style="63" width="15.66"/>
    <col collapsed="false" customWidth="true" hidden="false" outlineLevel="0" max="9" min="9" style="63" width="17.74"/>
    <col collapsed="false" customWidth="true" hidden="false" outlineLevel="0" max="10" min="10" style="63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3" width="13.16"/>
    <col collapsed="false" customWidth="true" hidden="false" outlineLevel="0" max="16384" min="16380" style="63" width="11.53"/>
  </cols>
  <sheetData>
    <row r="1" customFormat="false" ht="16.5" hidden="false" customHeight="true" outlineLevel="0" collapsed="false">
      <c r="A1" s="74" t="str">
        <f aca="false">Contrôles!$K30</f>
        <v>✓</v>
      </c>
      <c r="B1" s="47" t="s">
        <v>97</v>
      </c>
      <c r="C1" s="12"/>
      <c r="D1" s="74"/>
      <c r="E1" s="12"/>
      <c r="F1" s="74"/>
      <c r="G1" s="12"/>
      <c r="H1" s="12"/>
      <c r="I1" s="12"/>
      <c r="J1" s="74"/>
      <c r="K1" s="74"/>
    </row>
    <row r="2" customFormat="false" ht="16.5" hidden="false" customHeight="true" outlineLevel="0" collapsed="false">
      <c r="A2" s="47"/>
      <c r="B2" s="47" t="s">
        <v>98</v>
      </c>
      <c r="C2" s="47"/>
      <c r="D2" s="74"/>
      <c r="E2" s="12"/>
      <c r="F2" s="74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4"/>
      <c r="E3" s="11" t="n">
        <f aca="false">E15</f>
        <v>0</v>
      </c>
      <c r="F3" s="74"/>
      <c r="G3" s="85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6" t="s">
        <v>99</v>
      </c>
      <c r="B4" s="26" t="s">
        <v>54</v>
      </c>
      <c r="C4" s="26" t="s">
        <v>100</v>
      </c>
      <c r="D4" s="26" t="s">
        <v>67</v>
      </c>
      <c r="E4" s="87" t="s">
        <v>101</v>
      </c>
      <c r="F4" s="26" t="s">
        <v>102</v>
      </c>
      <c r="G4" s="51" t="s">
        <v>103</v>
      </c>
      <c r="H4" s="26" t="s">
        <v>104</v>
      </c>
      <c r="I4" s="88" t="s">
        <v>105</v>
      </c>
      <c r="J4" s="51" t="s">
        <v>106</v>
      </c>
      <c r="K4" s="88" t="s">
        <v>107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89" t="s">
        <v>108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89" t="s">
        <v>109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89" t="s">
        <v>110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89" t="s">
        <v>111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8" t="s">
        <v>57</v>
      </c>
      <c r="B15" s="58"/>
      <c r="C15" s="58"/>
      <c r="D15" s="60" t="s">
        <v>82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112</v>
      </c>
      <c r="B16" s="32"/>
      <c r="C16" s="32"/>
      <c r="D16" s="22" t="s">
        <v>82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113</v>
      </c>
      <c r="B17" s="32"/>
      <c r="C17" s="32"/>
      <c r="D17" s="22" t="s">
        <v>82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114</v>
      </c>
      <c r="B18" s="32"/>
      <c r="C18" s="32"/>
      <c r="D18" s="22" t="s">
        <v>82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115</v>
      </c>
      <c r="B19" s="32"/>
      <c r="C19" s="32"/>
      <c r="D19" s="22" t="s">
        <v>82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116</v>
      </c>
      <c r="B1" s="5"/>
      <c r="C1" s="5"/>
      <c r="D1" s="5"/>
      <c r="E1" s="104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46278</v>
      </c>
      <c r="B2" s="49" t="str">
        <f aca="false">Contrôles!K$30</f>
        <v>✓</v>
      </c>
      <c r="C2" s="106"/>
      <c r="D2" s="5"/>
      <c r="E2" s="104"/>
      <c r="F2" s="107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119</v>
      </c>
      <c r="C3" s="49" t="s">
        <v>71</v>
      </c>
      <c r="D3" s="49" t="s">
        <v>67</v>
      </c>
      <c r="E3" s="49" t="s">
        <v>120</v>
      </c>
      <c r="F3" s="51" t="s">
        <v>121</v>
      </c>
      <c r="G3" s="49" t="s">
        <v>122</v>
      </c>
      <c r="H3" s="49" t="s">
        <v>54</v>
      </c>
      <c r="I3" s="47" t="s">
        <v>123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10000">
    <cfRule type="expression" priority="4" aboveAverage="0" equalAverage="0" bottom="0" percent="0" rank="0" text="" dxfId="13">
      <formula>AND(ISNUMBER($A4),OR($A4&lt;DATE(2020,1,1),$A4&gt;DATE(année_courante,12,31)))</formula>
    </cfRule>
  </conditionalFormatting>
  <conditionalFormatting sqref="F4:F10000">
    <cfRule type="cellIs" priority="5" operator="equal" aboveAverage="0" equalAverage="0" bottom="0" percent="0" rank="0" text="" dxfId="14">
      <formula>"-"</formula>
    </cfRule>
  </conditionalFormatting>
  <conditionalFormatting sqref="G4:G10000">
    <cfRule type="expression" priority="6" aboveAverage="0" equalAverage="0" bottom="0" percent="0" rank="0" text="" dxfId="13">
      <formula>AND(ISNUMBER($A4),LEFT($G4,1)&lt;&gt;"#",OR($G4="",COUNTIF(CATnom,$G4)=0))</formula>
    </cfRule>
  </conditionalFormatting>
  <conditionalFormatting sqref="H4:H10000">
    <cfRule type="expression" priority="7" aboveAverage="0" equalAverage="0" bottom="0" percent="0" rank="0" text="" dxfId="13">
      <formula>AND(ISNUMBER($A4),OR(AND($H4="",LEFT($G4,1)&lt;&gt;"#"),AND($H4&lt;&gt;"",COUNTIF(AVRintitulé,$H4)=0)))</formula>
    </cfRule>
  </conditionalFormatting>
  <conditionalFormatting sqref="D4:D10000">
    <cfRule type="expression" priority="8" aboveAverage="0" equalAverage="0" bottom="0" percent="0" rank="0" text="" dxfId="15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1004" type="custom">
      <formula1>AND(ISNUMBER($A4),$A4&gt;=DATE(2020,1,1),$A4&lt;=DATE(année_courante,12,31))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1004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1004" type="custom">
      <formula1>COUNTIF(CTRL1compte,$H4)&gt;0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1004" type="custom">
      <formula1>COUNTIF(COTcode,$D4)&gt;0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3" width="41.42"/>
    <col collapsed="false" customWidth="true" hidden="false" outlineLevel="0" max="11" min="11" style="63" width="14.98"/>
    <col collapsed="false" customWidth="true" hidden="false" outlineLevel="0" max="12" min="12" style="63" width="11"/>
    <col collapsed="false" customWidth="true" hidden="false" outlineLevel="0" max="13" min="13" style="63" width="15.51"/>
    <col collapsed="false" customWidth="false" hidden="false" outlineLevel="0" max="16368" min="16" style="63" width="19.16"/>
    <col collapsed="false" customWidth="true" hidden="false" outlineLevel="0" max="16382" min="16369" style="1" width="11.53"/>
    <col collapsed="false" customWidth="true" hidden="false" outlineLevel="0" max="16384" min="16383" style="63" width="11.53"/>
  </cols>
  <sheetData>
    <row r="1" customFormat="false" ht="16.5" hidden="false" customHeight="true" outlineLevel="0" collapsed="false">
      <c r="A1" s="114" t="str">
        <f aca="false">$K$30</f>
        <v>✓</v>
      </c>
      <c r="B1" s="10"/>
      <c r="C1" s="10"/>
      <c r="D1" s="10"/>
      <c r="E1" s="10"/>
      <c r="F1" s="12"/>
      <c r="G1" s="12"/>
      <c r="H1" s="12"/>
      <c r="I1" s="74"/>
    </row>
    <row r="2" customFormat="false" ht="28.5" hidden="false" customHeight="true" outlineLevel="0" collapsed="false">
      <c r="A2" s="51" t="s">
        <v>124</v>
      </c>
      <c r="B2" s="74" t="s">
        <v>67</v>
      </c>
      <c r="C2" s="74" t="s">
        <v>125</v>
      </c>
      <c r="D2" s="74" t="s">
        <v>126</v>
      </c>
      <c r="E2" s="74" t="s">
        <v>127</v>
      </c>
      <c r="F2" s="26" t="s">
        <v>128</v>
      </c>
      <c r="G2" s="26" t="s">
        <v>129</v>
      </c>
      <c r="H2" s="51" t="s">
        <v>94</v>
      </c>
      <c r="I2" s="51" t="s">
        <v>130</v>
      </c>
    </row>
    <row r="3" customFormat="false" ht="15" hidden="false" customHeight="true" outlineLevel="0" collapsed="false">
      <c r="A3" s="14" t="s">
        <v>4</v>
      </c>
      <c r="B3" s="55"/>
      <c r="C3" s="93"/>
      <c r="D3" s="93"/>
      <c r="E3" s="16"/>
      <c r="F3" s="16"/>
      <c r="G3" s="16"/>
      <c r="H3" s="16"/>
      <c r="I3" s="16"/>
    </row>
    <row r="4" customFormat="false" ht="16.5" hidden="false" customHeight="true" outlineLevel="0" collapsed="false">
      <c r="A4" s="115" t="s">
        <v>4</v>
      </c>
      <c r="B4" s="116"/>
      <c r="C4" s="116"/>
      <c r="D4" s="116"/>
      <c r="E4" s="116"/>
      <c r="F4" s="117"/>
      <c r="G4" s="118"/>
      <c r="H4" s="118"/>
      <c r="I4" s="116"/>
    </row>
    <row r="5" customFormat="false" ht="17.25" hidden="false" customHeight="true" outlineLevel="0" collapsed="false">
      <c r="A5" s="58"/>
      <c r="B5" s="60"/>
      <c r="C5" s="60"/>
      <c r="D5" s="60"/>
      <c r="E5" s="60"/>
      <c r="F5" s="119"/>
      <c r="G5" s="58"/>
      <c r="H5" s="58"/>
      <c r="I5" s="58"/>
    </row>
    <row r="7" customFormat="false" ht="18.75" hidden="false" customHeight="true" outlineLevel="0" collapsed="false">
      <c r="J7" s="73" t="s">
        <v>131</v>
      </c>
      <c r="K7" s="73"/>
      <c r="L7" s="73"/>
      <c r="M7" s="73"/>
    </row>
    <row r="8" customFormat="false" ht="19.5" hidden="false" customHeight="true" outlineLevel="0" collapsed="false">
      <c r="J8" s="26" t="s">
        <v>132</v>
      </c>
      <c r="K8" s="26" t="s">
        <v>133</v>
      </c>
      <c r="L8" s="26" t="s">
        <v>134</v>
      </c>
      <c r="M8" s="75" t="s">
        <v>82</v>
      </c>
    </row>
    <row r="9" customFormat="false" ht="16.5" hidden="false" customHeight="true" outlineLevel="0" collapsed="false">
      <c r="J9" s="14" t="s">
        <v>4</v>
      </c>
      <c r="K9" s="55"/>
      <c r="L9" s="120"/>
      <c r="M9" s="80"/>
    </row>
    <row r="10" customFormat="false" ht="16.5" hidden="false" customHeight="true" outlineLevel="0" collapsed="false">
      <c r="J10" s="32" t="s">
        <v>135</v>
      </c>
      <c r="K10" s="116" t="str">
        <f aca="false">IF(L10=0,"✓","✗")</f>
        <v>✓</v>
      </c>
      <c r="L10" s="120" t="n">
        <f aca="false">COUNTIFS(CTRL1controle,"Oui")-COUNTIFS(CTRL1controle,"Oui",CTRL1ecart,0)</f>
        <v>0</v>
      </c>
      <c r="M10" s="120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45</v>
      </c>
      <c r="K11" s="116" t="str">
        <f aca="false">IF(L11&gt;0,"✗","✓")</f>
        <v>✓</v>
      </c>
      <c r="L11" s="34" t="n">
        <f aca="false">IF(L12&gt;0,1,0)+IF(L13&gt;0,1,0)+IF(ABS(L14)&gt;=1,1,0)</f>
        <v>0</v>
      </c>
      <c r="M11" s="80"/>
    </row>
    <row r="12" customFormat="false" ht="16.5" hidden="false" customHeight="true" outlineLevel="0" collapsed="false">
      <c r="J12" s="32" t="s">
        <v>136</v>
      </c>
      <c r="K12" s="116"/>
      <c r="L12" s="34" t="n">
        <f aca="false">SUMPRODUCT(ISNUMBER(OPdate)*(OPcatégorie=""))</f>
        <v>0</v>
      </c>
      <c r="M12" s="80"/>
    </row>
    <row r="13" customFormat="false" ht="16.5" hidden="false" customHeight="true" outlineLevel="0" collapsed="false">
      <c r="J13" s="32" t="s">
        <v>137</v>
      </c>
      <c r="K13" s="116"/>
      <c r="L13" s="34" t="n">
        <f aca="false">SUMPRODUCT((COUNTIF(CATnom,OPcatégorie)=0)*(OPcatégorie&lt;&gt;"")*(LEFT(OPcatégorie,1)&lt;&gt;"#"))</f>
        <v>0</v>
      </c>
      <c r="M13" s="80"/>
    </row>
    <row r="14" customFormat="false" ht="16.5" hidden="false" customHeight="true" outlineLevel="0" collapsed="false">
      <c r="J14" s="32" t="s">
        <v>138</v>
      </c>
      <c r="K14" s="116"/>
      <c r="L14" s="80" t="n">
        <f aca="false">ABS(Budget!G$26)+ABS(Budget!I$27-Budget!G$27)+ABS(Budget!C$10)</f>
        <v>0</v>
      </c>
      <c r="M14" s="80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5" customFormat="false" ht="16.5" hidden="false" customHeight="true" outlineLevel="0" collapsed="false">
      <c r="J15" s="32" t="s">
        <v>49</v>
      </c>
      <c r="K15" s="116" t="str">
        <f aca="false">IF(L15&gt;0,"⚠","✓")</f>
        <v>✓</v>
      </c>
      <c r="L15" s="34" t="n">
        <f aca="false">SUM(L16:L18)</f>
        <v>0</v>
      </c>
      <c r="M15" s="80"/>
    </row>
    <row r="16" customFormat="false" ht="16.5" hidden="false" customHeight="true" outlineLevel="0" collapsed="false">
      <c r="J16" s="121" t="s">
        <v>139</v>
      </c>
      <c r="K16" s="116"/>
      <c r="L16" s="34" t="n">
        <f aca="false">COUNTIF(OPdate,"&lt;"&amp;DATE(2020,1,1))+COUNTIF(OPdate,"&gt;"&amp;DATE(année_courante,12,31))</f>
        <v>0</v>
      </c>
      <c r="M16" s="80"/>
    </row>
    <row r="17" customFormat="false" ht="16.5" hidden="false" customHeight="true" outlineLevel="0" collapsed="false">
      <c r="J17" s="121" t="s">
        <v>140</v>
      </c>
      <c r="K17" s="116"/>
      <c r="L17" s="34" t="n">
        <f aca="false">Patrimoine!D33</f>
        <v>0</v>
      </c>
      <c r="M17" s="80"/>
    </row>
    <row r="18" customFormat="false" ht="16.5" hidden="false" customHeight="true" outlineLevel="0" collapsed="false">
      <c r="J18" s="121" t="s">
        <v>141</v>
      </c>
      <c r="K18" s="116"/>
      <c r="L18" s="34" t="n">
        <f aca="false">IF(Cotations!B20="⚠",1,0)</f>
        <v>0</v>
      </c>
      <c r="M18" s="80"/>
    </row>
    <row r="19" customFormat="false" ht="16.5" hidden="false" customHeight="true" outlineLevel="0" collapsed="false">
      <c r="J19" s="32" t="s">
        <v>142</v>
      </c>
      <c r="K19" s="116" t="str">
        <f aca="false">IF(L19=0,"✓","⚠")</f>
        <v>✓</v>
      </c>
      <c r="L19" s="120" t="n">
        <f aca="false">COUNTIFS(OPréf,"-")</f>
        <v>0</v>
      </c>
      <c r="M19" s="120" t="n">
        <f aca="false">COUNTIFS(OPréf,"-",OPdevise,M$8)</f>
        <v>0</v>
      </c>
    </row>
    <row r="20" customFormat="false" ht="16.5" hidden="false" customHeight="true" outlineLevel="0" collapsed="false">
      <c r="J20" s="115" t="s">
        <v>143</v>
      </c>
      <c r="K20" s="116" t="str">
        <f aca="false">IF(L20=0,"✓","⚠")</f>
        <v>✓</v>
      </c>
      <c r="L20" s="120" t="n">
        <f aca="false">3-COUNTIFS(L21:L23,0)</f>
        <v>0</v>
      </c>
      <c r="M20" s="120" t="n">
        <f aca="false">COUNTA($J21:$J23)-COUNTIFS(M21:M23,0)</f>
        <v>0</v>
      </c>
    </row>
    <row r="21" customFormat="false" ht="16.5" hidden="false" customHeight="true" outlineLevel="0" collapsed="false">
      <c r="J21" s="122" t="s">
        <v>144</v>
      </c>
      <c r="K21" s="55"/>
      <c r="L21" s="80" t="n">
        <f aca="false">ROUND(SUMIFS(OPequiv_euro,OPcatégorie,"@Virement"),0)</f>
        <v>0</v>
      </c>
      <c r="M21" s="80" t="n">
        <f aca="false">SUMIFS(OPequiv_euro,OPdevise,M$8,OPcatégorie,"@Virement")</f>
        <v>0</v>
      </c>
    </row>
    <row r="22" customFormat="false" ht="16.5" hidden="false" customHeight="true" outlineLevel="0" collapsed="false">
      <c r="J22" s="122" t="s">
        <v>145</v>
      </c>
      <c r="K22" s="55"/>
      <c r="L22" s="80" t="n">
        <f aca="false">ROUND(SUMIFS(OPequiv_euro,OPcatégorie,"*titres"),0)</f>
        <v>0</v>
      </c>
      <c r="M22" s="80" t="n">
        <f aca="false">SUMIFS(OPequiv_euro,OPdevise,M$8,OPcatégorie,"*titres")</f>
        <v>0</v>
      </c>
    </row>
    <row r="23" customFormat="false" ht="16.5" hidden="false" customHeight="true" outlineLevel="0" collapsed="false">
      <c r="J23" s="122" t="s">
        <v>146</v>
      </c>
      <c r="K23" s="55"/>
      <c r="L23" s="80" t="n">
        <f aca="false">ROUND(SUMIFS(OPequiv_euro,OPcatégorie,"@Change") + SUMIFS(OPequiv_euro,OPcatégorie,"@Achat métaux"),0)</f>
        <v>0</v>
      </c>
      <c r="M23" s="80" t="n">
        <f aca="false">SUMIFS(OPequiv_euro,OPdevise,M$8,OPcatégorie,"@Change")+SUMIFS(OPequiv_euro,OPdevise,M$8,OPcatégorie,"@Achat métaux")</f>
        <v>0</v>
      </c>
    </row>
    <row r="24" customFormat="false" ht="16.5" hidden="false" customHeight="true" outlineLevel="0" collapsed="false">
      <c r="J24" s="123" t="s">
        <v>147</v>
      </c>
      <c r="K24" s="55"/>
      <c r="L24" s="80" t="n">
        <f aca="false">L21+L22+L23</f>
        <v>0</v>
      </c>
      <c r="M24" s="80" t="n">
        <f aca="false">M21+M22+M23</f>
        <v>0</v>
      </c>
    </row>
    <row r="25" customFormat="false" ht="16.5" hidden="false" customHeight="true" outlineLevel="0" collapsed="false">
      <c r="J25" s="115" t="s">
        <v>148</v>
      </c>
      <c r="K25" s="116" t="str">
        <f aca="false">IF(L25=0,"✓","✗")</f>
        <v>✓</v>
      </c>
      <c r="L25" s="120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25" s="80"/>
    </row>
    <row r="26" customFormat="false" ht="16.5" hidden="false" customHeight="true" outlineLevel="0" collapsed="false">
      <c r="J26" s="115" t="s">
        <v>149</v>
      </c>
      <c r="K26" s="116" t="str">
        <f aca="false">IF(L26&gt;0,"✗","✓")</f>
        <v>✓</v>
      </c>
      <c r="L26" s="120" t="n">
        <f aca="false">SUM(L27:L28)</f>
        <v>0</v>
      </c>
      <c r="M26" s="80"/>
    </row>
    <row r="27" customFormat="false" ht="16.5" hidden="false" customHeight="true" outlineLevel="0" collapsed="false">
      <c r="J27" s="122" t="s">
        <v>150</v>
      </c>
      <c r="K27" s="116"/>
      <c r="L27" s="120" t="n">
        <f aca="false">IF(Avoirs!L1="✗",1,0)</f>
        <v>0</v>
      </c>
      <c r="M27" s="80"/>
    </row>
    <row r="28" customFormat="false" ht="16.5" hidden="false" customHeight="true" outlineLevel="0" collapsed="false">
      <c r="J28" s="122" t="s">
        <v>151</v>
      </c>
      <c r="K28" s="116"/>
      <c r="L28" s="120" t="n">
        <f aca="false">IF(Plus_value!B3="✗",1,0)</f>
        <v>0</v>
      </c>
      <c r="M28" s="80"/>
    </row>
    <row r="29" customFormat="false" ht="16.5" hidden="false" customHeight="true" outlineLevel="0" collapsed="false">
      <c r="J29" s="14" t="s">
        <v>4</v>
      </c>
      <c r="K29" s="55"/>
      <c r="L29" s="120"/>
      <c r="M29" s="80"/>
    </row>
    <row r="30" customFormat="false" ht="17.25" hidden="false" customHeight="true" outlineLevel="0" collapsed="false">
      <c r="J30" s="58" t="s">
        <v>152</v>
      </c>
      <c r="K30" s="60" t="str">
        <f aca="false">IF(ISNUMBER(FIND("✗",IFERROR(K10,"⚠")&amp;IFERROR(K11,"⚠")&amp;IFERROR(K15,"⚠")&amp;IFERROR(K19,"⚠")&amp;IFERROR(K20,"⚠")&amp;IFERROR(K25,"⚠")&amp;IFERROR(K26,"⚠"))),"✗",IF(ISNUMBER(FIND("⚠",IFERROR(K10,"⚠")&amp;IFERROR(K11,"⚠")&amp;IFERROR(K15,"⚠")&amp;IFERROR(K19,"⚠")&amp;IFERROR(K20,"⚠")&amp;IFERROR(K25,"⚠")&amp;IFERROR(K26,"⚠"))),"⚠","✓"))</f>
        <v>✓</v>
      </c>
      <c r="L30" s="124"/>
      <c r="M30" s="58"/>
    </row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7:M7"/>
  </mergeCells>
  <conditionalFormatting sqref="L11 L21:L24">
    <cfRule type="cellIs" priority="2" operator="notEqual" aboveAverage="0" equalAverage="0" bottom="0" percent="0" rank="0" text="" dxfId="0">
      <formula>0</formula>
    </cfRule>
  </conditionalFormatting>
  <conditionalFormatting sqref="L9:L10 L15:L20 L25:L29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9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M12:M13">
    <cfRule type="expression" priority="12" aboveAverage="0" equalAverage="0" bottom="0" percent="0" rank="0" text="" dxfId="6">
      <formula>$M$8="EUR"</formula>
    </cfRule>
  </conditionalFormatting>
  <conditionalFormatting sqref="K20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K30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15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25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6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L12">
    <cfRule type="cellIs" priority="23" operator="notEqual" aboveAverage="0" equalAverage="0" bottom="0" percent="0" rank="0" text="" dxfId="0">
      <formula>0</formula>
    </cfRule>
  </conditionalFormatting>
  <conditionalFormatting sqref="L13">
    <cfRule type="cellIs" priority="24" operator="notEqual" aboveAverage="0" equalAverage="0" bottom="0" percent="0" rank="0" text="" dxfId="0">
      <formula>0</formula>
    </cfRule>
  </conditionalFormatting>
  <conditionalFormatting sqref="L14">
    <cfRule type="cellIs" priority="25" operator="notEqual" aboveAverage="0" equalAverage="0" bottom="0" percent="0" rank="0" text="" dxfId="0">
      <formula>0</formula>
    </cfRule>
  </conditionalFormatting>
  <conditionalFormatting sqref="M14">
    <cfRule type="expression" priority="26" aboveAverage="0" equalAverage="0" bottom="0" percent="0" rank="0" text="" dxfId="6">
      <formula>$M$8="EUR"</formula>
    </cfRule>
  </conditionalFormatting>
  <conditionalFormatting sqref="K11">
    <cfRule type="expression" priority="27" aboveAverage="0" equalAverage="0" bottom="0" percent="0" rank="0" text="" dxfId="1">
      <formula>NOT(ISERROR(FIND("✗",INDIRECT("RC",0))))</formula>
    </cfRule>
    <cfRule type="expression" priority="28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45.77"/>
    <col collapsed="false" customWidth="true" hidden="false" outlineLevel="0" max="3" min="2" style="63" width="9"/>
    <col collapsed="false" customWidth="true" hidden="false" outlineLevel="0" max="4" min="4" style="63" width="10.66"/>
    <col collapsed="false" customWidth="true" hidden="false" outlineLevel="0" max="5" min="5" style="84" width="9"/>
    <col collapsed="false" customWidth="true" hidden="false" outlineLevel="0" max="6" min="6" style="63" width="14.47"/>
    <col collapsed="false" customWidth="true" hidden="false" outlineLevel="0" max="7" min="7" style="63" width="13.44"/>
    <col collapsed="false" customWidth="true" hidden="false" outlineLevel="0" max="8" min="8" style="63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4" t="str">
        <f aca="false">Contrôles!$K$30</f>
        <v>✓</v>
      </c>
      <c r="B1" s="74"/>
      <c r="C1" s="74"/>
      <c r="D1" s="74"/>
      <c r="E1" s="74"/>
      <c r="F1" s="74" t="str">
        <f aca="false">année_courante</f>
        <v>2026</v>
      </c>
      <c r="G1" s="74"/>
      <c r="H1" s="12"/>
    </row>
    <row r="2" customFormat="false" ht="21" hidden="false" customHeight="true" outlineLevel="0" collapsed="false">
      <c r="A2" s="26" t="s">
        <v>153</v>
      </c>
      <c r="B2" s="26" t="s">
        <v>154</v>
      </c>
      <c r="C2" s="26" t="s">
        <v>155</v>
      </c>
      <c r="D2" s="26" t="s">
        <v>156</v>
      </c>
      <c r="E2" s="51" t="s">
        <v>157</v>
      </c>
      <c r="F2" s="51" t="s">
        <v>158</v>
      </c>
      <c r="G2" s="51" t="s">
        <v>70</v>
      </c>
      <c r="H2" s="51" t="s">
        <v>159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5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160</v>
      </c>
      <c r="C4" s="126" t="s">
        <v>161</v>
      </c>
      <c r="D4" s="126" t="n">
        <v>2</v>
      </c>
      <c r="E4" s="55" t="s">
        <v>82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5"/>
      <c r="F5" s="16"/>
      <c r="G5" s="16"/>
      <c r="H5" s="16"/>
    </row>
    <row r="6" customFormat="false" ht="15" hidden="false" customHeight="true" outlineLevel="0" collapsed="false">
      <c r="A6" s="58" t="s">
        <v>162</v>
      </c>
      <c r="B6" s="5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8"/>
      <c r="D6" s="58"/>
      <c r="E6" s="58"/>
      <c r="F6" s="58"/>
      <c r="G6" s="58"/>
      <c r="H6" s="58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2026-09-13T21:16:46Z</dcterms:modified>
  <cp:revision>1017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