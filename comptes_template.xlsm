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ours_AgPr" vbProcedure="false">#REF!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Contrôles!$K$10:$K$22</definedName>
    <definedName function="false" hidden="false" name="CTRL2eur" vbProcedure="false">Contrôles!$M$10:$M$22</definedName>
    <definedName function="false" hidden="false" name="CTRL2general" vbProcedure="false">Contrôles!$L$10:$L$22</definedName>
    <definedName function="false" hidden="false" name="CTRL2type" vbProcedure="false">Contrôles!$J$10:$J$22</definedName>
    <definedName function="false" hidden="false" name="OPcatégorie" vbProcedure="false">Opérations!$G$4:$G$10000</definedName>
    <definedName function="false" hidden="false" name="OPcommentaire" vbProcedure="false">Opérations!$I$4:$I$7193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label" vbProcedure="false">Patrimoine!$B$5:$B$30</definedName>
    <definedName function="false" hidden="false" name="PATnombre" vbProcedure="false">Patrimoine!$C$5:$C$30</definedName>
    <definedName function="false" hidden="false" name="PATpoids" vbProcedure="false">Patrimoine!$E$5:$E$30</definedName>
    <definedName function="false" hidden="false" name="PATvaleur" vbProcedure="false">Patrimoine!$D$5:$D$30</definedName>
    <definedName function="false" hidden="false" name="POSTESnom" vbProcedure="false">Budget!$A$4:$A$6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1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<sst xmlns="http://schemas.openxmlformats.org/spreadsheetml/2006/main" count="174" uniqueCount="128">
  <si>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</si>
  <si>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</si>
  <si>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</si>
  <si>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</si>
  <si>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</si>
  <si>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</si>
  <si>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</si>
  <si>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</si>
  <si>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</si>
  <si>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</si>
  <si>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</si>
  <si>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</si>
  <si>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</si>
  <si>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</si>
  <si>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</si>
  <si>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</si>
  <si>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</si>
  <si>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</si>
  <si>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</si>
  <si>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</si>
  <si>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</si>
  <si>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</si>
  <si>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</si>
  <si>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</si>
  <si>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</si>
  <si>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</si>
  <si>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Certaines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</si>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</sst>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\ 0.00\ [$€-40C]"/>
    <numFmt numFmtId="175" formatCode="\ 0.00\ [$$-409]"/>
    <numFmt numFmtId="176" formatCode="[$€-40C]\ #,##0.00"/>
    <numFmt numFmtId="177" formatCode="d\ mmm\ yyyy"/>
    <numFmt numFmtId="178" formatCode="\ #,##0\ [$€-40C]"/>
    <numFmt numFmtId="179" formatCode="\ #,##0.00\ [$€-40C]"/>
    <numFmt numFmtId="180" formatCode="#,##0"/>
    <numFmt numFmtId="181" formatCode="[$-40C]dd/mm/yy"/>
    <numFmt numFmtId="182" formatCode="dd/mm/yyyy"/>
    <numFmt numFmtId="183" formatCode="0.00000"/>
    <numFmt numFmtId="184" formatCode="#,##0.00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FFFBEE"/>
        <bgColor rgb="FFFFFFFF"/>
      </patternFill>
    </fill>
  </fills>
  <borders count="58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95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1" fillId="15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2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2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3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3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1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1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1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5" fillId="14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1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2" borderId="7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8" fontId="11" fillId="2" borderId="7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7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1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6" borderId="1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1" fillId="1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1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2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2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79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7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29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1" borderId="29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3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1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1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1" borderId="3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2" borderId="1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3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2" borderId="3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22" borderId="3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3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3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22" borderId="4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1" fillId="16" borderId="4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22" borderId="4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22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4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9" fontId="11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9" fontId="11" fillId="16" borderId="4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14" borderId="48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8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2" fillId="16" borderId="3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16" borderId="3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5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1" fillId="16" borderId="5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1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7" fontId="11" fillId="14" borderId="5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4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2" fontId="11" fillId="14" borderId="5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3" fontId="11" fillId="14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1" fontId="15" fillId="2" borderId="5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6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3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23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15" fillId="2" borderId="6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0" fontId="11" fillId="2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6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1" fillId="16" borderId="6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2" fillId="16" borderId="6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9" fontId="11" fillId="2" borderId="7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16" borderId="5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6" borderId="5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1" fillId="19" borderId="5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FFEB9C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FFCCCC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AEAEA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DED9C0"/>
      <rgbColor rgb="FFD2C195"/>
      <rgbColor rgb="FFFFC7CE"/>
      <rgbColor rgb="FFE32400"/>
      <rgbColor rgb="FF7F7F7F"/>
      <rgbColor rgb="FF919191"/>
      <rgbColor rgb="FF003366"/>
      <rgbColor rgb="FFE6E6E6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9"/>
      <c r="I3" s="9"/>
    </row>
    <row r="4" customFormat="false" ht="15.75" hidden="false" customHeight="true" outlineLevel="0" collapsed="false">
      <c r="B4" s="10" t="s">
        <v>3</v>
      </c>
      <c r="C4" s="11" t="n">
        <f aca="false">COUNTA(AVRintitulé)-2</f>
        <v>0</v>
      </c>
      <c r="D4" s="12" t="n">
        <f aca="false">Avoirs!L2</f>
        <v>0</v>
      </c>
      <c r="E4" s="13"/>
      <c r="F4" s="13"/>
      <c r="G4" s="12" t="n">
        <f aca="false">Plus_value!E3</f>
        <v>0</v>
      </c>
      <c r="H4" s="14" t="e">
        <f aca="false">Plus_value!F15</f>
        <v>#DIV/0!</v>
      </c>
      <c r="I4" s="14"/>
    </row>
    <row r="5" customFormat="false" ht="15.75" hidden="false" customHeight="true" outlineLevel="0" collapsed="false">
      <c r="B5" s="15" t="s">
        <v>4</v>
      </c>
      <c r="C5" s="15"/>
      <c r="D5" s="16"/>
      <c r="E5" s="13"/>
      <c r="F5" s="15"/>
      <c r="G5" s="16"/>
      <c r="H5" s="13"/>
      <c r="I5" s="14"/>
    </row>
    <row r="6" customFormat="false" ht="16.5" hidden="false" customHeight="true" outlineLevel="0" collapsed="false">
      <c r="B6" s="17" t="s">
        <v>5</v>
      </c>
      <c r="C6" s="18" t="n">
        <f aca="false">COUNTIF(AVRtype,$B6)</f>
        <v>0</v>
      </c>
      <c r="D6" s="19" t="n">
        <f aca="false">SUMIF(AVRtype,$B6,AVRmontant_solde_euro)</f>
        <v>0</v>
      </c>
      <c r="E6" s="20" t="e">
        <f aca="false">D6/D$13</f>
        <v>#DIV/0!</v>
      </c>
      <c r="G6" s="21"/>
    </row>
    <row r="7" customFormat="false" ht="16.5" hidden="false" customHeight="true" outlineLevel="0" collapsed="false">
      <c r="B7" s="17" t="s">
        <v>6</v>
      </c>
      <c r="C7" s="18" t="n">
        <f aca="false">COUNTIF(AVRtype,$B7)</f>
        <v>0</v>
      </c>
      <c r="D7" s="19" t="n">
        <f aca="false">SUMIF(AVRtype,$B7,AVRmontant_solde_euro)</f>
        <v>0</v>
      </c>
      <c r="E7" s="20" t="e">
        <f aca="false">D7/D$13</f>
        <v>#DIV/0!</v>
      </c>
    </row>
    <row r="8" customFormat="false" ht="16.5" hidden="false" customHeight="true" outlineLevel="0" collapsed="false">
      <c r="B8" s="17" t="s">
        <v>7</v>
      </c>
      <c r="C8" s="18" t="n">
        <f aca="false">COUNTIF(AVRtype,$B8)</f>
        <v>0</v>
      </c>
      <c r="D8" s="19" t="n">
        <f aca="false">SUMIF(AVRtype,$B8,AVRmontant_solde_euro)</f>
        <v>0</v>
      </c>
      <c r="E8" s="20" t="e">
        <f aca="false">D8/D$13</f>
        <v>#DIV/0!</v>
      </c>
    </row>
    <row r="9" customFormat="false" ht="16.5" hidden="false" customHeight="true" outlineLevel="0" collapsed="false">
      <c r="B9" s="17" t="s">
        <v>8</v>
      </c>
      <c r="C9" s="18" t="n">
        <f aca="false">COUNTIF(AVRtype,$B9)</f>
        <v>0</v>
      </c>
      <c r="D9" s="19" t="n">
        <f aca="false">SUMIF(AVRtype,$B9,AVRmontant_solde_euro)</f>
        <v>0</v>
      </c>
      <c r="E9" s="20" t="e">
        <f aca="false">D9/D$13</f>
        <v>#DIV/0!</v>
      </c>
    </row>
    <row r="10" customFormat="false" ht="16.5" hidden="false" customHeight="true" outlineLevel="0" collapsed="false">
      <c r="B10" s="17" t="s">
        <v>9</v>
      </c>
      <c r="C10" s="18" t="n">
        <f aca="false">COUNTIF(AVRtype,$B10)</f>
        <v>0</v>
      </c>
      <c r="D10" s="19" t="n">
        <f aca="false">SUMIF(AVRtype,$B10,AVRmontant_solde_euro)</f>
        <v>0</v>
      </c>
      <c r="E10" s="20" t="e">
        <f aca="false">D10/D$13</f>
        <v>#DIV/0!</v>
      </c>
    </row>
    <row r="11" customFormat="false" ht="16.5" hidden="false" customHeight="true" outlineLevel="0" collapsed="false">
      <c r="B11" s="17" t="s">
        <v>10</v>
      </c>
      <c r="C11" s="18" t="n">
        <f aca="false">COUNTIF(AVRtype,$B11)</f>
        <v>0</v>
      </c>
      <c r="D11" s="19" t="n">
        <f aca="false">SUMIF(AVRtype,$B11,AVRmontant_solde_euro)</f>
        <v>0</v>
      </c>
      <c r="E11" s="20" t="e">
        <f aca="false">D11/D$13</f>
        <v>#DIV/0!</v>
      </c>
      <c r="G11" s="21"/>
    </row>
    <row r="12" customFormat="false" ht="16.5" hidden="false" customHeight="true" outlineLevel="0" collapsed="false">
      <c r="B12" s="17" t="s">
        <v>11</v>
      </c>
      <c r="C12" s="18" t="n">
        <f aca="false">COUNTIF(AVRtype,$B12)</f>
        <v>0</v>
      </c>
      <c r="D12" s="19" t="n">
        <f aca="false">SUMIF(AVRtype,$B12,AVRmontant_solde_euro)</f>
        <v>0</v>
      </c>
      <c r="E12" s="20" t="e">
        <f aca="false">D12/D$13</f>
        <v>#DIV/0!</v>
      </c>
      <c r="G12" s="21"/>
    </row>
    <row r="13" customFormat="false" ht="16.5" hidden="false" customHeight="true" outlineLevel="0" collapsed="false">
      <c r="B13" s="22" t="s">
        <v>3</v>
      </c>
      <c r="C13" s="18" t="n">
        <f aca="false">SUM(C6:C12)</f>
        <v>0</v>
      </c>
      <c r="D13" s="23" t="n">
        <f aca="false">ROUND(SUM(D6:D12),2)</f>
        <v>0</v>
      </c>
      <c r="E13" s="20"/>
    </row>
    <row r="14" customFormat="false" ht="16.5" hidden="false" customHeight="true" outlineLevel="0" collapsed="false">
      <c r="B14" s="15" t="s">
        <v>12</v>
      </c>
      <c r="C14" s="24"/>
      <c r="D14" s="25"/>
      <c r="E14" s="13"/>
    </row>
    <row r="15" customFormat="false" ht="16.5" hidden="false" customHeight="true" outlineLevel="0" collapsed="false">
      <c r="B15" s="17" t="s">
        <v>13</v>
      </c>
      <c r="C15" s="18" t="n">
        <f aca="false">COUNTIF(AVRsous_type,$B15)</f>
        <v>0</v>
      </c>
      <c r="D15" s="19" t="n">
        <f aca="false">SUMIF(AVRsous_type,B15,AVRmontant_solde_euro)</f>
        <v>0</v>
      </c>
      <c r="E15" s="20" t="e">
        <f aca="false">D15/D$20</f>
        <v>#DIV/0!</v>
      </c>
      <c r="G15" s="21"/>
    </row>
    <row r="16" customFormat="false" ht="16.5" hidden="false" customHeight="true" outlineLevel="0" collapsed="false">
      <c r="B16" s="17" t="s">
        <v>14</v>
      </c>
      <c r="C16" s="18" t="n">
        <f aca="false">COUNTIF(AVRsous_type,$B16)</f>
        <v>0</v>
      </c>
      <c r="D16" s="19" t="n">
        <f aca="false">SUMIF(AVRsous_type,B16,AVRmontant_solde_euro)</f>
        <v>0</v>
      </c>
      <c r="E16" s="20" t="e">
        <f aca="false">D16/D$20</f>
        <v>#DIV/0!</v>
      </c>
    </row>
    <row r="17" customFormat="false" ht="16.5" hidden="false" customHeight="true" outlineLevel="0" collapsed="false">
      <c r="B17" s="17" t="s">
        <v>15</v>
      </c>
      <c r="C17" s="18" t="n">
        <f aca="false">COUNTIF(AVRsous_type,$B17)</f>
        <v>0</v>
      </c>
      <c r="D17" s="19" t="n">
        <f aca="false">SUMIF(AVRsous_type,B17,AVRmontant_solde_euro)</f>
        <v>0</v>
      </c>
      <c r="E17" s="20" t="e">
        <f aca="false">D17/D$20</f>
        <v>#DIV/0!</v>
      </c>
    </row>
    <row r="18" customFormat="false" ht="16.5" hidden="false" customHeight="true" outlineLevel="0" collapsed="false">
      <c r="B18" s="17" t="s">
        <v>16</v>
      </c>
      <c r="C18" s="18" t="n">
        <f aca="false">COUNTIF(AVRsous_type,$B18)</f>
        <v>0</v>
      </c>
      <c r="D18" s="19" t="n">
        <f aca="false">SUMIF(AVRsous_type,B18,AVRmontant_solde_euro)</f>
        <v>0</v>
      </c>
      <c r="E18" s="20" t="e">
        <f aca="false">D18/D$20</f>
        <v>#DIV/0!</v>
      </c>
    </row>
    <row r="19" customFormat="false" ht="16.5" hidden="false" customHeight="true" outlineLevel="0" collapsed="false">
      <c r="B19" s="17" t="s">
        <v>11</v>
      </c>
      <c r="C19" s="18" t="n">
        <f aca="false">COUNTIF(AVRsous_type,$B19)</f>
        <v>0</v>
      </c>
      <c r="D19" s="19" t="n">
        <f aca="false">SUMIF(AVRsous_type,B19,AVRmontant_solde_euro)</f>
        <v>0</v>
      </c>
      <c r="E19" s="20" t="e">
        <f aca="false">D19/D$20</f>
        <v>#DIV/0!</v>
      </c>
    </row>
    <row r="20" customFormat="false" ht="16.5" hidden="false" customHeight="true" outlineLevel="0" collapsed="false">
      <c r="B20" s="22" t="s">
        <v>3</v>
      </c>
      <c r="C20" s="18" t="n">
        <f aca="false">SUM(C15:C19)</f>
        <v>0</v>
      </c>
      <c r="D20" s="23" t="n">
        <f aca="false">ROUND(SUM(D15:D19),2)</f>
        <v>0</v>
      </c>
      <c r="E20" s="20"/>
    </row>
    <row r="21" customFormat="false" ht="16.5" hidden="false" customHeight="true" outlineLevel="0" collapsed="false">
      <c r="B21" s="26" t="s">
        <v>17</v>
      </c>
      <c r="C21" s="27"/>
      <c r="D21" s="25"/>
      <c r="E21" s="13"/>
    </row>
    <row r="22" customFormat="false" ht="16.5" hidden="false" customHeight="true" outlineLevel="0" collapsed="false">
      <c r="B22" s="28" t="s">
        <v>11</v>
      </c>
      <c r="C22" s="18" t="n">
        <f aca="false">COUNTIF(AVRdomiciliation,$B22)</f>
        <v>0</v>
      </c>
      <c r="D22" s="19" t="n">
        <f aca="false">SUMIF(AVRdomiciliation,$B22,AVRmontant_solde_euro)</f>
        <v>0</v>
      </c>
      <c r="E22" s="20" t="e">
        <f aca="false">D22/D$23</f>
        <v>#DIV/0!</v>
      </c>
      <c r="G22" s="21"/>
    </row>
    <row r="23" customFormat="false" ht="16.5" hidden="false" customHeight="true" outlineLevel="0" collapsed="false">
      <c r="B23" s="22" t="s">
        <v>3</v>
      </c>
      <c r="C23" s="18" t="n">
        <f aca="false">SUM(C22)</f>
        <v>0</v>
      </c>
      <c r="D23" s="23" t="n">
        <f aca="false">ROUND(SUM(D22),2)</f>
        <v>0</v>
      </c>
      <c r="E23" s="20"/>
    </row>
    <row r="24" customFormat="false" ht="16.5" hidden="false" customHeight="true" outlineLevel="0" collapsed="false">
      <c r="B24" s="15" t="s">
        <v>18</v>
      </c>
      <c r="C24" s="24"/>
      <c r="D24" s="25"/>
      <c r="E24" s="13"/>
    </row>
    <row r="25" customFormat="false" ht="16.5" hidden="false" customHeight="true" outlineLevel="0" collapsed="false">
      <c r="B25" s="17" t="s">
        <v>11</v>
      </c>
      <c r="C25" s="18" t="n">
        <f aca="false">COUNTIF(AVRtitulaire,$B25)</f>
        <v>0</v>
      </c>
      <c r="D25" s="29" t="n">
        <f aca="false">SUMIF(AVRtitulaire,$B25,AVRmontant_solde_euro)</f>
        <v>0</v>
      </c>
      <c r="E25" s="20" t="e">
        <f aca="false">D25/D$26</f>
        <v>#DIV/0!</v>
      </c>
    </row>
    <row r="26" customFormat="false" ht="16.5" hidden="false" customHeight="true" outlineLevel="0" collapsed="false">
      <c r="B26" s="22" t="s">
        <v>3</v>
      </c>
      <c r="C26" s="18" t="n">
        <f aca="false">SUM(C25)</f>
        <v>0</v>
      </c>
      <c r="D26" s="23" t="n">
        <f aca="false">ROUND(SUM(D25),2)</f>
        <v>0</v>
      </c>
      <c r="E26" s="20"/>
    </row>
    <row r="27" customFormat="false" ht="13.5" hidden="false" customHeight="true" outlineLevel="0" collapsed="false">
      <c r="B27" s="15" t="s">
        <v>19</v>
      </c>
      <c r="C27" s="24"/>
      <c r="D27" s="25"/>
      <c r="E27" s="13"/>
    </row>
    <row r="28" customFormat="false" ht="13.5" hidden="false" customHeight="true" outlineLevel="0" collapsed="false">
      <c r="B28" s="17" t="s">
        <v>20</v>
      </c>
      <c r="C28" s="18" t="n">
        <f aca="false">COUNTIF(AVRpropriete,$B28)</f>
        <v>0</v>
      </c>
      <c r="D28" s="19" t="n">
        <f aca="false">SUMIF(AVRpropriete,B28,AVRmontant_solde_euro)</f>
        <v>0</v>
      </c>
      <c r="E28" s="20" t="e">
        <f aca="false">D28/D$30</f>
        <v>#DIV/0!</v>
      </c>
      <c r="G28" s="21"/>
    </row>
    <row r="29" customFormat="false" ht="13.5" hidden="false" customHeight="true" outlineLevel="0" collapsed="false">
      <c r="B29" s="17" t="s">
        <v>21</v>
      </c>
      <c r="C29" s="18" t="n">
        <f aca="false">COUNTIF(AVRpropriete,$B29)</f>
        <v>0</v>
      </c>
      <c r="D29" s="19" t="n">
        <f aca="false">SUMIF(AVRpropriete,B29,AVRmontant_solde_euro)</f>
        <v>0</v>
      </c>
      <c r="E29" s="20" t="e">
        <f aca="false">D29/D$30</f>
        <v>#DIV/0!</v>
      </c>
      <c r="G29" s="21" t="s">
        <v>22</v>
      </c>
    </row>
    <row r="30" customFormat="false" ht="13.5" hidden="false" customHeight="true" outlineLevel="0" collapsed="false">
      <c r="B30" s="22" t="s">
        <v>3</v>
      </c>
      <c r="C30" s="18" t="n">
        <f aca="false">SUM(C28:C29)</f>
        <v>0</v>
      </c>
      <c r="D30" s="23" t="n">
        <f aca="false">ROUND(SUM(D28:D29),2)</f>
        <v>0</v>
      </c>
      <c r="E30" s="20"/>
    </row>
    <row r="34" customFormat="false" ht="15.75" hidden="false" customHeight="true" outlineLevel="0" collapsed="false">
      <c r="J34" s="30"/>
      <c r="K34" s="31" t="s">
        <v>23</v>
      </c>
      <c r="L34" s="32"/>
      <c r="M34" s="33"/>
    </row>
    <row r="35" customFormat="false" ht="15.75" hidden="false" customHeight="true" outlineLevel="0" collapsed="false">
      <c r="J35" s="30"/>
      <c r="K35" s="30"/>
      <c r="L35" s="30"/>
      <c r="M35" s="33"/>
    </row>
    <row r="36" customFormat="false" ht="15.75" hidden="false" customHeight="true" outlineLevel="0" collapsed="false">
      <c r="J36" s="30"/>
      <c r="K36" s="34" t="n">
        <v>22.01</v>
      </c>
      <c r="L36" s="35"/>
      <c r="M36" s="36" t="s">
        <v>24</v>
      </c>
    </row>
    <row r="37" customFormat="false" ht="15.75" hidden="false" customHeight="true" outlineLevel="0" collapsed="false">
      <c r="J37" s="30"/>
      <c r="K37" s="37" t="n">
        <v>22.01</v>
      </c>
      <c r="L37" s="38"/>
      <c r="M37" s="32" t="s">
        <v>25</v>
      </c>
    </row>
    <row r="38" customFormat="false" ht="15.75" hidden="false" customHeight="true" outlineLevel="0" collapsed="false">
      <c r="J38" s="30"/>
      <c r="K38" s="39" t="n">
        <v>22.01</v>
      </c>
      <c r="L38" s="38"/>
      <c r="M38" s="36" t="s">
        <v>26</v>
      </c>
    </row>
    <row r="39" customFormat="false" ht="15.75" hidden="false" customHeight="true" outlineLevel="0" collapsed="false">
      <c r="J39" s="30"/>
      <c r="K39" s="40" t="n">
        <v>22.01</v>
      </c>
      <c r="L39" s="38"/>
      <c r="M39" s="36" t="s">
        <v>27</v>
      </c>
    </row>
    <row r="40" customFormat="false" ht="15.75" hidden="false" customHeight="true" outlineLevel="0" collapsed="false">
      <c r="J40" s="30"/>
      <c r="K40" s="41" t="n">
        <v>22.01</v>
      </c>
      <c r="L40" s="38"/>
      <c r="M40" s="36" t="s">
        <v>28</v>
      </c>
    </row>
    <row r="41" customFormat="false" ht="15.75" hidden="false" customHeight="true" outlineLevel="0" collapsed="false">
      <c r="J41" s="30"/>
      <c r="K41" s="42" t="n">
        <v>22.01</v>
      </c>
      <c r="L41" s="38"/>
      <c r="M41" s="36" t="s">
        <v>29</v>
      </c>
    </row>
    <row r="42" customFormat="false" ht="12.75" hidden="false" customHeight="true" outlineLevel="0" collapsed="false">
      <c r="J42" s="30"/>
      <c r="K42" s="30"/>
      <c r="L42" s="30"/>
      <c r="M42" s="33"/>
    </row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7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n">
        <v>2026</v>
      </c>
      <c r="B1" s="46" t="s">
        <v>30</v>
      </c>
      <c r="C1" s="47"/>
      <c r="D1" s="48"/>
      <c r="E1" s="48"/>
      <c r="F1" s="48"/>
      <c r="G1" s="48"/>
      <c r="H1" s="48"/>
      <c r="I1" s="49"/>
      <c r="J1" s="48"/>
      <c r="K1" s="48"/>
      <c r="L1" s="50"/>
    </row>
    <row r="2" customFormat="false" ht="16.5" hidden="false" customHeight="true" outlineLevel="0" collapsed="false">
      <c r="A2" s="51" t="str">
        <f aca="false">Contrôles!K$23</f>
        <v>✓</v>
      </c>
      <c r="B2" s="52"/>
      <c r="C2" s="5"/>
      <c r="D2" s="11"/>
      <c r="E2" s="11"/>
      <c r="F2" s="53"/>
      <c r="G2" s="53"/>
      <c r="H2" s="46" t="s">
        <v>31</v>
      </c>
      <c r="I2" s="54"/>
      <c r="J2" s="46" t="s">
        <v>32</v>
      </c>
      <c r="K2" s="54"/>
      <c r="L2" s="55" t="n">
        <f aca="false">L6</f>
        <v>0</v>
      </c>
    </row>
    <row r="3" customFormat="false" ht="33.75" hidden="false" customHeight="true" outlineLevel="0" collapsed="false">
      <c r="A3" s="56" t="s">
        <v>33</v>
      </c>
      <c r="B3" s="57" t="s">
        <v>34</v>
      </c>
      <c r="C3" s="57" t="s">
        <v>35</v>
      </c>
      <c r="D3" s="58" t="s">
        <v>36</v>
      </c>
      <c r="E3" s="59" t="s">
        <v>37</v>
      </c>
      <c r="F3" s="58" t="s">
        <v>38</v>
      </c>
      <c r="G3" s="58" t="s">
        <v>39</v>
      </c>
      <c r="H3" s="58" t="s">
        <v>40</v>
      </c>
      <c r="I3" s="60" t="s">
        <v>41</v>
      </c>
      <c r="J3" s="54" t="s">
        <v>40</v>
      </c>
      <c r="K3" s="61" t="s">
        <v>41</v>
      </c>
      <c r="L3" s="61" t="s">
        <v>42</v>
      </c>
    </row>
    <row r="4" customFormat="false" ht="14.25" hidden="false" customHeight="true" outlineLevel="0" collapsed="false">
      <c r="A4" s="62" t="s">
        <v>43</v>
      </c>
      <c r="B4" s="63"/>
      <c r="C4" s="64"/>
      <c r="D4" s="65"/>
      <c r="E4" s="65"/>
      <c r="F4" s="66"/>
      <c r="G4" s="65"/>
      <c r="H4" s="65"/>
      <c r="I4" s="65"/>
      <c r="J4" s="65"/>
      <c r="K4" s="65"/>
      <c r="L4" s="65"/>
    </row>
    <row r="5" customFormat="false" ht="16.5" hidden="false" customHeight="true" outlineLevel="0" collapsed="false">
      <c r="A5" s="62" t="s">
        <v>43</v>
      </c>
      <c r="B5" s="64"/>
      <c r="C5" s="64"/>
      <c r="D5" s="65"/>
      <c r="E5" s="65"/>
      <c r="F5" s="67"/>
      <c r="G5" s="67"/>
      <c r="H5" s="67"/>
      <c r="I5" s="67"/>
      <c r="J5" s="68"/>
      <c r="K5" s="69"/>
      <c r="L5" s="69"/>
    </row>
    <row r="6" customFormat="false" ht="17.25" hidden="false" customHeight="true" outlineLevel="0" collapsed="false">
      <c r="A6" s="70" t="s">
        <v>44</v>
      </c>
      <c r="B6" s="71"/>
      <c r="C6" s="72"/>
      <c r="D6" s="73"/>
      <c r="E6" s="73"/>
      <c r="F6" s="74"/>
      <c r="G6" s="74"/>
      <c r="H6" s="74"/>
      <c r="I6" s="75"/>
      <c r="J6" s="75"/>
      <c r="K6" s="75"/>
      <c r="L6" s="75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6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77" width="31.68"/>
    <col collapsed="false" customWidth="true" hidden="false" outlineLevel="0" max="6" min="6" style="77" width="13.37"/>
    <col collapsed="false" customWidth="true" hidden="false" outlineLevel="0" max="7" min="7" style="77" width="12.84"/>
    <col collapsed="false" customWidth="true" hidden="false" outlineLevel="0" max="8" min="8" style="77" width="11.12"/>
    <col collapsed="false" customWidth="true" hidden="false" outlineLevel="0" max="9" min="9" style="77" width="13.16"/>
    <col collapsed="false" customWidth="true" hidden="false" outlineLevel="0" max="10" min="10" style="77" width="37"/>
    <col collapsed="false" customWidth="false" hidden="false" outlineLevel="0" max="16366" min="29" style="77" width="10.83"/>
    <col collapsed="false" customWidth="true" hidden="false" outlineLevel="0" max="16384" min="16367" style="77" width="11.53"/>
  </cols>
  <sheetData>
    <row r="1" customFormat="false" ht="16.5" hidden="false" customHeight="true" outlineLevel="0" collapsed="false">
      <c r="A1" s="78" t="str">
        <f aca="false">Contrôles!K$23</f>
        <v>✓</v>
      </c>
      <c r="B1" s="79"/>
      <c r="C1" s="80" t="n">
        <f aca="false">C$2-365</f>
        <v>45763</v>
      </c>
      <c r="D1" s="80"/>
    </row>
    <row r="2" customFormat="false" ht="16.5" hidden="false" customHeight="true" outlineLevel="0" collapsed="false">
      <c r="A2" s="81"/>
      <c r="B2" s="13"/>
      <c r="C2" s="80" t="n">
        <f aca="true">TODAY()</f>
        <v>46128</v>
      </c>
      <c r="D2" s="80"/>
    </row>
    <row r="3" customFormat="false" ht="28.5" hidden="false" customHeight="true" outlineLevel="0" collapsed="false">
      <c r="A3" s="25" t="s">
        <v>45</v>
      </c>
      <c r="B3" s="25" t="s">
        <v>34</v>
      </c>
      <c r="C3" s="25" t="s">
        <v>46</v>
      </c>
      <c r="D3" s="25"/>
    </row>
    <row r="4" customFormat="false" ht="15" hidden="false" customHeight="true" outlineLevel="0" collapsed="false">
      <c r="A4" s="82" t="s">
        <v>43</v>
      </c>
      <c r="B4" s="19"/>
      <c r="C4" s="19"/>
      <c r="D4" s="19"/>
    </row>
    <row r="5" customFormat="false" ht="16.5" hidden="false" customHeight="true" outlineLevel="0" collapsed="false">
      <c r="A5" s="82" t="s">
        <v>47</v>
      </c>
      <c r="B5" s="83" t="s">
        <v>48</v>
      </c>
      <c r="C5" s="19" t="n">
        <f aca="false">SUMIF(J16:J22,A5,I16:I22)</f>
        <v>0</v>
      </c>
      <c r="D5" s="19"/>
    </row>
    <row r="6" customFormat="false" ht="16.5" hidden="false" customHeight="true" outlineLevel="0" collapsed="false">
      <c r="A6" s="82" t="s">
        <v>43</v>
      </c>
      <c r="B6" s="83"/>
      <c r="C6" s="19"/>
      <c r="D6" s="19"/>
    </row>
    <row r="7" customFormat="false" ht="17.25" hidden="false" customHeight="true" outlineLevel="0" collapsed="false">
      <c r="A7" s="84" t="s">
        <v>49</v>
      </c>
      <c r="B7" s="85"/>
      <c r="C7" s="86" t="n">
        <f aca="false">SUM(C5)</f>
        <v>0</v>
      </c>
      <c r="D7" s="87"/>
    </row>
    <row r="8" customFormat="false" ht="16.5" hidden="false" customHeight="true" outlineLevel="0" collapsed="false">
      <c r="A8" s="88" t="s">
        <v>50</v>
      </c>
      <c r="B8" s="89"/>
      <c r="C8" s="90" t="n">
        <f aca="false">SUMIF($B5,"Fixe",C5)</f>
        <v>0</v>
      </c>
      <c r="D8" s="91"/>
    </row>
    <row r="9" customFormat="false" ht="17.25" hidden="false" customHeight="true" outlineLevel="0" collapsed="false">
      <c r="A9" s="88" t="s">
        <v>51</v>
      </c>
      <c r="B9" s="89"/>
      <c r="C9" s="92" t="n">
        <f aca="false">C$8/12</f>
        <v>0</v>
      </c>
      <c r="D9" s="93"/>
    </row>
    <row r="10" customFormat="false" ht="16.5" hidden="false" customHeight="true" outlineLevel="0" collapsed="false">
      <c r="A10" s="94" t="s">
        <v>52</v>
      </c>
      <c r="B10" s="95"/>
      <c r="C10" s="96" t="n">
        <f aca="false">ROUND(C$7-I$27,2)</f>
        <v>0</v>
      </c>
      <c r="D10" s="97"/>
    </row>
    <row r="12" customFormat="false" ht="18.75" hidden="false" customHeight="true" outlineLevel="0" collapsed="false">
      <c r="E12" s="98" t="s">
        <v>53</v>
      </c>
      <c r="F12" s="98"/>
      <c r="G12" s="98"/>
      <c r="H12" s="98"/>
      <c r="I12" s="98"/>
      <c r="J12" s="98"/>
    </row>
    <row r="13" customFormat="false" ht="37.5" hidden="false" customHeight="true" outlineLevel="0" collapsed="false">
      <c r="E13" s="99" t="s">
        <v>54</v>
      </c>
      <c r="F13" s="61" t="s">
        <v>55</v>
      </c>
      <c r="G13" s="60" t="s">
        <v>56</v>
      </c>
      <c r="H13" s="61" t="s">
        <v>57</v>
      </c>
      <c r="I13" s="60" t="s">
        <v>58</v>
      </c>
      <c r="J13" s="60" t="s">
        <v>45</v>
      </c>
    </row>
    <row r="14" customFormat="false" ht="15" hidden="false" customHeight="true" outlineLevel="0" collapsed="false">
      <c r="E14" s="99" t="s">
        <v>59</v>
      </c>
      <c r="F14" s="100" t="n">
        <v>1</v>
      </c>
      <c r="G14" s="49"/>
      <c r="H14" s="101"/>
      <c r="I14" s="102"/>
      <c r="J14" s="102"/>
    </row>
    <row r="15" customFormat="false" ht="15" hidden="false" customHeight="true" outlineLevel="0" collapsed="false">
      <c r="E15" s="103" t="s">
        <v>43</v>
      </c>
      <c r="F15" s="104"/>
      <c r="G15" s="105"/>
      <c r="H15" s="106"/>
      <c r="I15" s="19"/>
      <c r="J15" s="107"/>
    </row>
    <row r="16" customFormat="false" ht="16.5" hidden="false" customHeight="true" outlineLevel="0" collapsed="false">
      <c r="E16" s="103" t="s">
        <v>60</v>
      </c>
      <c r="F16" s="104" t="n">
        <f aca="false">SUMIFS(OPmontant,OPdevise,F$13,OPcatégorie,$E16,OPdate,"&gt;"&amp;$C$2-365)</f>
        <v>0</v>
      </c>
      <c r="G16" s="108"/>
      <c r="H16" s="106"/>
      <c r="I16" s="19"/>
      <c r="J16" s="107"/>
    </row>
    <row r="17" customFormat="false" ht="16.5" hidden="false" customHeight="true" outlineLevel="0" collapsed="false">
      <c r="E17" s="109" t="s">
        <v>61</v>
      </c>
      <c r="F17" s="104" t="n">
        <f aca="false">SUMIFS(OPmontant,OPdevise,F$13,OPcatégorie,$E17,OPdate,"&gt;"&amp;$C$2-365)</f>
        <v>0</v>
      </c>
      <c r="G17" s="110"/>
      <c r="H17" s="106"/>
      <c r="I17" s="19"/>
      <c r="J17" s="107"/>
    </row>
    <row r="18" customFormat="false" ht="16.5" hidden="false" customHeight="true" outlineLevel="0" collapsed="false">
      <c r="E18" s="109" t="s">
        <v>62</v>
      </c>
      <c r="F18" s="104" t="n">
        <f aca="false">SUMIFS(OPmontant,OPdevise,F$13,OPcatégorie,$E18,OPdate,"&gt;"&amp;$C$2-365)</f>
        <v>0</v>
      </c>
      <c r="G18" s="111"/>
      <c r="H18" s="112"/>
      <c r="I18" s="19"/>
      <c r="J18" s="63"/>
    </row>
    <row r="19" customFormat="false" ht="16.5" hidden="false" customHeight="true" outlineLevel="0" collapsed="false">
      <c r="E19" s="109" t="s">
        <v>63</v>
      </c>
      <c r="F19" s="104" t="n">
        <f aca="false">SUMIFS(OPmontant,OPdevise,F$13,OPcatégorie,$E19,OPdate,"&gt;"&amp;$C$2-365)</f>
        <v>0</v>
      </c>
      <c r="G19" s="111"/>
      <c r="H19" s="112"/>
      <c r="I19" s="19"/>
      <c r="J19" s="63"/>
    </row>
    <row r="20" customFormat="false" ht="16.5" hidden="false" customHeight="true" outlineLevel="0" collapsed="false">
      <c r="E20" s="109" t="s">
        <v>64</v>
      </c>
      <c r="F20" s="104" t="n">
        <f aca="false">SUMIFS(OPmontant,OPdevise,F$13,OPcatégorie,$E20,OPdate,"&gt;"&amp;$C$2-365)</f>
        <v>0</v>
      </c>
      <c r="G20" s="111"/>
      <c r="H20" s="112"/>
      <c r="I20" s="19"/>
      <c r="J20" s="63"/>
    </row>
    <row r="21" customFormat="false" ht="16.5" hidden="false" customHeight="true" outlineLevel="0" collapsed="false">
      <c r="E21" s="103" t="s">
        <v>65</v>
      </c>
      <c r="F21" s="104" t="n">
        <f aca="false">SUMIFS(OPmontant,OPdevise,F$13,OPcatégorie,$E21,OPdate,"&gt;"&amp;$C$2-365)</f>
        <v>0</v>
      </c>
      <c r="G21" s="108"/>
      <c r="H21" s="106"/>
      <c r="I21" s="19"/>
      <c r="J21" s="107"/>
    </row>
    <row r="22" customFormat="false" ht="16.5" hidden="false" customHeight="true" outlineLevel="0" collapsed="false">
      <c r="E22" s="109" t="s">
        <v>11</v>
      </c>
      <c r="F22" s="104" t="n">
        <f aca="false">SUMIFS(OPmontant,OPdevise,F$13,OPcatégorie,$E22,OPdate,"&gt;"&amp;$C$2-365)</f>
        <v>0</v>
      </c>
      <c r="G22" s="113" t="n">
        <f aca="false">SUMPRODUCT(F22,F$14)</f>
        <v>0</v>
      </c>
      <c r="H22" s="114" t="n">
        <v>1</v>
      </c>
      <c r="I22" s="19" t="n">
        <f aca="false">G22*H22</f>
        <v>0</v>
      </c>
      <c r="J22" s="63" t="s">
        <v>47</v>
      </c>
    </row>
    <row r="23" customFormat="false" ht="17.25" hidden="false" customHeight="true" outlineLevel="0" collapsed="false">
      <c r="E23" s="115" t="s">
        <v>43</v>
      </c>
      <c r="F23" s="116"/>
      <c r="G23" s="117"/>
      <c r="H23" s="116"/>
      <c r="I23" s="116"/>
      <c r="J23" s="118"/>
    </row>
    <row r="24" customFormat="false" ht="19.5" hidden="false" customHeight="true" outlineLevel="0" collapsed="false">
      <c r="E24" s="84" t="s">
        <v>44</v>
      </c>
      <c r="F24" s="119" t="n">
        <f aca="false">SUM(F16:F22)</f>
        <v>0</v>
      </c>
      <c r="G24" s="120" t="n">
        <f aca="false">SUM(G17:G23)</f>
        <v>0</v>
      </c>
      <c r="H24" s="121"/>
      <c r="I24" s="122"/>
      <c r="J24" s="123"/>
    </row>
    <row r="25" customFormat="false" ht="18" hidden="false" customHeight="true" outlineLevel="0" collapsed="false">
      <c r="E25" s="124" t="s">
        <v>66</v>
      </c>
      <c r="F25" s="125" t="n">
        <f aca="false">SUMIFS(OPmontant,OPdevise,F$13,OPdate,"&gt;"&amp;$C$2-365,OPcatégorie,"&lt;&gt;"&amp;Spéciale)</f>
        <v>0</v>
      </c>
      <c r="G25" s="126"/>
      <c r="H25" s="127"/>
      <c r="I25" s="128"/>
      <c r="J25" s="93"/>
    </row>
    <row r="26" customFormat="false" ht="16.5" hidden="false" customHeight="true" outlineLevel="0" collapsed="false">
      <c r="E26" s="129" t="s">
        <v>67</v>
      </c>
      <c r="F26" s="96" t="n">
        <f aca="false">ROUND(F$24-F$25,2)</f>
        <v>0</v>
      </c>
      <c r="G26" s="130"/>
      <c r="H26" s="127"/>
      <c r="I26" s="92"/>
      <c r="J26" s="93"/>
    </row>
    <row r="27" customFormat="false" ht="21.75" hidden="false" customHeight="true" outlineLevel="0" collapsed="false">
      <c r="E27" s="88" t="s">
        <v>68</v>
      </c>
      <c r="F27" s="90" t="n">
        <f aca="false">SUM(F22)</f>
        <v>0</v>
      </c>
      <c r="G27" s="131" t="n">
        <f aca="false">SUM(G22)</f>
        <v>0</v>
      </c>
      <c r="H27" s="132"/>
      <c r="I27" s="133" t="n">
        <f aca="false">SUM(I22)</f>
        <v>0</v>
      </c>
      <c r="J27" s="134"/>
    </row>
    <row r="28" customFormat="false" ht="16.5" hidden="false" customHeight="true" outlineLevel="0" collapsed="false">
      <c r="E28" s="94" t="s">
        <v>69</v>
      </c>
      <c r="F28" s="125" t="n">
        <f aca="false">F$27</f>
        <v>0</v>
      </c>
      <c r="G28" s="133" t="n">
        <f aca="false">SUM(F$28)</f>
        <v>0</v>
      </c>
      <c r="H28" s="135"/>
      <c r="I28" s="136"/>
      <c r="J28" s="97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7" width="25.15"/>
    <col collapsed="false" customWidth="true" hidden="false" outlineLevel="0" max="2" min="2" style="77" width="27.01"/>
    <col collapsed="false" customWidth="true" hidden="false" outlineLevel="0" max="3" min="3" style="77" width="28.57"/>
    <col collapsed="false" customWidth="true" hidden="false" outlineLevel="0" max="4" min="4" style="77" width="15.09"/>
    <col collapsed="false" customWidth="true" hidden="false" outlineLevel="0" max="5" min="5" style="137" width="14.21"/>
    <col collapsed="false" customWidth="true" hidden="false" outlineLevel="0" max="6" min="6" style="77" width="13.67"/>
    <col collapsed="false" customWidth="true" hidden="false" outlineLevel="0" max="7" min="7" style="137" width="9.16"/>
    <col collapsed="false" customWidth="true" hidden="false" outlineLevel="0" max="10" min="8" style="77" width="15.66"/>
    <col collapsed="false" customWidth="true" hidden="false" outlineLevel="0" max="12" min="11" style="137" width="13.67"/>
    <col collapsed="false" customWidth="false" hidden="false" outlineLevel="0" max="16379" min="13" style="77" width="13.16"/>
    <col collapsed="false" customWidth="true" hidden="false" outlineLevel="0" max="16384" min="16380" style="77" width="11.53"/>
  </cols>
  <sheetData>
    <row r="1" customFormat="false" ht="16.5" hidden="false" customHeight="true" outlineLevel="0" collapsed="false">
      <c r="A1" s="138" t="str">
        <f aca="false">Contrôles!$K23</f>
        <v>✓</v>
      </c>
      <c r="B1" s="57" t="s">
        <v>70</v>
      </c>
      <c r="C1" s="13"/>
      <c r="D1" s="139"/>
      <c r="E1" s="13"/>
      <c r="F1" s="139"/>
      <c r="G1" s="13"/>
      <c r="H1" s="13"/>
      <c r="I1" s="13"/>
      <c r="J1" s="139"/>
      <c r="K1" s="139"/>
    </row>
    <row r="2" customFormat="false" ht="16.5" hidden="false" customHeight="true" outlineLevel="0" collapsed="false">
      <c r="A2" s="57"/>
      <c r="B2" s="57" t="s">
        <v>71</v>
      </c>
      <c r="C2" s="57"/>
      <c r="D2" s="139"/>
      <c r="E2" s="13"/>
      <c r="F2" s="139"/>
      <c r="G2" s="13"/>
      <c r="H2" s="13"/>
      <c r="I2" s="13"/>
      <c r="J2" s="57"/>
      <c r="K2" s="13"/>
    </row>
    <row r="3" customFormat="false" ht="16.5" hidden="false" customHeight="true" outlineLevel="0" collapsed="false">
      <c r="A3" s="57"/>
      <c r="B3" s="57"/>
      <c r="C3" s="57"/>
      <c r="D3" s="139"/>
      <c r="E3" s="12" t="n">
        <f aca="false">E15</f>
        <v>0</v>
      </c>
      <c r="F3" s="139"/>
      <c r="G3" s="140" t="n">
        <f aca="false">G15</f>
        <v>0</v>
      </c>
      <c r="H3" s="57"/>
      <c r="I3" s="13"/>
      <c r="J3" s="57"/>
      <c r="K3" s="13"/>
    </row>
    <row r="4" customFormat="false" ht="24.75" hidden="false" customHeight="true" outlineLevel="0" collapsed="false">
      <c r="A4" s="141" t="s">
        <v>72</v>
      </c>
      <c r="B4" s="25" t="s">
        <v>73</v>
      </c>
      <c r="C4" s="25" t="s">
        <v>74</v>
      </c>
      <c r="D4" s="25" t="s">
        <v>37</v>
      </c>
      <c r="E4" s="142" t="s">
        <v>75</v>
      </c>
      <c r="F4" s="25" t="s">
        <v>76</v>
      </c>
      <c r="G4" s="59" t="s">
        <v>77</v>
      </c>
      <c r="H4" s="25" t="s">
        <v>78</v>
      </c>
      <c r="I4" s="143" t="s">
        <v>79</v>
      </c>
      <c r="J4" s="59" t="s">
        <v>80</v>
      </c>
      <c r="K4" s="143" t="s">
        <v>81</v>
      </c>
    </row>
    <row r="5" customFormat="false" ht="16.5" hidden="false" customHeight="true" outlineLevel="0" collapsed="false">
      <c r="A5" s="82" t="s">
        <v>43</v>
      </c>
      <c r="B5" s="82"/>
      <c r="C5" s="82"/>
      <c r="D5" s="82"/>
      <c r="E5" s="82"/>
      <c r="F5" s="82"/>
      <c r="G5" s="82"/>
      <c r="H5" s="82"/>
      <c r="I5" s="82"/>
      <c r="J5" s="82"/>
      <c r="K5" s="82"/>
    </row>
    <row r="6" customFormat="false" ht="16.5" hidden="false" customHeight="true" outlineLevel="0" collapsed="false">
      <c r="A6" s="144" t="s">
        <v>82</v>
      </c>
      <c r="B6" s="82"/>
      <c r="C6" s="82"/>
      <c r="D6" s="82"/>
      <c r="E6" s="82"/>
      <c r="F6" s="82"/>
      <c r="G6" s="82"/>
      <c r="H6" s="82"/>
      <c r="I6" s="82"/>
      <c r="J6" s="82"/>
      <c r="K6" s="82"/>
    </row>
    <row r="7" customFormat="false" ht="16.5" hidden="false" customHeight="true" outlineLevel="0" collapsed="false">
      <c r="A7" s="82"/>
      <c r="B7" s="82"/>
      <c r="C7" s="82"/>
      <c r="D7" s="82"/>
      <c r="E7" s="82"/>
      <c r="F7" s="82"/>
      <c r="G7" s="82"/>
      <c r="H7" s="82"/>
      <c r="I7" s="82"/>
      <c r="J7" s="82"/>
      <c r="K7" s="82"/>
    </row>
    <row r="8" customFormat="false" ht="16.5" hidden="false" customHeight="true" outlineLevel="0" collapsed="false">
      <c r="A8" s="144" t="s">
        <v>83</v>
      </c>
      <c r="B8" s="82"/>
      <c r="C8" s="82"/>
      <c r="D8" s="82"/>
      <c r="E8" s="82"/>
      <c r="F8" s="82"/>
      <c r="G8" s="82"/>
      <c r="H8" s="82"/>
      <c r="I8" s="82"/>
      <c r="J8" s="82"/>
      <c r="K8" s="82"/>
    </row>
    <row r="9" customFormat="false" ht="16.5" hidden="false" customHeight="true" outlineLevel="0" collapsed="false">
      <c r="A9" s="82"/>
      <c r="B9" s="82"/>
      <c r="C9" s="82"/>
      <c r="D9" s="82"/>
      <c r="E9" s="82"/>
      <c r="F9" s="82"/>
      <c r="G9" s="82"/>
      <c r="H9" s="82"/>
      <c r="I9" s="82"/>
      <c r="J9" s="82"/>
      <c r="K9" s="82"/>
    </row>
    <row r="10" customFormat="false" ht="16.5" hidden="false" customHeight="true" outlineLevel="0" collapsed="false">
      <c r="A10" s="144" t="s">
        <v>84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</row>
    <row r="11" customFormat="false" ht="16.5" hidden="false" customHeight="true" outlineLevel="0" collapsed="false">
      <c r="A11" s="82"/>
      <c r="B11" s="82"/>
      <c r="C11" s="82"/>
      <c r="D11" s="82"/>
      <c r="E11" s="82"/>
      <c r="F11" s="82"/>
      <c r="G11" s="82"/>
      <c r="H11" s="82"/>
      <c r="I11" s="82"/>
      <c r="J11" s="82"/>
      <c r="K11" s="82"/>
    </row>
    <row r="12" customFormat="false" ht="16.5" hidden="false" customHeight="true" outlineLevel="0" collapsed="false">
      <c r="A12" s="144" t="s">
        <v>85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customFormat="false" ht="16.5" hidden="false" customHeight="true" outlineLevel="0" collapsed="false">
      <c r="A13" s="82"/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customFormat="false" ht="16.5" hidden="false" customHeight="true" outlineLevel="0" collapsed="false">
      <c r="A14" s="145" t="s">
        <v>43</v>
      </c>
      <c r="B14" s="145"/>
      <c r="C14" s="146"/>
      <c r="D14" s="147"/>
      <c r="E14" s="146"/>
      <c r="F14" s="148"/>
      <c r="G14" s="149"/>
      <c r="H14" s="146"/>
      <c r="I14" s="146"/>
      <c r="J14" s="146"/>
      <c r="K14" s="146"/>
    </row>
    <row r="15" customFormat="false" ht="16.5" hidden="false" customHeight="true" outlineLevel="0" collapsed="false">
      <c r="A15" s="82" t="s">
        <v>86</v>
      </c>
      <c r="B15" s="82"/>
      <c r="C15" s="82"/>
      <c r="D15" s="17" t="s">
        <v>55</v>
      </c>
      <c r="E15" s="150" t="n">
        <f aca="false">SUM(E16:E19)</f>
        <v>0</v>
      </c>
      <c r="F15" s="151" t="e">
        <f aca="false">E15/(I15+K15)</f>
        <v>#DIV/0!</v>
      </c>
      <c r="G15" s="152" t="n">
        <f aca="false">MIN(G16:G19)</f>
        <v>0</v>
      </c>
      <c r="H15" s="153" t="n">
        <f aca="false">SUM(H16:H19)</f>
        <v>0</v>
      </c>
      <c r="I15" s="153" t="n">
        <f aca="false">SUM(I16:I19)</f>
        <v>0</v>
      </c>
      <c r="J15" s="82"/>
      <c r="K15" s="153" t="n">
        <f aca="false">SUM(K16:K19)</f>
        <v>0</v>
      </c>
    </row>
    <row r="16" customFormat="false" ht="16.5" hidden="false" customHeight="true" outlineLevel="0" collapsed="false">
      <c r="A16" s="82" t="s">
        <v>87</v>
      </c>
      <c r="B16" s="82"/>
      <c r="C16" s="82"/>
      <c r="D16" s="17" t="s">
        <v>55</v>
      </c>
      <c r="E16" s="153" t="n">
        <f aca="false">K16-(H16+I16)</f>
        <v>0</v>
      </c>
      <c r="F16" s="154" t="e">
        <f aca="false">E16/(I16+K16)</f>
        <v>#DIV/0!</v>
      </c>
      <c r="G16" s="155" t="n">
        <f aca="false">MIN(_xlfn.MINIFS(G:G,A:A,"portefeuilles",C:C,"Retenu",G:G,"&gt;0"))</f>
        <v>0</v>
      </c>
      <c r="H16" s="153" t="n">
        <f aca="false">SUMPRODUCT((PVLsection="portefeuilles")*(PVLtitre="Retenu")*PVLmontant_init*IFERROR(INDEX(COTcours,MATCH(PVLdevise,COTcode,0)),1))</f>
        <v>0</v>
      </c>
      <c r="I16" s="153" t="n">
        <f aca="false">SUMPRODUCT((PVLsection="portefeuilles")*(PVLtitre="Retenu")*PVLsigma*IFERROR(INDEX(COTcours,MATCH(PVLdevise,COTcode,0)),1))</f>
        <v>0</v>
      </c>
      <c r="J16" s="155" t="n">
        <f aca="false">_xlfn.MAXIFS(J:J,A:A,"portefeuilles",C:C,"Retenu")</f>
        <v>0</v>
      </c>
      <c r="K16" s="153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82" t="s">
        <v>88</v>
      </c>
      <c r="B17" s="82"/>
      <c r="C17" s="82"/>
      <c r="D17" s="17" t="s">
        <v>55</v>
      </c>
      <c r="E17" s="153" t="n">
        <f aca="false">K17-(H17+I17)</f>
        <v>0</v>
      </c>
      <c r="F17" s="154" t="e">
        <f aca="false">E17/(I17+K17)</f>
        <v>#DIV/0!</v>
      </c>
      <c r="G17" s="155" t="n">
        <f aca="false">MIN(_xlfn.MINIFS(G:G,A:A,"métaux",G:G,"&gt;0"))</f>
        <v>0</v>
      </c>
      <c r="H17" s="153" t="n">
        <f aca="false">SUMIFS(H:H,A:A,"métaux")</f>
        <v>0</v>
      </c>
      <c r="I17" s="153" t="n">
        <f aca="false">SUMIFS(I:I,A:A,"métaux")</f>
        <v>0</v>
      </c>
      <c r="J17" s="155" t="n">
        <f aca="false">_xlfn.MAXIFS(J:J,A:A,"métaux")</f>
        <v>0</v>
      </c>
      <c r="K17" s="153" t="n">
        <f aca="false">SUMIFS(K:K,A:A,"métaux")</f>
        <v>0</v>
      </c>
    </row>
    <row r="18" customFormat="false" ht="16.5" hidden="false" customHeight="true" outlineLevel="0" collapsed="false">
      <c r="A18" s="82" t="s">
        <v>89</v>
      </c>
      <c r="B18" s="82"/>
      <c r="C18" s="82"/>
      <c r="D18" s="17" t="s">
        <v>55</v>
      </c>
      <c r="E18" s="153" t="n">
        <f aca="false">K18-(H18+I18)</f>
        <v>0</v>
      </c>
      <c r="F18" s="154" t="e">
        <f aca="false">E18/(I18+K18)</f>
        <v>#DIV/0!</v>
      </c>
      <c r="G18" s="155" t="n">
        <f aca="false">MIN(_xlfn.MINIFS(G:G,A:A,"crypto",G:G,"&gt;0"))</f>
        <v>0</v>
      </c>
      <c r="H18" s="153" t="n">
        <f aca="false">SUMIFS(H:H,A:A,"crypto")</f>
        <v>0</v>
      </c>
      <c r="I18" s="153" t="n">
        <f aca="false">SUMIFS(I:I,A:A,"crypto")</f>
        <v>0</v>
      </c>
      <c r="J18" s="155" t="n">
        <f aca="false">_xlfn.MAXIFS(J:J,A:A,"crypto")</f>
        <v>0</v>
      </c>
      <c r="K18" s="153" t="n">
        <f aca="false">SUMIFS(K:K,A:A,"crypto")</f>
        <v>0</v>
      </c>
    </row>
    <row r="19" customFormat="false" ht="16.5" hidden="false" customHeight="true" outlineLevel="0" collapsed="false">
      <c r="A19" s="82" t="s">
        <v>90</v>
      </c>
      <c r="B19" s="82"/>
      <c r="C19" s="82"/>
      <c r="D19" s="17" t="s">
        <v>55</v>
      </c>
      <c r="E19" s="153" t="n">
        <f aca="false">K19-(H19+I19)</f>
        <v>0</v>
      </c>
      <c r="F19" s="156" t="e">
        <f aca="false">E19/(I19+K19)</f>
        <v>#DIV/0!</v>
      </c>
      <c r="G19" s="155" t="n">
        <f aca="false">MIN(_xlfn.MINIFS(G:G,A:A,"devises",G:G,"&gt;0"))</f>
        <v>0</v>
      </c>
      <c r="H19" s="153" t="n">
        <f aca="false">SUMIFS(H:H,A:A,"devises")</f>
        <v>0</v>
      </c>
      <c r="I19" s="153" t="n">
        <f aca="false">SUMIFS(I:I,A:A,"devises")</f>
        <v>0</v>
      </c>
      <c r="J19" s="155" t="n">
        <f aca="false">_xlfn.MAXIFS(J:J,A:A,"devises")</f>
        <v>0</v>
      </c>
      <c r="K19" s="153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7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32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58" t="s">
        <v>91</v>
      </c>
      <c r="B1" s="5"/>
      <c r="C1" s="5"/>
      <c r="D1" s="5"/>
      <c r="E1" s="159"/>
      <c r="F1" s="11" t="s">
        <v>92</v>
      </c>
      <c r="G1" s="5"/>
      <c r="H1" s="5"/>
      <c r="I1" s="5"/>
    </row>
    <row r="2" customFormat="false" ht="16.5" hidden="false" customHeight="true" outlineLevel="0" collapsed="false">
      <c r="A2" s="160" t="n">
        <f aca="true">TODAY()</f>
        <v>46128</v>
      </c>
      <c r="B2" s="161" t="str">
        <f aca="false">Contrôles!K$23</f>
        <v>✓</v>
      </c>
      <c r="C2" s="162"/>
      <c r="D2" s="5"/>
      <c r="E2" s="159"/>
      <c r="F2" s="163" t="n">
        <v>0</v>
      </c>
      <c r="G2" s="11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64" t="s">
        <v>40</v>
      </c>
      <c r="B3" s="165" t="s">
        <v>93</v>
      </c>
      <c r="C3" s="58" t="s">
        <v>41</v>
      </c>
      <c r="D3" s="58" t="s">
        <v>37</v>
      </c>
      <c r="E3" s="58" t="s">
        <v>94</v>
      </c>
      <c r="F3" s="59" t="s">
        <v>95</v>
      </c>
      <c r="G3" s="58" t="s">
        <v>96</v>
      </c>
      <c r="H3" s="58" t="s">
        <v>73</v>
      </c>
      <c r="I3" s="57" t="s">
        <v>97</v>
      </c>
    </row>
    <row r="4" customFormat="false" ht="14.25" hidden="false" customHeight="true" outlineLevel="0" collapsed="false">
      <c r="A4" s="166" t="s">
        <v>43</v>
      </c>
      <c r="B4" s="167"/>
      <c r="C4" s="168"/>
      <c r="D4" s="169"/>
      <c r="E4" s="168"/>
      <c r="F4" s="170"/>
      <c r="G4" s="171"/>
      <c r="H4" s="171"/>
      <c r="I4" s="167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1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77" width="41.42"/>
    <col collapsed="false" customWidth="true" hidden="false" outlineLevel="0" max="11" min="11" style="77" width="14.98"/>
    <col collapsed="false" customWidth="true" hidden="false" outlineLevel="0" max="12" min="12" style="77" width="11"/>
    <col collapsed="false" customWidth="true" hidden="false" outlineLevel="0" max="13" min="13" style="77" width="15.51"/>
    <col collapsed="false" customWidth="false" hidden="false" outlineLevel="0" max="16368" min="16" style="77" width="19.16"/>
    <col collapsed="false" customWidth="true" hidden="false" outlineLevel="0" max="16371" min="16369" style="1" width="11.53"/>
    <col collapsed="false" customWidth="true" hidden="false" outlineLevel="0" max="16382" min="16372" style="0" width="11.53"/>
    <col collapsed="false" customWidth="true" hidden="false" outlineLevel="0" max="16384" min="16383" style="77" width="11.53"/>
  </cols>
  <sheetData>
    <row r="1" customFormat="false" ht="16.5" hidden="false" customHeight="true" outlineLevel="0" collapsed="false">
      <c r="A1" s="172" t="str">
        <f aca="false">$K$23</f>
        <v>✓</v>
      </c>
      <c r="B1" s="11"/>
      <c r="C1" s="11"/>
      <c r="D1" s="11"/>
      <c r="E1" s="11"/>
      <c r="F1" s="173"/>
      <c r="G1" s="13"/>
      <c r="H1" s="49"/>
      <c r="I1" s="99"/>
    </row>
    <row r="2" customFormat="false" ht="28.5" hidden="false" customHeight="true" outlineLevel="0" collapsed="false">
      <c r="A2" s="61" t="s">
        <v>98</v>
      </c>
      <c r="B2" s="99" t="s">
        <v>37</v>
      </c>
      <c r="C2" s="99" t="s">
        <v>99</v>
      </c>
      <c r="D2" s="99" t="s">
        <v>100</v>
      </c>
      <c r="E2" s="99" t="s">
        <v>101</v>
      </c>
      <c r="F2" s="25" t="s">
        <v>102</v>
      </c>
      <c r="G2" s="25" t="s">
        <v>103</v>
      </c>
      <c r="H2" s="61" t="s">
        <v>67</v>
      </c>
      <c r="I2" s="61" t="s">
        <v>104</v>
      </c>
    </row>
    <row r="3" customFormat="false" ht="15" hidden="false" customHeight="true" outlineLevel="0" collapsed="false">
      <c r="A3" s="62" t="s">
        <v>43</v>
      </c>
      <c r="B3" s="174"/>
      <c r="C3" s="175"/>
      <c r="D3" s="175"/>
      <c r="E3" s="19"/>
      <c r="F3" s="19"/>
      <c r="G3" s="19"/>
      <c r="H3" s="19"/>
      <c r="I3" s="19"/>
    </row>
    <row r="4" customFormat="false" ht="16.5" hidden="false" customHeight="true" outlineLevel="0" collapsed="false">
      <c r="A4" s="176" t="s">
        <v>43</v>
      </c>
      <c r="B4" s="177"/>
      <c r="C4" s="177"/>
      <c r="D4" s="177"/>
      <c r="E4" s="177"/>
      <c r="F4" s="178"/>
      <c r="G4" s="179"/>
      <c r="H4" s="179"/>
      <c r="I4" s="177"/>
    </row>
    <row r="5" customFormat="false" ht="17.25" hidden="false" customHeight="true" outlineLevel="0" collapsed="false">
      <c r="A5" s="70"/>
      <c r="B5" s="74"/>
      <c r="C5" s="74"/>
      <c r="D5" s="74"/>
      <c r="E5" s="74"/>
      <c r="F5" s="180"/>
      <c r="G5" s="71"/>
      <c r="H5" s="71"/>
      <c r="I5" s="71"/>
    </row>
    <row r="7" customFormat="false" ht="18.75" hidden="false" customHeight="true" outlineLevel="0" collapsed="false">
      <c r="J7" s="98" t="s">
        <v>105</v>
      </c>
      <c r="K7" s="98"/>
      <c r="L7" s="98"/>
      <c r="M7" s="98"/>
    </row>
    <row r="8" customFormat="false" ht="19.5" hidden="false" customHeight="true" outlineLevel="0" collapsed="false">
      <c r="J8" s="25" t="s">
        <v>106</v>
      </c>
      <c r="K8" s="25" t="s">
        <v>107</v>
      </c>
      <c r="L8" s="25" t="s">
        <v>108</v>
      </c>
      <c r="M8" s="25" t="s">
        <v>55</v>
      </c>
    </row>
    <row r="9" customFormat="false" ht="16.5" hidden="false" customHeight="true" outlineLevel="0" collapsed="false">
      <c r="J9" s="25"/>
      <c r="K9" s="25"/>
      <c r="L9" s="173"/>
      <c r="M9" s="173"/>
    </row>
    <row r="10" customFormat="false" ht="16.5" hidden="false" customHeight="true" outlineLevel="0" collapsed="false">
      <c r="J10" s="82" t="s">
        <v>109</v>
      </c>
      <c r="K10" s="181" t="str">
        <f aca="false">IF(SUM($L10:$M10)=0,"✓","✗")</f>
        <v>✓</v>
      </c>
      <c r="L10" s="182" t="n">
        <v>0</v>
      </c>
      <c r="M10" s="182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82" t="s">
        <v>110</v>
      </c>
      <c r="K11" s="183" t="str">
        <f aca="false">IF(L11=0,"✓","⚠")</f>
        <v>✓</v>
      </c>
      <c r="L11" s="107" t="n">
        <f aca="false">SUM(M11)</f>
        <v>0</v>
      </c>
      <c r="M11" s="107" t="n">
        <f aca="false">Budget!F$26</f>
        <v>0</v>
      </c>
    </row>
    <row r="12" customFormat="false" ht="16.5" hidden="false" customHeight="true" outlineLevel="0" collapsed="false">
      <c r="J12" s="82" t="s">
        <v>40</v>
      </c>
      <c r="K12" s="183" t="str">
        <f aca="false">IF(L12=0,"✓","⚠")</f>
        <v>✓</v>
      </c>
      <c r="L12" s="182" t="n">
        <f aca="false">COUNTIF(OPdate,"&lt;"&amp;DATE(2020,1,1))+COUNTIF(OPdate,"&gt;"&amp;DATE(année_courante,12,31))</f>
        <v>0</v>
      </c>
      <c r="M12" s="107"/>
    </row>
    <row r="13" customFormat="false" ht="16.5" hidden="false" customHeight="true" outlineLevel="0" collapsed="false">
      <c r="J13" s="82" t="s">
        <v>111</v>
      </c>
      <c r="K13" s="183" t="str">
        <f aca="false">IF(L13=0,"✓","⚠")</f>
        <v>✓</v>
      </c>
      <c r="L13" s="182" t="n">
        <f aca="false">COUNTIFS(OPréf,"-")</f>
        <v>0</v>
      </c>
      <c r="M13" s="182" t="n">
        <f aca="false">COUNTIFS(OPréf,"-",OPdevise,M$8)</f>
        <v>0</v>
      </c>
    </row>
    <row r="14" customFormat="false" ht="16.5" hidden="false" customHeight="true" outlineLevel="0" collapsed="false">
      <c r="J14" s="176" t="s">
        <v>112</v>
      </c>
      <c r="K14" s="183" t="str">
        <f aca="false">IF(L14=0,"✓","⚠")</f>
        <v>✓</v>
      </c>
      <c r="L14" s="182" t="n">
        <f aca="false">3-COUNTIFS(L15:L19,0)</f>
        <v>0</v>
      </c>
      <c r="M14" s="182" t="n">
        <f aca="false">COUNTA($J15:$J17)-COUNTIFS(M15:M17,0)</f>
        <v>0</v>
      </c>
    </row>
    <row r="15" customFormat="false" ht="16.5" hidden="false" customHeight="true" outlineLevel="0" collapsed="false">
      <c r="J15" s="184" t="s">
        <v>113</v>
      </c>
      <c r="K15" s="17"/>
      <c r="L15" s="107"/>
      <c r="M15" s="107" t="n">
        <f aca="false">ROUND(SUMIFS(OPmontant,OPdevise,M$8,OPcatégorie,"Virement*"),0)</f>
        <v>0</v>
      </c>
    </row>
    <row r="16" customFormat="false" ht="16.5" hidden="false" customHeight="true" outlineLevel="0" collapsed="false">
      <c r="J16" s="185" t="s">
        <v>114</v>
      </c>
      <c r="K16" s="17"/>
      <c r="L16" s="107" t="n">
        <f aca="false">SUM(M16)</f>
        <v>0</v>
      </c>
      <c r="M16" s="107" t="n">
        <f aca="false">ROUND(SUMIFS(OPmontant,OPdevise,M$8,OPcatégorie,"Virement*"),0)</f>
        <v>0</v>
      </c>
    </row>
    <row r="17" customFormat="false" ht="16.5" hidden="false" customHeight="true" outlineLevel="0" collapsed="false">
      <c r="J17" s="184" t="s">
        <v>14</v>
      </c>
      <c r="K17" s="17"/>
      <c r="L17" s="107"/>
      <c r="M17" s="107" t="n">
        <f aca="false">ROUND(SUMIFS(OPmontant,OPdevise,M$8,OPcatégorie,"*titres"),0)</f>
        <v>0</v>
      </c>
    </row>
    <row r="18" customFormat="false" ht="16.5" hidden="false" customHeight="true" outlineLevel="0" collapsed="false">
      <c r="J18" s="185" t="s">
        <v>114</v>
      </c>
      <c r="K18" s="17"/>
      <c r="L18" s="107" t="n">
        <f aca="false">SUM(M18)</f>
        <v>0</v>
      </c>
      <c r="M18" s="107" t="n">
        <f aca="false">ROUND(SUMIFS(OPmontant,OPdevise,M$8,OPcatégorie,"*titres"),0)</f>
        <v>0</v>
      </c>
    </row>
    <row r="19" customFormat="false" ht="16.5" hidden="false" customHeight="true" outlineLevel="0" collapsed="false">
      <c r="J19" s="184" t="s">
        <v>115</v>
      </c>
      <c r="K19" s="17"/>
      <c r="L19" s="107" t="n">
        <f aca="false">SUMIFS(OPequiv_euro,OPcatégorie,"Change") + SUMIFS(OPequiv_euro,OPcatégorie,"Achat métaux")</f>
        <v>0</v>
      </c>
      <c r="M19" s="107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86" t="s">
        <v>116</v>
      </c>
      <c r="K20" s="17"/>
      <c r="L20" s="187" t="n">
        <f aca="false">L16+L18+L19</f>
        <v>0</v>
      </c>
      <c r="M20" s="107" t="n">
        <f aca="false">M16+M18+M19</f>
        <v>0</v>
      </c>
    </row>
    <row r="21" customFormat="false" ht="16.5" hidden="false" customHeight="true" outlineLevel="0" collapsed="false">
      <c r="J21" s="176"/>
      <c r="K21" s="183" t="str">
        <f aca="false">IF(L21=0,"✓","✗")</f>
        <v>✓</v>
      </c>
      <c r="L21" s="107"/>
      <c r="M21" s="107"/>
    </row>
    <row r="22" customFormat="false" ht="16.5" hidden="false" customHeight="true" outlineLevel="0" collapsed="false">
      <c r="J22" s="176" t="s">
        <v>117</v>
      </c>
      <c r="K22" s="183" t="str">
        <f aca="false">IF(L22=0,"✓","✗")</f>
        <v>✓</v>
      </c>
      <c r="L22" s="182" t="n">
        <f aca="false">SUMPRODUCT((COUNTIF(AVRintitulé,OPcompte)=0)*(OPcompte&lt;&gt;""))</f>
        <v>0</v>
      </c>
      <c r="M22" s="107"/>
    </row>
    <row r="23" customFormat="false" ht="17.25" hidden="false" customHeight="true" outlineLevel="0" collapsed="false">
      <c r="J23" s="71" t="s">
        <v>118</v>
      </c>
      <c r="K23" s="74" t="str">
        <f aca="false">IF(K10&amp;K11&amp;K12&amp;$K13&amp;$K14&amp;$K22="✓✓✓✓✓✓","✓",$K10&amp;$K11&amp;K12&amp;$K13&amp;$K14&amp;$K22)</f>
        <v>✓</v>
      </c>
      <c r="L23" s="71"/>
      <c r="M23" s="71"/>
    </row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:M11 L16:M16 L18:L20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9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0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2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13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A1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C1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14">
    <cfRule type="cellIs" priority="20" operator="notEqual" aboveAverage="0" equalAverage="0" bottom="0" percent="0" rank="0" text="" dxfId="0">
      <formula>"✓"</formula>
    </cfRule>
  </conditionalFormatting>
  <conditionalFormatting sqref="K22">
    <cfRule type="cellIs" priority="21" operator="notEqual" aboveAverage="0" equalAverage="0" bottom="0" percent="0" rank="0" text="" dxfId="0">
      <formula>"✓"</formula>
    </cfRule>
  </conditionalFormatting>
  <conditionalFormatting sqref="K23">
    <cfRule type="cellIs" priority="22" operator="notEqual" aboveAverage="0" equalAverage="0" bottom="0" percent="0" rank="0" text="" dxfId="0">
      <formula>"✓"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7" width="45.77"/>
    <col collapsed="false" customWidth="true" hidden="false" outlineLevel="0" max="3" min="2" style="77" width="9"/>
    <col collapsed="false" customWidth="true" hidden="false" outlineLevel="0" max="4" min="4" style="77" width="14.47"/>
    <col collapsed="false" customWidth="true" hidden="false" outlineLevel="0" max="5" min="5" style="137" width="9"/>
    <col collapsed="false" customWidth="true" hidden="false" outlineLevel="0" max="6" min="6" style="77" width="14.47"/>
    <col collapsed="false" customWidth="true" hidden="false" outlineLevel="0" max="7" min="7" style="77" width="15.33"/>
    <col collapsed="false" customWidth="true" hidden="false" outlineLevel="0" max="8" min="8" style="77" width="17.52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38" t="str">
        <f aca="false">Contrôles!$K$23</f>
        <v>✓</v>
      </c>
      <c r="B1" s="139"/>
      <c r="C1" s="139"/>
      <c r="D1" s="139"/>
      <c r="E1" s="139"/>
      <c r="F1" s="139" t="n">
        <f aca="false">année_courante</f>
        <v>2026</v>
      </c>
      <c r="G1" s="139"/>
      <c r="H1" s="13"/>
    </row>
    <row r="2" customFormat="false" ht="21" hidden="false" customHeight="true" outlineLevel="0" collapsed="false">
      <c r="A2" s="188" t="s">
        <v>119</v>
      </c>
      <c r="B2" s="188" t="s">
        <v>120</v>
      </c>
      <c r="C2" s="188" t="s">
        <v>121</v>
      </c>
      <c r="D2" s="188" t="s">
        <v>122</v>
      </c>
      <c r="E2" s="189" t="s">
        <v>123</v>
      </c>
      <c r="F2" s="59" t="s">
        <v>124</v>
      </c>
      <c r="G2" s="59" t="s">
        <v>40</v>
      </c>
      <c r="H2" s="59" t="s">
        <v>125</v>
      </c>
    </row>
    <row r="3" customFormat="false" ht="14.25" hidden="false" customHeight="true" outlineLevel="0" collapsed="false">
      <c r="A3" s="190" t="s">
        <v>43</v>
      </c>
      <c r="B3" s="190"/>
      <c r="C3" s="190"/>
      <c r="D3" s="190"/>
      <c r="E3" s="17"/>
      <c r="F3" s="19"/>
      <c r="G3" s="19"/>
      <c r="H3" s="19"/>
    </row>
    <row r="4" customFormat="false" ht="16.5" hidden="false" customHeight="true" outlineLevel="0" collapsed="false">
      <c r="A4" s="190" t="s">
        <v>16</v>
      </c>
      <c r="B4" s="190" t="s">
        <v>126</v>
      </c>
      <c r="C4" s="190" t="s">
        <v>127</v>
      </c>
      <c r="D4" s="190" t="n">
        <v>2</v>
      </c>
      <c r="E4" s="191" t="s">
        <v>55</v>
      </c>
      <c r="F4" s="192" t="n">
        <v>1</v>
      </c>
      <c r="G4" s="192"/>
      <c r="H4" s="193"/>
    </row>
    <row r="5" customFormat="false" ht="16.5" hidden="false" customHeight="true" outlineLevel="0" collapsed="false">
      <c r="A5" s="190" t="s">
        <v>43</v>
      </c>
      <c r="B5" s="190"/>
      <c r="C5" s="190"/>
      <c r="D5" s="190"/>
      <c r="E5" s="17"/>
      <c r="F5" s="19"/>
      <c r="G5" s="19"/>
      <c r="H5" s="19"/>
    </row>
    <row r="6" customFormat="false" ht="15" hidden="false" customHeight="true" outlineLevel="0" collapsed="false">
      <c r="A6" s="188"/>
      <c r="B6" s="188"/>
      <c r="C6" s="188"/>
      <c r="D6" s="188"/>
      <c r="E6" s="189"/>
      <c r="F6" s="59"/>
      <c r="G6" s="59"/>
      <c r="H6" s="59"/>
    </row>
    <row r="7" customFormat="false" ht="18" hidden="false" customHeight="true" outlineLevel="0" collapsed="false">
      <c r="F7" s="194"/>
      <c r="G7" s="194"/>
    </row>
    <row r="8" customFormat="false" ht="18" hidden="false" customHeight="true" outlineLevel="0" collapsed="false">
      <c r="F8" s="194"/>
      <c r="G8" s="194"/>
    </row>
    <row r="9" customFormat="false" ht="18" hidden="false" customHeight="true" outlineLevel="0" collapsed="false">
      <c r="F9" s="194"/>
      <c r="G9" s="194"/>
    </row>
    <row r="10" customFormat="false" ht="18" hidden="false" customHeight="true" outlineLevel="0" collapsed="false">
      <c r="F10" s="194"/>
      <c r="G10" s="194"/>
    </row>
    <row r="11" customFormat="false" ht="18" hidden="false" customHeight="true" outlineLevel="0" collapsed="false">
      <c r="F11" s="194"/>
      <c r="G11" s="194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2026-04-16T19:02:39Z</dcterms:modified>
  <cp:revision>928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