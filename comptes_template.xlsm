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<sst xmlns="http://schemas.openxmlformats.org/spreadsheetml/2006/main" count="174" uniqueCount="128">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</sst>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6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1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5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5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n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4"/>
      <c r="D5" s="15"/>
      <c r="E5" s="12"/>
      <c r="F5" s="14"/>
      <c r="G5" s="15"/>
      <c r="H5" s="12"/>
      <c r="I5" s="13"/>
    </row>
    <row r="6" customFormat="false" ht="16.5" hidden="false" customHeight="true" outlineLevel="0" collapsed="false">
      <c r="B6" s="16" t="s">
        <v>5</v>
      </c>
      <c r="C6" s="17" t="n">
        <f aca="false">COUNTIF(AVRtype,$B6)</f>
        <v>0</v>
      </c>
      <c r="D6" s="18" t="n">
        <f aca="false">SUMIF(AVRtype,$B6,AVRmontant_solde_euro)</f>
        <v>0</v>
      </c>
      <c r="E6" s="19" t="e">
        <f aca="false">D6/D$13</f>
        <v>#DIV/0!</v>
      </c>
      <c r="G6" s="20"/>
    </row>
    <row r="7" customFormat="false" ht="16.5" hidden="false" customHeight="true" outlineLevel="0" collapsed="false">
      <c r="B7" s="16" t="s">
        <v>6</v>
      </c>
      <c r="C7" s="17" t="n">
        <f aca="false">COUNTIF(AVRtype,$B7)</f>
        <v>0</v>
      </c>
      <c r="D7" s="18" t="n">
        <f aca="false">SUMIF(AVRtype,$B7,AVRmontant_solde_euro)</f>
        <v>0</v>
      </c>
      <c r="E7" s="19" t="e">
        <f aca="false">D7/D$13</f>
        <v>#DIV/0!</v>
      </c>
    </row>
    <row r="8" customFormat="false" ht="16.5" hidden="false" customHeight="true" outlineLevel="0" collapsed="false">
      <c r="B8" s="16" t="s">
        <v>7</v>
      </c>
      <c r="C8" s="17" t="n">
        <f aca="false">COUNTIF(AVRtype,$B8)</f>
        <v>0</v>
      </c>
      <c r="D8" s="18" t="n">
        <f aca="false">SUMIF(AVRtype,$B8,AVRmontant_solde_euro)</f>
        <v>0</v>
      </c>
      <c r="E8" s="19" t="e">
        <f aca="false">D8/D$13</f>
        <v>#DIV/0!</v>
      </c>
    </row>
    <row r="9" customFormat="false" ht="16.5" hidden="false" customHeight="true" outlineLevel="0" collapsed="false">
      <c r="B9" s="16" t="s">
        <v>8</v>
      </c>
      <c r="C9" s="17" t="n">
        <f aca="false">COUNTIF(AVRtype,$B9)</f>
        <v>0</v>
      </c>
      <c r="D9" s="18" t="n">
        <f aca="false">SUMIF(AVRtype,$B9,AVRmontant_solde_euro)</f>
        <v>0</v>
      </c>
      <c r="E9" s="19" t="e">
        <f aca="false">D9/D$13</f>
        <v>#DIV/0!</v>
      </c>
    </row>
    <row r="10" customFormat="false" ht="16.5" hidden="false" customHeight="true" outlineLevel="0" collapsed="false">
      <c r="B10" s="16" t="s">
        <v>9</v>
      </c>
      <c r="C10" s="17" t="n">
        <f aca="false">COUNTIF(AVRtype,$B10)</f>
        <v>0</v>
      </c>
      <c r="D10" s="18" t="n">
        <f aca="false">SUMIF(AVRtype,$B10,AVRmontant_solde_euro)</f>
        <v>0</v>
      </c>
      <c r="E10" s="19" t="e">
        <f aca="false">D10/D$13</f>
        <v>#DIV/0!</v>
      </c>
    </row>
    <row r="11" customFormat="false" ht="16.5" hidden="false" customHeight="true" outlineLevel="0" collapsed="false">
      <c r="B11" s="16" t="s">
        <v>10</v>
      </c>
      <c r="C11" s="17" t="n">
        <f aca="false">COUNTIF(AVRtype,$B11)</f>
        <v>0</v>
      </c>
      <c r="D11" s="18" t="n">
        <f aca="false">SUMIF(AVRtype,$B11,AVRmontant_solde_euro)</f>
        <v>0</v>
      </c>
      <c r="E11" s="19" t="e">
        <f aca="false">D11/D$13</f>
        <v>#DIV/0!</v>
      </c>
      <c r="G11" s="20"/>
    </row>
    <row r="12" customFormat="false" ht="16.5" hidden="false" customHeight="true" outlineLevel="0" collapsed="false">
      <c r="B12" s="16" t="s">
        <v>11</v>
      </c>
      <c r="C12" s="17" t="n">
        <f aca="false">COUNTIF(AVRtype,$B12)</f>
        <v>0</v>
      </c>
      <c r="D12" s="18" t="n">
        <f aca="false">SUMIF(AVRtype,$B12,AVRmontant_solde_euro)</f>
        <v>0</v>
      </c>
      <c r="E12" s="19" t="e">
        <f aca="false">D12/D$13</f>
        <v>#DIV/0!</v>
      </c>
      <c r="G12" s="20"/>
    </row>
    <row r="13" customFormat="false" ht="16.5" hidden="false" customHeight="true" outlineLevel="0" collapsed="false">
      <c r="B13" s="21" t="s">
        <v>3</v>
      </c>
      <c r="C13" s="17" t="n">
        <f aca="false">SUM(C6:C12)</f>
        <v>0</v>
      </c>
      <c r="D13" s="22" t="n">
        <f aca="false">ROUND(SUM(D6:D12),2)</f>
        <v>0</v>
      </c>
      <c r="E13" s="19"/>
    </row>
    <row r="14" customFormat="false" ht="16.5" hidden="false" customHeight="true" outlineLevel="0" collapsed="false">
      <c r="B14" s="14" t="s">
        <v>12</v>
      </c>
      <c r="C14" s="23"/>
      <c r="D14" s="24"/>
      <c r="E14" s="12"/>
    </row>
    <row r="15" customFormat="false" ht="16.5" hidden="false" customHeight="true" outlineLevel="0" collapsed="false">
      <c r="B15" s="16" t="s">
        <v>13</v>
      </c>
      <c r="C15" s="17" t="n">
        <f aca="false">COUNTIF(AVRsous_type,$B15)</f>
        <v>0</v>
      </c>
      <c r="D15" s="18" t="n">
        <f aca="false">SUMIF(AVRsous_type,B15,AVRmontant_solde_euro)</f>
        <v>0</v>
      </c>
      <c r="E15" s="19" t="e">
        <f aca="false">D15/D$20</f>
        <v>#DIV/0!</v>
      </c>
      <c r="G15" s="20"/>
    </row>
    <row r="16" customFormat="false" ht="16.5" hidden="false" customHeight="true" outlineLevel="0" collapsed="false">
      <c r="B16" s="16" t="s">
        <v>14</v>
      </c>
      <c r="C16" s="17" t="n">
        <f aca="false">COUNTIF(AVRsous_type,$B16)</f>
        <v>0</v>
      </c>
      <c r="D16" s="18" t="n">
        <f aca="false">SUMIF(AVRsous_type,B16,AVRmontant_solde_euro)</f>
        <v>0</v>
      </c>
      <c r="E16" s="19" t="e">
        <f aca="false">D16/D$20</f>
        <v>#DIV/0!</v>
      </c>
    </row>
    <row r="17" customFormat="false" ht="16.5" hidden="false" customHeight="true" outlineLevel="0" collapsed="false">
      <c r="B17" s="16" t="s">
        <v>15</v>
      </c>
      <c r="C17" s="17" t="n">
        <f aca="false">COUNTIF(AVRsous_type,$B17)</f>
        <v>0</v>
      </c>
      <c r="D17" s="18" t="n">
        <f aca="false">SUMIF(AVRsous_type,B17,AVRmontant_solde_euro)</f>
        <v>0</v>
      </c>
      <c r="E17" s="19" t="e">
        <f aca="false">D17/D$20</f>
        <v>#DIV/0!</v>
      </c>
    </row>
    <row r="18" customFormat="false" ht="16.5" hidden="false" customHeight="true" outlineLevel="0" collapsed="false">
      <c r="B18" s="16" t="s">
        <v>16</v>
      </c>
      <c r="C18" s="17" t="n">
        <f aca="false">COUNTIF(AVRsous_type,$B18)</f>
        <v>0</v>
      </c>
      <c r="D18" s="18" t="n">
        <f aca="false">SUMIF(AVRsous_type,B18,AVRmontant_solde_euro)</f>
        <v>0</v>
      </c>
      <c r="E18" s="19" t="e">
        <f aca="false">D18/D$20</f>
        <v>#DIV/0!</v>
      </c>
    </row>
    <row r="19" customFormat="false" ht="16.5" hidden="false" customHeight="true" outlineLevel="0" collapsed="false">
      <c r="B19" s="16" t="s">
        <v>11</v>
      </c>
      <c r="C19" s="17" t="n">
        <f aca="false">COUNTIF(AVRsous_type,$B19)</f>
        <v>0</v>
      </c>
      <c r="D19" s="18" t="n">
        <f aca="false">SUMIF(AVRsous_type,B19,AVRmontant_solde_euro)</f>
        <v>0</v>
      </c>
      <c r="E19" s="19" t="e">
        <f aca="false">D19/D$20</f>
        <v>#DIV/0!</v>
      </c>
    </row>
    <row r="20" customFormat="false" ht="16.5" hidden="false" customHeight="true" outlineLevel="0" collapsed="false">
      <c r="B20" s="21" t="s">
        <v>3</v>
      </c>
      <c r="C20" s="17" t="n">
        <f aca="false">SUM(C15:C19)</f>
        <v>0</v>
      </c>
      <c r="D20" s="22" t="n">
        <f aca="false">ROUND(SUM(D15:D19),2)</f>
        <v>0</v>
      </c>
      <c r="E20" s="19"/>
    </row>
    <row r="21" customFormat="false" ht="16.5" hidden="false" customHeight="true" outlineLevel="0" collapsed="false">
      <c r="B21" s="25" t="s">
        <v>17</v>
      </c>
      <c r="C21" s="26"/>
      <c r="D21" s="24"/>
      <c r="E21" s="12"/>
    </row>
    <row r="22" customFormat="false" ht="16.5" hidden="false" customHeight="true" outlineLevel="0" collapsed="false">
      <c r="B22" s="27" t="s">
        <v>11</v>
      </c>
      <c r="C22" s="17" t="n">
        <f aca="false">COUNTIF(AVRdomiciliation,$B22)</f>
        <v>0</v>
      </c>
      <c r="D22" s="18" t="n">
        <f aca="false">SUMIF(AVRdomiciliation,$B22,AVRmontant_solde_euro)</f>
        <v>0</v>
      </c>
      <c r="E22" s="19" t="e">
        <f aca="false">D22/D$23</f>
        <v>#DIV/0!</v>
      </c>
      <c r="G22" s="20"/>
    </row>
    <row r="23" customFormat="false" ht="16.5" hidden="false" customHeight="true" outlineLevel="0" collapsed="false">
      <c r="B23" s="21" t="s">
        <v>3</v>
      </c>
      <c r="C23" s="17" t="n">
        <f aca="false">SUM(C22)</f>
        <v>0</v>
      </c>
      <c r="D23" s="22" t="n">
        <f aca="false">ROUND(SUM(D22),2)</f>
        <v>0</v>
      </c>
      <c r="E23" s="19"/>
    </row>
    <row r="24" customFormat="false" ht="16.5" hidden="false" customHeight="true" outlineLevel="0" collapsed="false">
      <c r="B24" s="14" t="s">
        <v>18</v>
      </c>
      <c r="C24" s="23"/>
      <c r="D24" s="24"/>
      <c r="E24" s="12"/>
    </row>
    <row r="25" customFormat="false" ht="16.5" hidden="false" customHeight="true" outlineLevel="0" collapsed="false">
      <c r="B25" s="16" t="s">
        <v>11</v>
      </c>
      <c r="C25" s="17" t="n">
        <f aca="false">COUNTIF(AVRtitulaire,$B25)</f>
        <v>0</v>
      </c>
      <c r="D25" s="28" t="n">
        <f aca="false">SUMIF(AVRtitulaire,$B25,AVRmontant_solde_euro)</f>
        <v>0</v>
      </c>
      <c r="E25" s="19" t="e">
        <f aca="false">D25/D$26</f>
        <v>#DIV/0!</v>
      </c>
    </row>
    <row r="26" customFormat="false" ht="16.5" hidden="false" customHeight="true" outlineLevel="0" collapsed="false">
      <c r="B26" s="21" t="s">
        <v>3</v>
      </c>
      <c r="C26" s="17" t="n">
        <f aca="false">SUM(C25)</f>
        <v>0</v>
      </c>
      <c r="D26" s="22" t="n">
        <f aca="false">ROUND(SUM(D25),2)</f>
        <v>0</v>
      </c>
      <c r="E26" s="19"/>
    </row>
    <row r="27" customFormat="false" ht="13.5" hidden="false" customHeight="true" outlineLevel="0" collapsed="false">
      <c r="B27" s="14" t="s">
        <v>19</v>
      </c>
      <c r="C27" s="23"/>
      <c r="D27" s="24"/>
      <c r="E27" s="12"/>
    </row>
    <row r="28" customFormat="false" ht="13.5" hidden="false" customHeight="true" outlineLevel="0" collapsed="false">
      <c r="B28" s="16" t="s">
        <v>20</v>
      </c>
      <c r="C28" s="17" t="n">
        <f aca="false">COUNTIF(AVRpropriete,$B28)</f>
        <v>0</v>
      </c>
      <c r="D28" s="18" t="n">
        <f aca="false">SUMIF(AVRpropriete,B28,AVRmontant_solde_euro)</f>
        <v>0</v>
      </c>
      <c r="E28" s="19" t="e">
        <f aca="false">D28/D$30</f>
        <v>#DIV/0!</v>
      </c>
      <c r="G28" s="20"/>
    </row>
    <row r="29" customFormat="false" ht="13.5" hidden="false" customHeight="true" outlineLevel="0" collapsed="false">
      <c r="B29" s="16" t="s">
        <v>21</v>
      </c>
      <c r="C29" s="17" t="n">
        <f aca="false">COUNTIF(AVRpropriete,$B29)</f>
        <v>0</v>
      </c>
      <c r="D29" s="18" t="n">
        <f aca="false">SUMIF(AVRpropriete,B29,AVRmontant_solde_euro)</f>
        <v>0</v>
      </c>
      <c r="E29" s="19" t="e">
        <f aca="false">D29/D$30</f>
        <v>#DIV/0!</v>
      </c>
      <c r="G29" s="20" t="s">
        <v>22</v>
      </c>
    </row>
    <row r="30" customFormat="false" ht="13.5" hidden="false" customHeight="true" outlineLevel="0" collapsed="false">
      <c r="B30" s="21" t="s">
        <v>3</v>
      </c>
      <c r="C30" s="17" t="n">
        <f aca="false">SUM(C28:C29)</f>
        <v>0</v>
      </c>
      <c r="D30" s="22" t="n">
        <f aca="false">ROUND(SUM(D28:D29),2)</f>
        <v>0</v>
      </c>
      <c r="E30" s="19"/>
    </row>
    <row r="34" customFormat="false" ht="15.75" hidden="false" customHeight="true" outlineLevel="0" collapsed="false">
      <c r="J34" s="29"/>
      <c r="K34" s="30" t="s">
        <v>23</v>
      </c>
      <c r="L34" s="31"/>
      <c r="M34" s="32"/>
    </row>
    <row r="35" customFormat="false" ht="15.75" hidden="false" customHeight="true" outlineLevel="0" collapsed="false">
      <c r="J35" s="29"/>
      <c r="K35" s="29"/>
      <c r="L35" s="29"/>
      <c r="M35" s="32"/>
    </row>
    <row r="36" customFormat="false" ht="15.75" hidden="false" customHeight="true" outlineLevel="0" collapsed="false">
      <c r="J36" s="29"/>
      <c r="K36" s="33" t="n">
        <v>22.01</v>
      </c>
      <c r="L36" s="34"/>
      <c r="M36" s="35" t="s">
        <v>24</v>
      </c>
    </row>
    <row r="37" customFormat="false" ht="15.75" hidden="false" customHeight="true" outlineLevel="0" collapsed="false">
      <c r="J37" s="29"/>
      <c r="K37" s="36" t="n">
        <v>22.01</v>
      </c>
      <c r="L37" s="37"/>
      <c r="M37" s="31" t="s">
        <v>25</v>
      </c>
    </row>
    <row r="38" customFormat="false" ht="15.75" hidden="false" customHeight="true" outlineLevel="0" collapsed="false">
      <c r="J38" s="29"/>
      <c r="K38" s="38" t="n">
        <v>22.01</v>
      </c>
      <c r="L38" s="37"/>
      <c r="M38" s="35" t="s">
        <v>26</v>
      </c>
    </row>
    <row r="39" customFormat="false" ht="15.75" hidden="false" customHeight="true" outlineLevel="0" collapsed="false">
      <c r="J39" s="29"/>
      <c r="K39" s="39" t="n">
        <v>22.01</v>
      </c>
      <c r="L39" s="37"/>
      <c r="M39" s="35" t="s">
        <v>27</v>
      </c>
    </row>
    <row r="40" customFormat="false" ht="15.75" hidden="false" customHeight="true" outlineLevel="0" collapsed="false">
      <c r="J40" s="29"/>
      <c r="K40" s="40" t="n">
        <v>22.01</v>
      </c>
      <c r="L40" s="37"/>
      <c r="M40" s="35" t="s">
        <v>28</v>
      </c>
    </row>
    <row r="41" customFormat="false" ht="15.75" hidden="false" customHeight="true" outlineLevel="0" collapsed="false">
      <c r="J41" s="29"/>
      <c r="K41" s="41" t="n">
        <v>22.01</v>
      </c>
      <c r="L41" s="37"/>
      <c r="M41" s="35" t="s">
        <v>29</v>
      </c>
    </row>
    <row r="42" customFormat="false" ht="12.75" hidden="false" customHeight="true" outlineLevel="0" collapsed="false">
      <c r="J42" s="29"/>
      <c r="K42" s="29"/>
      <c r="L42" s="29"/>
      <c r="M42" s="32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7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n">
        <v>2026</v>
      </c>
      <c r="B1" s="45" t="s">
        <v>30</v>
      </c>
      <c r="C1" s="46"/>
      <c r="D1" s="47"/>
      <c r="E1" s="47"/>
      <c r="F1" s="47"/>
      <c r="G1" s="47"/>
      <c r="H1" s="47"/>
      <c r="I1" s="48"/>
      <c r="J1" s="47"/>
      <c r="K1" s="47"/>
      <c r="L1" s="49"/>
    </row>
    <row r="2" customFormat="false" ht="16.5" hidden="false" customHeight="true" outlineLevel="0" collapsed="false">
      <c r="A2" s="50" t="str">
        <f aca="false">Contrôles!K$23</f>
        <v>✓</v>
      </c>
      <c r="B2" s="51"/>
      <c r="C2" s="5"/>
      <c r="D2" s="10"/>
      <c r="E2" s="10"/>
      <c r="F2" s="52"/>
      <c r="G2" s="52"/>
      <c r="H2" s="45" t="s">
        <v>31</v>
      </c>
      <c r="I2" s="53"/>
      <c r="J2" s="45" t="s">
        <v>32</v>
      </c>
      <c r="K2" s="53"/>
      <c r="L2" s="54" t="n">
        <f aca="false">L6</f>
        <v>0</v>
      </c>
    </row>
    <row r="3" customFormat="false" ht="33.75" hidden="false" customHeight="true" outlineLevel="0" collapsed="false">
      <c r="A3" s="55" t="s">
        <v>33</v>
      </c>
      <c r="B3" s="56" t="s">
        <v>34</v>
      </c>
      <c r="C3" s="56" t="s">
        <v>35</v>
      </c>
      <c r="D3" s="57" t="s">
        <v>36</v>
      </c>
      <c r="E3" s="58" t="s">
        <v>37</v>
      </c>
      <c r="F3" s="57" t="s">
        <v>38</v>
      </c>
      <c r="G3" s="57" t="s">
        <v>39</v>
      </c>
      <c r="H3" s="57" t="s">
        <v>40</v>
      </c>
      <c r="I3" s="59" t="s">
        <v>41</v>
      </c>
      <c r="J3" s="53" t="s">
        <v>40</v>
      </c>
      <c r="K3" s="60" t="s">
        <v>41</v>
      </c>
      <c r="L3" s="60" t="s">
        <v>42</v>
      </c>
    </row>
    <row r="4" customFormat="false" ht="14.25" hidden="false" customHeight="true" outlineLevel="0" collapsed="false">
      <c r="A4" s="61" t="s">
        <v>43</v>
      </c>
      <c r="B4" s="62"/>
      <c r="C4" s="63"/>
      <c r="D4" s="64"/>
      <c r="E4" s="64"/>
      <c r="F4" s="65"/>
      <c r="G4" s="64"/>
      <c r="H4" s="64"/>
      <c r="I4" s="64"/>
      <c r="J4" s="64"/>
      <c r="K4" s="64"/>
      <c r="L4" s="64"/>
    </row>
    <row r="5" customFormat="false" ht="16.5" hidden="false" customHeight="true" outlineLevel="0" collapsed="false">
      <c r="A5" s="61" t="s">
        <v>43</v>
      </c>
      <c r="B5" s="63"/>
      <c r="C5" s="63"/>
      <c r="D5" s="64"/>
      <c r="E5" s="64"/>
      <c r="F5" s="66"/>
      <c r="G5" s="66"/>
      <c r="H5" s="66"/>
      <c r="I5" s="66"/>
      <c r="J5" s="66"/>
      <c r="K5" s="66"/>
      <c r="L5" s="66"/>
    </row>
    <row r="6" customFormat="false" ht="17.25" hidden="false" customHeight="true" outlineLevel="0" collapsed="false">
      <c r="A6" s="67" t="s">
        <v>44</v>
      </c>
      <c r="B6" s="68"/>
      <c r="C6" s="69"/>
      <c r="D6" s="70"/>
      <c r="E6" s="70"/>
      <c r="F6" s="71"/>
      <c r="G6" s="71"/>
      <c r="H6" s="71"/>
      <c r="I6" s="72"/>
      <c r="J6" s="72"/>
      <c r="K6" s="72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Contrôles!K$23</f>
        <v>✓</v>
      </c>
      <c r="B1" s="76"/>
      <c r="C1" s="77" t="n">
        <f aca="false">C$2-365</f>
        <v>45756</v>
      </c>
      <c r="D1" s="77"/>
    </row>
    <row r="2" customFormat="false" ht="16.5" hidden="false" customHeight="true" outlineLevel="0" collapsed="false">
      <c r="A2" s="78"/>
      <c r="B2" s="12"/>
      <c r="C2" s="77" t="n">
        <f aca="true">TODAY()</f>
        <v>46121</v>
      </c>
      <c r="D2" s="77"/>
    </row>
    <row r="3" customFormat="false" ht="28.5" hidden="false" customHeight="true" outlineLevel="0" collapsed="false">
      <c r="A3" s="24" t="s">
        <v>45</v>
      </c>
      <c r="B3" s="24" t="s">
        <v>34</v>
      </c>
      <c r="C3" s="24" t="s">
        <v>46</v>
      </c>
      <c r="D3" s="24"/>
    </row>
    <row r="4" customFormat="false" ht="15" hidden="false" customHeight="true" outlineLevel="0" collapsed="false">
      <c r="A4" s="79" t="s">
        <v>43</v>
      </c>
      <c r="B4" s="18"/>
      <c r="C4" s="18"/>
      <c r="D4" s="18"/>
    </row>
    <row r="5" customFormat="false" ht="16.5" hidden="false" customHeight="true" outlineLevel="0" collapsed="false">
      <c r="A5" s="79" t="s">
        <v>47</v>
      </c>
      <c r="B5" s="80" t="s">
        <v>48</v>
      </c>
      <c r="C5" s="18" t="n">
        <f aca="false">SUMIF(J16:J22,A5,I16:I22)</f>
        <v>0</v>
      </c>
      <c r="D5" s="18"/>
    </row>
    <row r="6" customFormat="false" ht="16.5" hidden="false" customHeight="true" outlineLevel="0" collapsed="false">
      <c r="A6" s="79" t="s">
        <v>43</v>
      </c>
      <c r="B6" s="80"/>
      <c r="C6" s="18"/>
      <c r="D6" s="18"/>
    </row>
    <row r="7" customFormat="false" ht="17.25" hidden="false" customHeight="true" outlineLevel="0" collapsed="false">
      <c r="A7" s="81" t="s">
        <v>49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50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51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52</v>
      </c>
      <c r="B10" s="92"/>
      <c r="C10" s="93" t="n">
        <f aca="false">ROUND(C$7-I$27,2)</f>
        <v>0</v>
      </c>
      <c r="D10" s="94"/>
    </row>
    <row r="12" customFormat="false" ht="18.75" hidden="false" customHeight="true" outlineLevel="0" collapsed="false">
      <c r="E12" s="95" t="s">
        <v>53</v>
      </c>
      <c r="F12" s="95"/>
      <c r="G12" s="95"/>
      <c r="H12" s="95"/>
      <c r="I12" s="95"/>
      <c r="J12" s="95"/>
    </row>
    <row r="13" customFormat="false" ht="37.5" hidden="false" customHeight="true" outlineLevel="0" collapsed="false">
      <c r="E13" s="96" t="s">
        <v>54</v>
      </c>
      <c r="F13" s="60" t="s">
        <v>55</v>
      </c>
      <c r="G13" s="59" t="s">
        <v>56</v>
      </c>
      <c r="H13" s="60" t="s">
        <v>57</v>
      </c>
      <c r="I13" s="59" t="s">
        <v>58</v>
      </c>
      <c r="J13" s="59" t="s">
        <v>45</v>
      </c>
    </row>
    <row r="14" customFormat="false" ht="15" hidden="false" customHeight="true" outlineLevel="0" collapsed="false">
      <c r="E14" s="96" t="s">
        <v>59</v>
      </c>
      <c r="F14" s="97" t="n">
        <v>1</v>
      </c>
      <c r="G14" s="48"/>
      <c r="H14" s="98"/>
      <c r="I14" s="99"/>
      <c r="J14" s="99"/>
    </row>
    <row r="15" customFormat="false" ht="15" hidden="false" customHeight="true" outlineLevel="0" collapsed="false">
      <c r="E15" s="100" t="s">
        <v>43</v>
      </c>
      <c r="F15" s="101"/>
      <c r="G15" s="102"/>
      <c r="H15" s="103"/>
      <c r="I15" s="18"/>
      <c r="J15" s="73"/>
    </row>
    <row r="16" customFormat="false" ht="16.5" hidden="false" customHeight="true" outlineLevel="0" collapsed="false">
      <c r="E16" s="100" t="s">
        <v>60</v>
      </c>
      <c r="F16" s="101" t="n">
        <f aca="false">SUMIFS(OPmontant,OPdevise,F$13,OPcatégorie,$E16,OPdate,"&gt;"&amp;$C$2-365)</f>
        <v>0</v>
      </c>
      <c r="G16" s="102"/>
      <c r="H16" s="103"/>
      <c r="I16" s="18"/>
      <c r="J16" s="73"/>
    </row>
    <row r="17" customFormat="false" ht="16.5" hidden="false" customHeight="true" outlineLevel="0" collapsed="false">
      <c r="E17" s="104" t="s">
        <v>61</v>
      </c>
      <c r="F17" s="101" t="n">
        <f aca="false">SUMIFS(OPmontant,OPdevise,F$13,OPcatégorie,$E17,OPdate,"&gt;"&amp;$C$2-365)</f>
        <v>0</v>
      </c>
      <c r="G17" s="105"/>
      <c r="H17" s="103"/>
      <c r="I17" s="18"/>
      <c r="J17" s="73"/>
    </row>
    <row r="18" customFormat="false" ht="16.5" hidden="false" customHeight="true" outlineLevel="0" collapsed="false">
      <c r="E18" s="104" t="s">
        <v>62</v>
      </c>
      <c r="F18" s="101" t="n">
        <f aca="false">SUMIFS(OPmontant,OPdevise,F$13,OPcatégorie,$E18,OPdate,"&gt;"&amp;$C$2-365)</f>
        <v>0</v>
      </c>
      <c r="G18" s="106"/>
      <c r="H18" s="106"/>
      <c r="I18" s="18"/>
      <c r="J18" s="62"/>
    </row>
    <row r="19" customFormat="false" ht="16.5" hidden="false" customHeight="true" outlineLevel="0" collapsed="false">
      <c r="E19" s="104" t="s">
        <v>63</v>
      </c>
      <c r="F19" s="101" t="n">
        <f aca="false">SUMIFS(OPmontant,OPdevise,F$13,OPcatégorie,$E19,OPdate,"&gt;"&amp;$C$2-365)</f>
        <v>0</v>
      </c>
      <c r="G19" s="106"/>
      <c r="H19" s="106"/>
      <c r="I19" s="18"/>
      <c r="J19" s="62"/>
    </row>
    <row r="20" customFormat="false" ht="16.5" hidden="false" customHeight="true" outlineLevel="0" collapsed="false">
      <c r="E20" s="104" t="s">
        <v>64</v>
      </c>
      <c r="F20" s="101" t="n">
        <f aca="false">SUMIFS(OPmontant,OPdevise,F$13,OPcatégorie,$E20,OPdate,"&gt;"&amp;$C$2-365)</f>
        <v>0</v>
      </c>
      <c r="G20" s="106"/>
      <c r="H20" s="106"/>
      <c r="I20" s="18"/>
      <c r="J20" s="62"/>
    </row>
    <row r="21" customFormat="false" ht="16.5" hidden="false" customHeight="true" outlineLevel="0" collapsed="false">
      <c r="E21" s="100" t="s">
        <v>65</v>
      </c>
      <c r="F21" s="101" t="n">
        <f aca="false">SUMIFS(OPmontant,OPdevise,F$13,OPcatégorie,$E21,OPdate,"&gt;"&amp;$C$2-365)</f>
        <v>0</v>
      </c>
      <c r="G21" s="102"/>
      <c r="H21" s="103"/>
      <c r="I21" s="18"/>
      <c r="J21" s="73"/>
    </row>
    <row r="22" customFormat="false" ht="16.5" hidden="false" customHeight="true" outlineLevel="0" collapsed="false">
      <c r="E22" s="104" t="s">
        <v>11</v>
      </c>
      <c r="F22" s="101" t="n">
        <f aca="false">SUMIFS(OPmontant,OPdevise,F$13,OPcatégorie,$E22,OPdate,"&gt;"&amp;$C$2-365)</f>
        <v>0</v>
      </c>
      <c r="G22" s="107" t="n">
        <f aca="false">SUMPRODUCT(F22,F$14)</f>
        <v>0</v>
      </c>
      <c r="H22" s="108" t="n">
        <v>1</v>
      </c>
      <c r="I22" s="18" t="n">
        <f aca="false">G22*H22</f>
        <v>0</v>
      </c>
      <c r="J22" s="62" t="s">
        <v>47</v>
      </c>
    </row>
    <row r="23" customFormat="false" ht="17.25" hidden="false" customHeight="true" outlineLevel="0" collapsed="false">
      <c r="E23" s="109" t="s">
        <v>43</v>
      </c>
      <c r="F23" s="110"/>
      <c r="G23" s="107"/>
      <c r="H23" s="110"/>
      <c r="I23" s="110"/>
      <c r="J23" s="111"/>
    </row>
    <row r="24" customFormat="false" ht="19.5" hidden="false" customHeight="true" outlineLevel="0" collapsed="false">
      <c r="E24" s="81" t="s">
        <v>44</v>
      </c>
      <c r="F24" s="112" t="n">
        <f aca="false">SUM(F16:F22)</f>
        <v>0</v>
      </c>
      <c r="G24" s="113" t="n">
        <f aca="false">SUM(G17:G23)</f>
        <v>0</v>
      </c>
      <c r="H24" s="114"/>
      <c r="I24" s="113"/>
      <c r="J24" s="115"/>
    </row>
    <row r="25" customFormat="false" ht="18" hidden="false" customHeight="true" outlineLevel="0" collapsed="false">
      <c r="E25" s="116" t="s">
        <v>66</v>
      </c>
      <c r="F25" s="117" t="n">
        <f aca="false">SUMIFS(OPmontant,OPdevise,F$13,OPdate,"&gt;"&amp;$C$2-365,OPcatégorie,"&lt;&gt;"&amp;Spéciale)</f>
        <v>0</v>
      </c>
      <c r="G25" s="118"/>
      <c r="H25" s="119"/>
      <c r="I25" s="120"/>
      <c r="J25" s="90"/>
    </row>
    <row r="26" customFormat="false" ht="16.5" hidden="false" customHeight="true" outlineLevel="0" collapsed="false">
      <c r="E26" s="121" t="s">
        <v>67</v>
      </c>
      <c r="F26" s="93" t="n">
        <f aca="false">ROUND(F$24-F$25,2)</f>
        <v>0</v>
      </c>
      <c r="G26" s="122"/>
      <c r="H26" s="119"/>
      <c r="I26" s="89"/>
      <c r="J26" s="90"/>
    </row>
    <row r="27" customFormat="false" ht="21.75" hidden="false" customHeight="true" outlineLevel="0" collapsed="false">
      <c r="E27" s="85" t="s">
        <v>68</v>
      </c>
      <c r="F27" s="87" t="n">
        <f aca="false">SUM(F22)</f>
        <v>0</v>
      </c>
      <c r="G27" s="93" t="n">
        <f aca="false">SUM(G22)</f>
        <v>0</v>
      </c>
      <c r="H27" s="123"/>
      <c r="I27" s="124" t="n">
        <f aca="false">SUM(I22)</f>
        <v>0</v>
      </c>
      <c r="J27" s="125"/>
    </row>
    <row r="28" customFormat="false" ht="16.5" hidden="false" customHeight="true" outlineLevel="0" collapsed="false">
      <c r="E28" s="91" t="s">
        <v>69</v>
      </c>
      <c r="F28" s="117" t="n">
        <f aca="false">F$27</f>
        <v>0</v>
      </c>
      <c r="G28" s="124" t="n">
        <f aca="false">SUM(F$28)</f>
        <v>0</v>
      </c>
      <c r="H28" s="126"/>
      <c r="I28" s="127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27.01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28" width="14.21"/>
    <col collapsed="false" customWidth="true" hidden="false" outlineLevel="0" max="6" min="6" style="74" width="13.67"/>
    <col collapsed="false" customWidth="true" hidden="false" outlineLevel="0" max="7" min="7" style="128" width="9.16"/>
    <col collapsed="false" customWidth="true" hidden="false" outlineLevel="0" max="10" min="8" style="74" width="15.66"/>
    <col collapsed="false" customWidth="true" hidden="false" outlineLevel="0" max="12" min="11" style="128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29" t="str">
        <f aca="false">Contrôles!$K23</f>
        <v>✓</v>
      </c>
      <c r="B1" s="56" t="s">
        <v>70</v>
      </c>
      <c r="C1" s="12"/>
      <c r="D1" s="129"/>
      <c r="E1" s="12"/>
      <c r="F1" s="129"/>
      <c r="G1" s="12"/>
      <c r="H1" s="12"/>
      <c r="I1" s="12"/>
      <c r="J1" s="129"/>
      <c r="K1" s="129"/>
    </row>
    <row r="2" customFormat="false" ht="16.5" hidden="false" customHeight="true" outlineLevel="0" collapsed="false">
      <c r="A2" s="56"/>
      <c r="B2" s="56" t="s">
        <v>71</v>
      </c>
      <c r="C2" s="56"/>
      <c r="D2" s="129"/>
      <c r="E2" s="12"/>
      <c r="F2" s="129"/>
      <c r="G2" s="12"/>
      <c r="H2" s="12"/>
      <c r="I2" s="12"/>
      <c r="J2" s="56"/>
      <c r="K2" s="12"/>
    </row>
    <row r="3" customFormat="false" ht="16.5" hidden="false" customHeight="true" outlineLevel="0" collapsed="false">
      <c r="A3" s="56"/>
      <c r="B3" s="56"/>
      <c r="C3" s="56"/>
      <c r="D3" s="129"/>
      <c r="E3" s="11" t="n">
        <f aca="false">E15</f>
        <v>0</v>
      </c>
      <c r="F3" s="129"/>
      <c r="G3" s="130" t="n">
        <f aca="false">G15</f>
        <v>0</v>
      </c>
      <c r="H3" s="56"/>
      <c r="I3" s="12"/>
      <c r="J3" s="56"/>
      <c r="K3" s="12"/>
    </row>
    <row r="4" customFormat="false" ht="24.75" hidden="false" customHeight="true" outlineLevel="0" collapsed="false">
      <c r="A4" s="131" t="s">
        <v>72</v>
      </c>
      <c r="B4" s="24" t="s">
        <v>73</v>
      </c>
      <c r="C4" s="24" t="s">
        <v>74</v>
      </c>
      <c r="D4" s="24" t="s">
        <v>37</v>
      </c>
      <c r="E4" s="132" t="s">
        <v>75</v>
      </c>
      <c r="F4" s="24" t="s">
        <v>76</v>
      </c>
      <c r="G4" s="58" t="s">
        <v>77</v>
      </c>
      <c r="H4" s="24" t="s">
        <v>78</v>
      </c>
      <c r="I4" s="133" t="s">
        <v>79</v>
      </c>
      <c r="J4" s="58" t="s">
        <v>80</v>
      </c>
      <c r="K4" s="133" t="s">
        <v>81</v>
      </c>
    </row>
    <row r="5" customFormat="false" ht="16.5" hidden="false" customHeight="true" outlineLevel="0" collapsed="false">
      <c r="A5" s="79" t="s">
        <v>43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6.5" hidden="false" customHeight="true" outlineLevel="0" collapsed="false">
      <c r="A6" s="134" t="s">
        <v>82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6.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6.5" hidden="false" customHeight="true" outlineLevel="0" collapsed="false">
      <c r="A8" s="134" t="s">
        <v>83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6.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6.5" hidden="false" customHeight="true" outlineLevel="0" collapsed="false">
      <c r="A10" s="134" t="s">
        <v>84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6.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34" t="s">
        <v>85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6.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35" t="s">
        <v>43</v>
      </c>
      <c r="B14" s="135"/>
      <c r="C14" s="136"/>
      <c r="D14" s="137"/>
      <c r="E14" s="136"/>
      <c r="F14" s="138"/>
      <c r="G14" s="139"/>
      <c r="H14" s="136"/>
      <c r="I14" s="136"/>
      <c r="J14" s="136"/>
      <c r="K14" s="136"/>
    </row>
    <row r="15" customFormat="false" ht="16.5" hidden="false" customHeight="true" outlineLevel="0" collapsed="false">
      <c r="A15" s="79" t="s">
        <v>86</v>
      </c>
      <c r="B15" s="79"/>
      <c r="C15" s="79"/>
      <c r="D15" s="16" t="s">
        <v>55</v>
      </c>
      <c r="E15" s="140" t="n">
        <f aca="false">SUM(E16:E19)</f>
        <v>0</v>
      </c>
      <c r="F15" s="141" t="e">
        <f aca="false">E15/(I15+K15)</f>
        <v>#DIV/0!</v>
      </c>
      <c r="G15" s="142" t="n">
        <f aca="false">MIN(G16:G19)</f>
        <v>0</v>
      </c>
      <c r="H15" s="143" t="n">
        <f aca="false">SUM(H16:H19)</f>
        <v>0</v>
      </c>
      <c r="I15" s="143" t="n">
        <f aca="false">SUM(I16:I19)</f>
        <v>0</v>
      </c>
      <c r="J15" s="79"/>
      <c r="K15" s="143" t="n">
        <f aca="false">SUM(K16:K19)</f>
        <v>0</v>
      </c>
    </row>
    <row r="16" customFormat="false" ht="16.5" hidden="false" customHeight="true" outlineLevel="0" collapsed="false">
      <c r="A16" s="79" t="s">
        <v>87</v>
      </c>
      <c r="B16" s="79"/>
      <c r="C16" s="79"/>
      <c r="D16" s="16" t="s">
        <v>55</v>
      </c>
      <c r="E16" s="143" t="n">
        <f aca="false">K16-(H16+I16)</f>
        <v>0</v>
      </c>
      <c r="F16" s="144" t="e">
        <f aca="false">E16/(I16+K16)</f>
        <v>#DIV/0!</v>
      </c>
      <c r="G16" s="145" t="n">
        <f aca="false">MIN(_xlfn.MINIFS(G:G,A:A,"portefeuilles",C:C,"Retenu",G:G,"&gt;0"))</f>
        <v>0</v>
      </c>
      <c r="H16" s="143" t="n">
        <f aca="false">SUMIFS(H:H,A:A,"portefeuilles",C:C,"Retenu")</f>
        <v>0</v>
      </c>
      <c r="I16" s="143" t="n">
        <f aca="false">SUMIFS(I:I,A:A,"portefeuilles",C:C,"Retenu")</f>
        <v>0</v>
      </c>
      <c r="J16" s="145" t="n">
        <f aca="false">_xlfn.MAXIFS(J:J,A:A,"portefeuilles",C:C,"Retenu")</f>
        <v>0</v>
      </c>
      <c r="K16" s="143" t="n">
        <f aca="false">SUMIFS(K:K,A:A,"portefeuilles",C:C,"Retenu")</f>
        <v>0</v>
      </c>
    </row>
    <row r="17" customFormat="false" ht="16.5" hidden="false" customHeight="true" outlineLevel="0" collapsed="false">
      <c r="A17" s="79" t="s">
        <v>88</v>
      </c>
      <c r="B17" s="79"/>
      <c r="C17" s="79"/>
      <c r="D17" s="16" t="s">
        <v>55</v>
      </c>
      <c r="E17" s="143" t="n">
        <f aca="false">K17-(H17+I17)</f>
        <v>0</v>
      </c>
      <c r="F17" s="144" t="e">
        <f aca="false">E17/(I17+K17)</f>
        <v>#DIV/0!</v>
      </c>
      <c r="G17" s="145" t="n">
        <f aca="false">MIN(_xlfn.MINIFS(G:G,A:A,"métaux",G:G,"&gt;0"))</f>
        <v>0</v>
      </c>
      <c r="H17" s="143" t="n">
        <f aca="false">SUMIFS(H:H,A:A,"métaux")</f>
        <v>0</v>
      </c>
      <c r="I17" s="143" t="n">
        <f aca="false">SUMIFS(I:I,A:A,"métaux")</f>
        <v>0</v>
      </c>
      <c r="J17" s="145" t="n">
        <f aca="false">_xlfn.MAXIFS(J:J,A:A,"métaux")</f>
        <v>0</v>
      </c>
      <c r="K17" s="143" t="n">
        <f aca="false">SUMIFS(K:K,A:A,"métaux")</f>
        <v>0</v>
      </c>
    </row>
    <row r="18" customFormat="false" ht="16.5" hidden="false" customHeight="true" outlineLevel="0" collapsed="false">
      <c r="A18" s="79" t="s">
        <v>89</v>
      </c>
      <c r="B18" s="79"/>
      <c r="C18" s="79"/>
      <c r="D18" s="16" t="s">
        <v>55</v>
      </c>
      <c r="E18" s="143" t="n">
        <f aca="false">K18-(H18+I18)</f>
        <v>0</v>
      </c>
      <c r="F18" s="144" t="e">
        <f aca="false">E18/(I18+K18)</f>
        <v>#DIV/0!</v>
      </c>
      <c r="G18" s="145" t="n">
        <f aca="false">MIN(_xlfn.MINIFS(G:G,A:A,"crypto",G:G,"&gt;0"))</f>
        <v>0</v>
      </c>
      <c r="H18" s="143" t="n">
        <f aca="false">SUMIFS(H:H,A:A,"crypto")</f>
        <v>0</v>
      </c>
      <c r="I18" s="143" t="n">
        <f aca="false">SUMIFS(I:I,A:A,"crypto")</f>
        <v>0</v>
      </c>
      <c r="J18" s="145" t="n">
        <f aca="false">_xlfn.MAXIFS(J:J,A:A,"crypto")</f>
        <v>0</v>
      </c>
      <c r="K18" s="143" t="n">
        <f aca="false">SUMIFS(K:K,A:A,"crypto")</f>
        <v>0</v>
      </c>
    </row>
    <row r="19" customFormat="false" ht="16.5" hidden="false" customHeight="true" outlineLevel="0" collapsed="false">
      <c r="A19" s="79" t="s">
        <v>90</v>
      </c>
      <c r="B19" s="79"/>
      <c r="C19" s="79"/>
      <c r="D19" s="16" t="s">
        <v>55</v>
      </c>
      <c r="E19" s="143" t="n">
        <f aca="false">K19-(H19+I19)</f>
        <v>0</v>
      </c>
      <c r="F19" s="146" t="e">
        <f aca="false">E19/(I19+K19)</f>
        <v>#DIV/0!</v>
      </c>
      <c r="G19" s="145" t="n">
        <f aca="false">MIN(_xlfn.MINIFS(G:G,A:A,"devises",G:G,"&gt;0"))</f>
        <v>0</v>
      </c>
      <c r="H19" s="143" t="n">
        <f aca="false">SUMIFS(H:H,A:A,"devises")</f>
        <v>0</v>
      </c>
      <c r="I19" s="143" t="n">
        <f aca="false">SUMIFS(I:I,A:A,"devises")</f>
        <v>0</v>
      </c>
      <c r="J19" s="145" t="n">
        <f aca="false">_xlfn.MAXIFS(J:J,A:A,"devises")</f>
        <v>0</v>
      </c>
      <c r="K19" s="14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47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32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48" t="s">
        <v>91</v>
      </c>
      <c r="B1" s="5"/>
      <c r="C1" s="5"/>
      <c r="D1" s="5"/>
      <c r="E1" s="149"/>
      <c r="F1" s="10" t="s">
        <v>92</v>
      </c>
      <c r="G1" s="5"/>
      <c r="H1" s="5"/>
      <c r="I1" s="5"/>
    </row>
    <row r="2" customFormat="false" ht="16.5" hidden="false" customHeight="true" outlineLevel="0" collapsed="false">
      <c r="A2" s="150" t="n">
        <f aca="true">TODAY()</f>
        <v>46121</v>
      </c>
      <c r="B2" s="151" t="str">
        <f aca="false">Contrôles!K$23</f>
        <v>✓</v>
      </c>
      <c r="C2" s="152"/>
      <c r="D2" s="5"/>
      <c r="E2" s="149"/>
      <c r="F2" s="153" t="n">
        <v>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4" t="s">
        <v>40</v>
      </c>
      <c r="B3" s="155" t="s">
        <v>93</v>
      </c>
      <c r="C3" s="57" t="s">
        <v>41</v>
      </c>
      <c r="D3" s="57" t="s">
        <v>37</v>
      </c>
      <c r="E3" s="57" t="s">
        <v>94</v>
      </c>
      <c r="F3" s="58" t="s">
        <v>95</v>
      </c>
      <c r="G3" s="57" t="s">
        <v>96</v>
      </c>
      <c r="H3" s="57" t="s">
        <v>73</v>
      </c>
      <c r="I3" s="56" t="s">
        <v>97</v>
      </c>
    </row>
    <row r="4" customFormat="false" ht="14.25" hidden="false" customHeight="true" outlineLevel="0" collapsed="false">
      <c r="A4" s="156" t="s">
        <v>43</v>
      </c>
      <c r="B4" s="157"/>
      <c r="C4" s="158"/>
      <c r="D4" s="159"/>
      <c r="E4" s="158"/>
      <c r="F4" s="160"/>
      <c r="G4" s="161"/>
      <c r="H4" s="161"/>
      <c r="I4" s="15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2" t="str">
        <f aca="false">$K$23</f>
        <v>✓</v>
      </c>
      <c r="B1" s="10"/>
      <c r="C1" s="10"/>
      <c r="D1" s="10"/>
      <c r="E1" s="10"/>
      <c r="F1" s="163"/>
      <c r="G1" s="12"/>
      <c r="H1" s="48"/>
      <c r="I1" s="96"/>
    </row>
    <row r="2" customFormat="false" ht="28.5" hidden="false" customHeight="true" outlineLevel="0" collapsed="false">
      <c r="A2" s="60" t="s">
        <v>98</v>
      </c>
      <c r="B2" s="96" t="s">
        <v>37</v>
      </c>
      <c r="C2" s="96" t="s">
        <v>99</v>
      </c>
      <c r="D2" s="96" t="s">
        <v>100</v>
      </c>
      <c r="E2" s="96" t="s">
        <v>101</v>
      </c>
      <c r="F2" s="24" t="s">
        <v>102</v>
      </c>
      <c r="G2" s="24" t="s">
        <v>103</v>
      </c>
      <c r="H2" s="60" t="s">
        <v>67</v>
      </c>
      <c r="I2" s="60" t="s">
        <v>104</v>
      </c>
    </row>
    <row r="3" customFormat="false" ht="15" hidden="false" customHeight="true" outlineLevel="0" collapsed="false">
      <c r="A3" s="61" t="s">
        <v>43</v>
      </c>
      <c r="B3" s="164"/>
      <c r="C3" s="165"/>
      <c r="D3" s="165"/>
      <c r="E3" s="18"/>
      <c r="F3" s="18"/>
      <c r="G3" s="18"/>
      <c r="H3" s="18"/>
      <c r="I3" s="18"/>
    </row>
    <row r="4" customFormat="false" ht="16.5" hidden="false" customHeight="true" outlineLevel="0" collapsed="false">
      <c r="A4" s="166" t="s">
        <v>43</v>
      </c>
      <c r="B4" s="167"/>
      <c r="C4" s="167"/>
      <c r="D4" s="167"/>
      <c r="E4" s="167"/>
      <c r="F4" s="168"/>
      <c r="G4" s="169"/>
      <c r="H4" s="169"/>
      <c r="I4" s="167"/>
    </row>
    <row r="5" customFormat="false" ht="17.25" hidden="false" customHeight="true" outlineLevel="0" collapsed="false">
      <c r="A5" s="67"/>
      <c r="B5" s="71"/>
      <c r="C5" s="71"/>
      <c r="D5" s="71"/>
      <c r="E5" s="71"/>
      <c r="F5" s="170"/>
      <c r="G5" s="68"/>
      <c r="H5" s="68"/>
      <c r="I5" s="68"/>
    </row>
    <row r="7" customFormat="false" ht="18.75" hidden="false" customHeight="true" outlineLevel="0" collapsed="false">
      <c r="J7" s="95" t="s">
        <v>105</v>
      </c>
      <c r="K7" s="95"/>
      <c r="L7" s="95"/>
      <c r="M7" s="95"/>
    </row>
    <row r="8" customFormat="false" ht="19.5" hidden="false" customHeight="true" outlineLevel="0" collapsed="false">
      <c r="J8" s="24" t="s">
        <v>106</v>
      </c>
      <c r="K8" s="24" t="s">
        <v>107</v>
      </c>
      <c r="L8" s="24" t="s">
        <v>108</v>
      </c>
      <c r="M8" s="24" t="s">
        <v>55</v>
      </c>
    </row>
    <row r="9" customFormat="false" ht="16.5" hidden="false" customHeight="true" outlineLevel="0" collapsed="false">
      <c r="J9" s="24"/>
      <c r="K9" s="24"/>
      <c r="L9" s="163"/>
      <c r="M9" s="163"/>
    </row>
    <row r="10" customFormat="false" ht="16.5" hidden="false" customHeight="true" outlineLevel="0" collapsed="false">
      <c r="J10" s="79" t="s">
        <v>109</v>
      </c>
      <c r="K10" s="171" t="str">
        <f aca="false">IF(SUM($L10:$M10)=0,"✓","✗")</f>
        <v>✓</v>
      </c>
      <c r="L10" s="172" t="n">
        <v>0</v>
      </c>
      <c r="M10" s="17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79" t="s">
        <v>110</v>
      </c>
      <c r="K11" s="173" t="str">
        <f aca="false">IF(L11=0,"✓","⚠")</f>
        <v>✓</v>
      </c>
      <c r="L11" s="73" t="n">
        <f aca="false">SUM(M11)</f>
        <v>0</v>
      </c>
      <c r="M11" s="73" t="n">
        <f aca="false">Budget!F$26</f>
        <v>0</v>
      </c>
    </row>
    <row r="12" customFormat="false" ht="16.5" hidden="false" customHeight="true" outlineLevel="0" collapsed="false">
      <c r="J12" s="79" t="s">
        <v>40</v>
      </c>
      <c r="K12" s="173" t="str">
        <f aca="false">IF(L12=0,"✓","⚠")</f>
        <v>✓</v>
      </c>
      <c r="L12" s="172" t="n">
        <f aca="false">COUNTIF(OPdate,"&lt;"&amp;DATE(2020,1,1))+COUNTIF(OPdate,"&gt;"&amp;DATE(année_courante,12,31))</f>
        <v>0</v>
      </c>
      <c r="M12" s="73"/>
    </row>
    <row r="13" customFormat="false" ht="16.5" hidden="false" customHeight="true" outlineLevel="0" collapsed="false">
      <c r="J13" s="79" t="s">
        <v>111</v>
      </c>
      <c r="K13" s="173" t="str">
        <f aca="false">IF(L13=0,"✓","⚠")</f>
        <v>✓</v>
      </c>
      <c r="L13" s="172" t="n">
        <f aca="false">COUNTIFS(OPréf,"-")</f>
        <v>0</v>
      </c>
      <c r="M13" s="172" t="n">
        <f aca="false">COUNTIFS(OPréf,"-",OPdevise,M$8)</f>
        <v>0</v>
      </c>
    </row>
    <row r="14" customFormat="false" ht="16.5" hidden="false" customHeight="true" outlineLevel="0" collapsed="false">
      <c r="J14" s="166" t="s">
        <v>112</v>
      </c>
      <c r="K14" s="173" t="str">
        <f aca="false">IF(L14=0,"✓","⚠")</f>
        <v>✓</v>
      </c>
      <c r="L14" s="172" t="n">
        <f aca="false">3-COUNTIFS(L15:L19,0)</f>
        <v>0</v>
      </c>
      <c r="M14" s="172" t="n">
        <f aca="false">COUNTA($J15:$J17)-COUNTIFS(M15:M17,0)</f>
        <v>0</v>
      </c>
    </row>
    <row r="15" customFormat="false" ht="16.5" hidden="false" customHeight="true" outlineLevel="0" collapsed="false">
      <c r="J15" s="174" t="s">
        <v>113</v>
      </c>
      <c r="K15" s="16"/>
      <c r="L15" s="73"/>
      <c r="M15" s="73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5" t="s">
        <v>114</v>
      </c>
      <c r="K16" s="16"/>
      <c r="L16" s="73" t="n">
        <f aca="false">SUM(M16)</f>
        <v>0</v>
      </c>
      <c r="M16" s="73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4" t="s">
        <v>14</v>
      </c>
      <c r="K17" s="16"/>
      <c r="L17" s="73"/>
      <c r="M17" s="73" t="n">
        <f aca="false">ROUND(SUMIFS(OPmontant,OPdevise,M$8,OPcatégorie,"*titres"),0)</f>
        <v>0</v>
      </c>
    </row>
    <row r="18" customFormat="false" ht="16.5" hidden="false" customHeight="true" outlineLevel="0" collapsed="false">
      <c r="J18" s="175" t="s">
        <v>114</v>
      </c>
      <c r="K18" s="16"/>
      <c r="L18" s="73" t="n">
        <f aca="false">SUM(M18)</f>
        <v>0</v>
      </c>
      <c r="M18" s="73" t="n">
        <f aca="false">ROUND(SUMIFS(OPmontant,OPdevise,M$8,OPcatégorie,"*titres"),0)</f>
        <v>0</v>
      </c>
    </row>
    <row r="19" customFormat="false" ht="16.5" hidden="false" customHeight="true" outlineLevel="0" collapsed="false">
      <c r="J19" s="174" t="s">
        <v>115</v>
      </c>
      <c r="K19" s="16"/>
      <c r="L19" s="73" t="n">
        <f aca="false">SUMIFS(OPequiv_euro,OPcatégorie,"Change") + SUMIFS(OPequiv_euro,OPcatégorie,"Achat métaux")</f>
        <v>0</v>
      </c>
      <c r="M19" s="73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76" t="s">
        <v>116</v>
      </c>
      <c r="K20" s="16"/>
      <c r="L20" s="177" t="n">
        <f aca="false">L16+L18+L19</f>
        <v>0</v>
      </c>
      <c r="M20" s="73" t="n">
        <f aca="false">M16+M18+M19</f>
        <v>0</v>
      </c>
    </row>
    <row r="21" customFormat="false" ht="16.5" hidden="false" customHeight="true" outlineLevel="0" collapsed="false">
      <c r="J21" s="166"/>
      <c r="K21" s="173" t="str">
        <f aca="false">IF(L21=0,"✓","✗")</f>
        <v>✓</v>
      </c>
      <c r="L21" s="73"/>
      <c r="M21" s="73"/>
    </row>
    <row r="22" customFormat="false" ht="16.5" hidden="false" customHeight="true" outlineLevel="0" collapsed="false">
      <c r="J22" s="166" t="s">
        <v>117</v>
      </c>
      <c r="K22" s="173" t="str">
        <f aca="false">IF(L22=0,"✓","✗")</f>
        <v>✓</v>
      </c>
      <c r="L22" s="172" t="n">
        <f aca="false">SUMPRODUCT((COUNTIF(AVRintitulé,OPcompte)=0)*(OPcompte&lt;&gt;""))</f>
        <v>0</v>
      </c>
      <c r="M22" s="73"/>
    </row>
    <row r="23" customFormat="false" ht="17.25" hidden="false" customHeight="true" outlineLevel="0" collapsed="false">
      <c r="J23" s="68" t="s">
        <v>118</v>
      </c>
      <c r="K23" s="71" t="str">
        <f aca="false">IF(K10&amp;K11&amp;K12&amp;$K13&amp;$K14&amp;$K22="✓✓✓✓✓✓","✓",$K10&amp;$K11&amp;K12&amp;$K13&amp;$K14&amp;$K22)</f>
        <v>✓</v>
      </c>
      <c r="L23" s="68"/>
      <c r="M23" s="68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4.47"/>
    <col collapsed="false" customWidth="true" hidden="false" outlineLevel="0" max="5" min="5" style="128" width="9"/>
    <col collapsed="false" customWidth="true" hidden="false" outlineLevel="0" max="6" min="6" style="74" width="14.47"/>
    <col collapsed="false" customWidth="true" hidden="false" outlineLevel="0" max="7" min="7" style="74" width="15.33"/>
    <col collapsed="false" customWidth="true" hidden="false" outlineLevel="0" max="8" min="8" style="74" width="17.52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29" t="str">
        <f aca="false">Contrôles!$K$23</f>
        <v>✓</v>
      </c>
      <c r="B1" s="129"/>
      <c r="C1" s="129"/>
      <c r="D1" s="129"/>
      <c r="E1" s="129"/>
      <c r="F1" s="129" t="n">
        <f aca="false">année_courante</f>
        <v>2026</v>
      </c>
      <c r="G1" s="129"/>
      <c r="H1" s="12"/>
    </row>
    <row r="2" customFormat="false" ht="21" hidden="false" customHeight="true" outlineLevel="0" collapsed="false">
      <c r="A2" s="178" t="s">
        <v>119</v>
      </c>
      <c r="B2" s="178" t="s">
        <v>120</v>
      </c>
      <c r="C2" s="178" t="s">
        <v>121</v>
      </c>
      <c r="D2" s="178" t="s">
        <v>122</v>
      </c>
      <c r="E2" s="179" t="s">
        <v>123</v>
      </c>
      <c r="F2" s="58" t="s">
        <v>124</v>
      </c>
      <c r="G2" s="58" t="s">
        <v>40</v>
      </c>
      <c r="H2" s="58" t="s">
        <v>125</v>
      </c>
    </row>
    <row r="3" customFormat="false" ht="14.25" hidden="false" customHeight="true" outlineLevel="0" collapsed="false">
      <c r="A3" s="180" t="s">
        <v>43</v>
      </c>
      <c r="B3" s="180"/>
      <c r="C3" s="180"/>
      <c r="D3" s="180"/>
      <c r="E3" s="16"/>
      <c r="F3" s="18"/>
      <c r="G3" s="18"/>
      <c r="H3" s="18"/>
    </row>
    <row r="4" customFormat="false" ht="16.5" hidden="false" customHeight="true" outlineLevel="0" collapsed="false">
      <c r="A4" s="180" t="s">
        <v>16</v>
      </c>
      <c r="B4" s="180" t="s">
        <v>126</v>
      </c>
      <c r="C4" s="180" t="s">
        <v>127</v>
      </c>
      <c r="D4" s="180" t="n">
        <v>2</v>
      </c>
      <c r="E4" s="181" t="s">
        <v>55</v>
      </c>
      <c r="F4" s="182" t="n">
        <v>1</v>
      </c>
      <c r="G4" s="182"/>
      <c r="H4" s="183"/>
    </row>
    <row r="5" customFormat="false" ht="16.5" hidden="false" customHeight="true" outlineLevel="0" collapsed="false">
      <c r="A5" s="180" t="s">
        <v>43</v>
      </c>
      <c r="B5" s="180"/>
      <c r="C5" s="180"/>
      <c r="D5" s="180"/>
      <c r="E5" s="16"/>
      <c r="F5" s="18"/>
      <c r="G5" s="18"/>
      <c r="H5" s="18"/>
    </row>
    <row r="6" customFormat="false" ht="15" hidden="false" customHeight="true" outlineLevel="0" collapsed="false">
      <c r="A6" s="178"/>
      <c r="B6" s="178"/>
      <c r="C6" s="178"/>
      <c r="D6" s="178"/>
      <c r="E6" s="179"/>
      <c r="F6" s="58"/>
      <c r="G6" s="58"/>
      <c r="H6" s="58"/>
    </row>
    <row r="7" customFormat="false" ht="18" hidden="false" customHeight="true" outlineLevel="0" collapsed="false">
      <c r="F7" s="184"/>
      <c r="G7" s="184"/>
    </row>
    <row r="8" customFormat="false" ht="18" hidden="false" customHeight="true" outlineLevel="0" collapsed="false">
      <c r="F8" s="184"/>
      <c r="G8" s="184"/>
    </row>
    <row r="9" customFormat="false" ht="18" hidden="false" customHeight="true" outlineLevel="0" collapsed="false">
      <c r="F9" s="184"/>
      <c r="G9" s="184"/>
    </row>
    <row r="10" customFormat="false" ht="18" hidden="false" customHeight="true" outlineLevel="0" collapsed="false">
      <c r="F10" s="184"/>
      <c r="G10" s="184"/>
    </row>
    <row r="11" customFormat="false" ht="18" hidden="false" customHeight="true" outlineLevel="0" collapsed="false">
      <c r="F11" s="184"/>
      <c r="G11" s="18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2026-04-09T21:09:51Z</dcterms:modified>
  <cp:revision>923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